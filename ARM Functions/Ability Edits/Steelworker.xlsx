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195F0944-B6DF-402B-A2F4-AD40C01FF7CF}" xr6:coauthVersionLast="47" xr6:coauthVersionMax="47" xr10:uidLastSave="{00000000-0000-0000-0000-000000000000}"/>
  <bookViews>
    <workbookView xWindow="16449" yWindow="0" windowWidth="16465" windowHeight="17914" xr2:uid="{9FC447D9-4EE0-4FAA-B875-57F901559E3A}"/>
  </bookViews>
  <sheets>
    <sheet name="Steelwor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A28" i="1" l="1"/>
  <c r="A32" i="1" s="1"/>
  <c r="A4" i="1" l="1"/>
  <c r="A5" i="1" s="1"/>
  <c r="A6" i="1" s="1"/>
  <c r="A7" i="1" s="1"/>
  <c r="A11" i="1" l="1"/>
  <c r="A12" i="1" s="1"/>
  <c r="A13" i="1" s="1"/>
  <c r="A14" i="1" s="1"/>
  <c r="A15" i="1" s="1"/>
  <c r="A16" i="1" s="1"/>
  <c r="A17" i="1" s="1"/>
  <c r="A18" i="1" l="1"/>
  <c r="A19" i="1" s="1"/>
  <c r="A20" i="1" s="1"/>
  <c r="C19" i="1"/>
  <c r="A21" i="1"/>
  <c r="A22" i="1" s="1"/>
  <c r="A23" i="1" s="1"/>
  <c r="A24" i="1" s="1"/>
  <c r="C15" i="1" s="1"/>
</calcChain>
</file>

<file path=xl/sharedStrings.xml><?xml version="1.0" encoding="utf-8"?>
<sst xmlns="http://schemas.openxmlformats.org/spreadsheetml/2006/main" count="59" uniqueCount="55">
  <si>
    <t>3900A0E3</t>
  </si>
  <si>
    <t>cmp r0, r4</t>
  </si>
  <si>
    <t>040050E1</t>
  </si>
  <si>
    <t>AF92FEEA</t>
  </si>
  <si>
    <t>0300001A</t>
  </si>
  <si>
    <t>mov r0, #3</t>
  </si>
  <si>
    <t>0300A0E3</t>
  </si>
  <si>
    <t>4DA5FEEB</t>
  </si>
  <si>
    <t>1900A0E3</t>
  </si>
  <si>
    <t>mov r4, r2</t>
  </si>
  <si>
    <t>0240A0E1</t>
  </si>
  <si>
    <t>000DE610</t>
  </si>
  <si>
    <t>notes</t>
  </si>
  <si>
    <t>instruction</t>
  </si>
  <si>
    <t>Hex</t>
  </si>
  <si>
    <t>Address</t>
  </si>
  <si>
    <t>push {r4, lr}</t>
  </si>
  <si>
    <t>pop {r4, lr}</t>
  </si>
  <si>
    <t>pop {r4, pc}</t>
  </si>
  <si>
    <t>10402DE9</t>
  </si>
  <si>
    <t>0700001A</t>
  </si>
  <si>
    <t>49A5FEEB</t>
  </si>
  <si>
    <t>080050E3</t>
  </si>
  <si>
    <t>1040BDE8</t>
  </si>
  <si>
    <t>061BA0E3</t>
  </si>
  <si>
    <t>1080BDE8</t>
  </si>
  <si>
    <t>str r1, [r0]</t>
  </si>
  <si>
    <t>ldr r0, [pc]</t>
  </si>
  <si>
    <t>bx lr</t>
  </si>
  <si>
    <t>andeq r0, r0, r0</t>
  </si>
  <si>
    <t>0310A0E3</t>
  </si>
  <si>
    <t>001080E5</t>
  </si>
  <si>
    <t>00009FE5</t>
  </si>
  <si>
    <t>1EFF2FE1</t>
  </si>
  <si>
    <t>00000000</t>
  </si>
  <si>
    <t>Main (unedited) 0x4A</t>
  </si>
  <si>
    <t>000DAA7C</t>
  </si>
  <si>
    <t>Call Function</t>
  </si>
  <si>
    <t>Target Type is Steel</t>
  </si>
  <si>
    <t>mov r0, 0x8</t>
  </si>
  <si>
    <t>0800A0E3</t>
  </si>
  <si>
    <t>Add Defensive Steel 0x4E/0x4F</t>
  </si>
  <si>
    <t>bl 0x00087B58</t>
  </si>
  <si>
    <t>mov r0, 0x19</t>
  </si>
  <si>
    <t>cmp r0, 0x8</t>
  </si>
  <si>
    <t>mov r1, 0x1800</t>
  </si>
  <si>
    <t>mov r0, 0x39</t>
  </si>
  <si>
    <t>b 0x00083108</t>
  </si>
  <si>
    <t>b 0x000FEAD4</t>
  </si>
  <si>
    <t>Set Defensive Steel 0x6D/0xA7/0x6A</t>
  </si>
  <si>
    <t>mov r1, 0x6</t>
  </si>
  <si>
    <t>000FE300</t>
  </si>
  <si>
    <t>F20100EA</t>
  </si>
  <si>
    <t>841500EA</t>
  </si>
  <si>
    <t>b 0x00103924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</si>
</sst>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55AB-897B-403C-8449-BE92F50FF23A}">
  <dimension ref="A1:N32"/>
  <sheetViews>
    <sheetView tabSelected="1" zoomScaleNormal="100" workbookViewId="0">
      <pane ySplit="1" topLeftCell="A20" activePane="bottomLeft" state="frozen"/>
      <selection pane="bottomLeft" activeCell="B32" sqref="B32"/>
    </sheetView>
  </sheetViews>
  <sheetFormatPr defaultRowHeight="15.9"/>
  <cols>
    <col min="1" max="1" width="9.140625" style="2"/>
    <col min="2" max="2" width="9.35546875" style="2" bestFit="1" customWidth="1"/>
    <col min="3" max="3" width="18.0703125" style="2" bestFit="1" customWidth="1"/>
    <col min="4" max="4" width="22.42578125" style="2" bestFit="1" customWidth="1"/>
    <col min="5" max="16384" width="9.140625" style="2"/>
  </cols>
  <sheetData>
    <row r="1" spans="1:12">
      <c r="A1" s="1" t="s">
        <v>15</v>
      </c>
      <c r="B1" s="1" t="s">
        <v>14</v>
      </c>
      <c r="C1" s="1" t="s">
        <v>13</v>
      </c>
      <c r="D1" s="1" t="s">
        <v>12</v>
      </c>
    </row>
    <row r="2" spans="1:12">
      <c r="A2" s="1" t="s">
        <v>37</v>
      </c>
      <c r="B2" s="1"/>
      <c r="C2" s="1"/>
      <c r="D2" s="1"/>
    </row>
    <row r="3" spans="1:12">
      <c r="A3" s="3" t="s">
        <v>36</v>
      </c>
      <c r="B3" s="2" t="s">
        <v>30</v>
      </c>
      <c r="C3" s="2" t="s">
        <v>50</v>
      </c>
    </row>
    <row r="4" spans="1:12">
      <c r="A4" s="2" t="str">
        <f t="shared" ref="A4:A7" si="0">DEC2HEX(HEX2DEC(A3)+4,8)</f>
        <v>000DAA80</v>
      </c>
      <c r="B4" s="3" t="s">
        <v>31</v>
      </c>
      <c r="C4" s="2" t="s">
        <v>26</v>
      </c>
    </row>
    <row r="5" spans="1:12">
      <c r="A5" s="2" t="str">
        <f t="shared" si="0"/>
        <v>000DAA84</v>
      </c>
      <c r="B5" s="2" t="s">
        <v>32</v>
      </c>
      <c r="C5" s="2" t="s">
        <v>27</v>
      </c>
    </row>
    <row r="6" spans="1:12">
      <c r="A6" s="2" t="str">
        <f t="shared" si="0"/>
        <v>000DAA88</v>
      </c>
      <c r="B6" s="2" t="s">
        <v>33</v>
      </c>
      <c r="C6" s="2" t="s">
        <v>28</v>
      </c>
    </row>
    <row r="7" spans="1:12">
      <c r="A7" s="2" t="str">
        <f t="shared" si="0"/>
        <v>000DAA8C</v>
      </c>
      <c r="B7" s="3" t="s">
        <v>34</v>
      </c>
      <c r="C7" s="2" t="s">
        <v>29</v>
      </c>
    </row>
    <row r="8" spans="1:12">
      <c r="A8" s="1"/>
    </row>
    <row r="9" spans="1:12">
      <c r="A9" s="1" t="s">
        <v>35</v>
      </c>
    </row>
    <row r="10" spans="1:12">
      <c r="A10" s="3" t="s">
        <v>11</v>
      </c>
      <c r="B10" s="2" t="s">
        <v>19</v>
      </c>
      <c r="C10" s="2" t="s">
        <v>16</v>
      </c>
    </row>
    <row r="11" spans="1:12">
      <c r="A11" s="2" t="str">
        <f t="shared" ref="A11:A24" si="1">DEC2HEX(HEX2DEC(A10)+4,8)</f>
        <v>000DE614</v>
      </c>
      <c r="B11" s="2" t="s">
        <v>10</v>
      </c>
      <c r="C11" s="2" t="s">
        <v>9</v>
      </c>
    </row>
    <row r="12" spans="1:12">
      <c r="A12" s="2" t="str">
        <f t="shared" si="1"/>
        <v>000DE618</v>
      </c>
      <c r="B12" s="4" t="s">
        <v>6</v>
      </c>
      <c r="C12" s="5" t="s">
        <v>5</v>
      </c>
    </row>
    <row r="13" spans="1:12">
      <c r="A13" s="2" t="str">
        <f t="shared" si="1"/>
        <v>000DE61C</v>
      </c>
      <c r="B13" s="4" t="s">
        <v>7</v>
      </c>
      <c r="C13" s="2" t="s">
        <v>42</v>
      </c>
    </row>
    <row r="14" spans="1:12">
      <c r="A14" s="2" t="str">
        <f t="shared" si="1"/>
        <v>000DE620</v>
      </c>
      <c r="B14" s="3" t="s">
        <v>2</v>
      </c>
      <c r="C14" s="2" t="s">
        <v>1</v>
      </c>
    </row>
    <row r="15" spans="1:12">
      <c r="A15" s="2" t="str">
        <f t="shared" si="1"/>
        <v>000DE624</v>
      </c>
      <c r="B15" s="2" t="s">
        <v>20</v>
      </c>
      <c r="C15" s="2" t="str">
        <f>_xlfn.CONCAT("bne 0x",A$24)</f>
        <v>bne 0x000DE648</v>
      </c>
    </row>
    <row r="16" spans="1:12">
      <c r="A16" s="2" t="str">
        <f t="shared" si="1"/>
        <v>000DE628</v>
      </c>
      <c r="B16" s="2" t="s">
        <v>8</v>
      </c>
      <c r="C16" s="2" t="s">
        <v>43</v>
      </c>
      <c r="L16" s="3"/>
    </row>
    <row r="17" spans="1:14">
      <c r="A17" s="2" t="str">
        <f t="shared" si="1"/>
        <v>000DE62C</v>
      </c>
      <c r="B17" s="3" t="s">
        <v>21</v>
      </c>
      <c r="C17" s="2" t="s">
        <v>42</v>
      </c>
      <c r="L17" s="3"/>
      <c r="M17" s="3"/>
    </row>
    <row r="18" spans="1:14">
      <c r="A18" s="2" t="str">
        <f t="shared" si="1"/>
        <v>000DE630</v>
      </c>
      <c r="B18" s="3" t="s">
        <v>22</v>
      </c>
      <c r="C18" s="2" t="s">
        <v>44</v>
      </c>
    </row>
    <row r="19" spans="1:14">
      <c r="A19" s="2" t="str">
        <f t="shared" si="1"/>
        <v>000DE634</v>
      </c>
      <c r="B19" s="2" t="s">
        <v>4</v>
      </c>
      <c r="C19" s="2" t="str">
        <f>_xlfn.CONCAT("bne 0x",A$17)</f>
        <v>bne 0x000DE62C</v>
      </c>
      <c r="E19" s="4"/>
      <c r="L19" s="3"/>
      <c r="M19" s="3"/>
    </row>
    <row r="20" spans="1:14">
      <c r="A20" s="2" t="str">
        <f t="shared" si="1"/>
        <v>000DE638</v>
      </c>
      <c r="B20" s="3" t="s">
        <v>23</v>
      </c>
      <c r="C20" s="2" t="s">
        <v>17</v>
      </c>
      <c r="L20" s="3"/>
      <c r="M20" s="3"/>
      <c r="N20" s="3"/>
    </row>
    <row r="21" spans="1:14">
      <c r="A21" s="2" t="str">
        <f t="shared" si="1"/>
        <v>000DE63C</v>
      </c>
      <c r="B21" s="2" t="s">
        <v>24</v>
      </c>
      <c r="C21" s="4" t="s">
        <v>45</v>
      </c>
      <c r="M21" s="3"/>
    </row>
    <row r="22" spans="1:14">
      <c r="A22" s="2" t="str">
        <f t="shared" si="1"/>
        <v>000DE640</v>
      </c>
      <c r="B22" s="4" t="s">
        <v>0</v>
      </c>
      <c r="C22" s="2" t="s">
        <v>46</v>
      </c>
    </row>
    <row r="23" spans="1:14">
      <c r="A23" s="2" t="str">
        <f t="shared" si="1"/>
        <v>000DE644</v>
      </c>
      <c r="B23" s="3" t="s">
        <v>3</v>
      </c>
      <c r="C23" s="2" t="s">
        <v>47</v>
      </c>
      <c r="L23" s="3"/>
      <c r="M23" s="3"/>
    </row>
    <row r="24" spans="1:14">
      <c r="A24" s="2" t="str">
        <f t="shared" si="1"/>
        <v>000DE648</v>
      </c>
      <c r="B24" s="2" t="s">
        <v>25</v>
      </c>
      <c r="C24" s="2" t="s">
        <v>18</v>
      </c>
      <c r="L24" s="3"/>
      <c r="M24" s="3"/>
      <c r="N24" s="3"/>
    </row>
    <row r="25" spans="1:14">
      <c r="A25" s="1"/>
    </row>
    <row r="26" spans="1:14">
      <c r="A26" s="1" t="s">
        <v>41</v>
      </c>
    </row>
    <row r="27" spans="1:14">
      <c r="A27" s="3" t="s">
        <v>51</v>
      </c>
      <c r="B27" s="2" t="s">
        <v>40</v>
      </c>
      <c r="C27" s="2" t="s">
        <v>39</v>
      </c>
      <c r="D27" s="2" t="s">
        <v>38</v>
      </c>
    </row>
    <row r="28" spans="1:14">
      <c r="A28" s="2" t="str">
        <f t="shared" ref="A28:A32" si="2">DEC2HEX(HEX2DEC(A27)+4,8)</f>
        <v>000FE304</v>
      </c>
      <c r="B28" s="2" t="s">
        <v>52</v>
      </c>
      <c r="C28" s="2" t="s">
        <v>48</v>
      </c>
    </row>
    <row r="30" spans="1:14">
      <c r="A30" s="1" t="s">
        <v>49</v>
      </c>
    </row>
    <row r="31" spans="1:14">
      <c r="A31" s="2" t="str">
        <f>DEC2HEX(HEX2DEC(A28)+4,8)</f>
        <v>000FE308</v>
      </c>
      <c r="B31" s="2" t="s">
        <v>40</v>
      </c>
      <c r="C31" s="2" t="s">
        <v>39</v>
      </c>
      <c r="D31" s="2" t="s">
        <v>38</v>
      </c>
    </row>
    <row r="32" spans="1:14">
      <c r="A32" s="2" t="str">
        <f t="shared" si="2"/>
        <v>000FE30C</v>
      </c>
      <c r="B32" s="2" t="s">
        <v>53</v>
      </c>
      <c r="C32" s="2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Steelworker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2025-03-11T01:05:07Z</dcterms:created>
  <dcterms:modified xsi:type="dcterms:W3CDTF">2026-05-31T17:44:30Z</dcterms:modified>
</cp:coreProperties>
</file>