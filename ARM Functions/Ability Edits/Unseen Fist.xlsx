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4842375F-89E7-44C2-9CB7-58296E2469CE}" xr6:coauthVersionLast="47" xr6:coauthVersionMax="47" xr10:uidLastSave="{00000000-0000-0000-0000-000000000000}"/>
  <bookViews>
    <workbookView xWindow="-32914" yWindow="0" windowWidth="16465" windowHeight="17914" xr2:uid="{FFF8744C-F0B4-428F-8CA7-718350CADE02}"/>
  </bookViews>
  <sheets>
    <sheet name="Edited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6" l="1"/>
  <c r="A58" i="6"/>
  <c r="A59" i="6" s="1"/>
  <c r="A60" i="6" s="1"/>
  <c r="C68" i="6"/>
  <c r="D68" i="6" s="1"/>
  <c r="C77" i="6"/>
  <c r="C76" i="6"/>
  <c r="C75" i="6"/>
  <c r="C74" i="6"/>
  <c r="D74" i="6" s="1"/>
  <c r="C73" i="6"/>
  <c r="D73" i="6" s="1"/>
  <c r="C72" i="6"/>
  <c r="D72" i="6" s="1"/>
  <c r="C71" i="6"/>
  <c r="D71" i="6" s="1"/>
  <c r="C70" i="6"/>
  <c r="D70" i="6" s="1"/>
  <c r="C69" i="6"/>
  <c r="D69" i="6" s="1"/>
  <c r="C67" i="6"/>
  <c r="D67" i="6" s="1"/>
  <c r="C66" i="6"/>
  <c r="D66" i="6" s="1"/>
  <c r="C58" i="6" s="1"/>
  <c r="C50" i="6"/>
  <c r="C54" i="6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C34" i="6" s="1"/>
  <c r="B3" i="6" l="1"/>
  <c r="C23" i="6" l="1"/>
  <c r="C49" i="6"/>
  <c r="C44" i="6"/>
  <c r="A4" i="6"/>
  <c r="A5" i="6" s="1"/>
  <c r="A6" i="6" s="1"/>
  <c r="A7" i="6" s="1"/>
  <c r="E1" i="6"/>
  <c r="C19" i="6" l="1"/>
</calcChain>
</file>

<file path=xl/sharedStrings.xml><?xml version="1.0" encoding="utf-8"?>
<sst xmlns="http://schemas.openxmlformats.org/spreadsheetml/2006/main" count="125" uniqueCount="108">
  <si>
    <t>Address</t>
  </si>
  <si>
    <t>Hex</t>
  </si>
  <si>
    <t>instruction</t>
  </si>
  <si>
    <t>mov r4, r2</t>
  </si>
  <si>
    <t>mov r5, r1</t>
  </si>
  <si>
    <t>push {r4, r5, r6, lr}</t>
  </si>
  <si>
    <t>00000000</t>
  </si>
  <si>
    <t>mov r0, r5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</si>
  <si>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</si>
  <si>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</si>
  <si>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</si>
  <si>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</si>
  <si>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</si>
  <si>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</si>
  <si>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</si>
  <si>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cmp r0, r4</t>
  </si>
  <si>
    <t>mov r0, r6</t>
  </si>
  <si>
    <t>70402DE9</t>
  </si>
  <si>
    <t>0240A0E1</t>
  </si>
  <si>
    <t>0300A0E3</t>
  </si>
  <si>
    <t>040050E1</t>
  </si>
  <si>
    <t>000050E3</t>
  </si>
  <si>
    <t>0600A0E1</t>
  </si>
  <si>
    <t>7080BDE8</t>
  </si>
  <si>
    <t>0150A0E1</t>
  </si>
  <si>
    <t>0500A0E1</t>
  </si>
  <si>
    <t>0110A0E3</t>
  </si>
  <si>
    <t>0400A0E3</t>
  </si>
  <si>
    <t>1200001A</t>
  </si>
  <si>
    <t>mov r1, r0</t>
  </si>
  <si>
    <t>mov r6, r0</t>
  </si>
  <si>
    <t>0010A0E1</t>
  </si>
  <si>
    <t>0060A0E1</t>
  </si>
  <si>
    <t>007b4f18</t>
  </si>
  <si>
    <t>cmp r0, 0x0</t>
  </si>
  <si>
    <t>mov r1, 0x1</t>
  </si>
  <si>
    <t xml:space="preserve">bl 0x00087B58 </t>
  </si>
  <si>
    <t>3900A0E3</t>
  </si>
  <si>
    <t>mov r0, 0x39</t>
  </si>
  <si>
    <t>7040BDE8</t>
  </si>
  <si>
    <t>Unseen Fist Call function</t>
  </si>
  <si>
    <t>Hit through Protect 0x3B</t>
  </si>
  <si>
    <t>000CE184</t>
  </si>
  <si>
    <t>Vanilla function (does not break the protection)</t>
  </si>
  <si>
    <t>25% damage if target is protected 0x5B</t>
  </si>
  <si>
    <t>Check self Attacking</t>
  </si>
  <si>
    <t>mov r0, 0x4</t>
  </si>
  <si>
    <t>mov r0, 0x3</t>
  </si>
  <si>
    <t>Get index of target</t>
  </si>
  <si>
    <t>get pointer to target</t>
  </si>
  <si>
    <t>bl 0x00092298</t>
  </si>
  <si>
    <t>bl 0x00060A8C</t>
  </si>
  <si>
    <t>bl 0x0008519C</t>
  </si>
  <si>
    <t>mov r1, 0x400</t>
  </si>
  <si>
    <t>b 0x00083108</t>
  </si>
  <si>
    <t>mov r1, 0x2</t>
  </si>
  <si>
    <t>0300000A</t>
  </si>
  <si>
    <t>011BA0E3</t>
  </si>
  <si>
    <t>check if the target has moved yet this turn</t>
  </si>
  <si>
    <t>Established moved this turn, get move used</t>
  </si>
  <si>
    <t>Protect</t>
  </si>
  <si>
    <t>Detect</t>
  </si>
  <si>
    <t>King's Shield</t>
  </si>
  <si>
    <t>Spiky Shield</t>
  </si>
  <si>
    <t>Baneful Bunker</t>
  </si>
  <si>
    <t>Obstruct</t>
  </si>
  <si>
    <t>Silk Trap</t>
  </si>
  <si>
    <t>Burning Bulwark</t>
  </si>
  <si>
    <t>Mat Block</t>
  </si>
  <si>
    <t>Quick Guard</t>
  </si>
  <si>
    <t>Wide Guard</t>
  </si>
  <si>
    <t>Crafty Shield</t>
  </si>
  <si>
    <t>Check if in Protection move table</t>
  </si>
  <si>
    <t>ldr r1, [pc, 0x4]</t>
  </si>
  <si>
    <t>b 0x00061EE0</t>
  </si>
  <si>
    <t>000FDDDC</t>
  </si>
  <si>
    <t>04109FE5</t>
  </si>
  <si>
    <t>0920A0E3</t>
  </si>
  <si>
    <t>3D90FDEA</t>
  </si>
  <si>
    <t>Check if r0 is Protection Move (Table)</t>
  </si>
  <si>
    <t>0800000A</t>
  </si>
  <si>
    <t>mov r0, 0x61</t>
  </si>
  <si>
    <t>cmp r0, 0x1</t>
  </si>
  <si>
    <t>check if contact</t>
  </si>
  <si>
    <t>get pointer to self</t>
  </si>
  <si>
    <t>mov r1, r4</t>
  </si>
  <si>
    <t>mov r0, 0x19</t>
  </si>
  <si>
    <t>get type of move</t>
  </si>
  <si>
    <t>bl 0x00088874</t>
  </si>
  <si>
    <t>check if STAB</t>
  </si>
  <si>
    <t>00102E50</t>
  </si>
  <si>
    <t>3C13FEEB</t>
  </si>
  <si>
    <t>2100001A</t>
  </si>
  <si>
    <t>6100A0E3</t>
  </si>
  <si>
    <t>3813FEEB</t>
  </si>
  <si>
    <t>010050E3</t>
  </si>
  <si>
    <t>1D00001A</t>
  </si>
  <si>
    <t>0410A0E1</t>
  </si>
  <si>
    <t>033DFEEB</t>
  </si>
  <si>
    <t>1900A0E3</t>
  </si>
  <si>
    <t>3013FEEB</t>
  </si>
  <si>
    <t>7416FEEB</t>
  </si>
  <si>
    <t>2913FEEB</t>
  </si>
  <si>
    <t>F63CFEEB</t>
  </si>
  <si>
    <t>B408FEEB</t>
  </si>
  <si>
    <t>EC76FDEB</t>
  </si>
  <si>
    <t>BFEBFFEB</t>
  </si>
  <si>
    <t>8400FEEA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</si>
</sst>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3" fillId="4" borderId="0" xfId="0" quotePrefix="1" applyFont="1" applyFill="1"/>
    <xf numFmtId="0" fontId="3" fillId="0" borderId="0" xfId="0" quotePrefix="1" applyFont="1"/>
    <xf numFmtId="0" fontId="3" fillId="4" borderId="0" xfId="0" applyFont="1" applyFill="1"/>
    <xf numFmtId="0" fontId="2" fillId="5" borderId="0" xfId="0" applyFont="1" applyFill="1"/>
    <xf numFmtId="0" fontId="3" fillId="5" borderId="0" xfId="0" quotePrefix="1" applyFont="1" applyFill="1"/>
    <xf numFmtId="0" fontId="2" fillId="6" borderId="0" xfId="0" applyFont="1" applyFill="1"/>
    <xf numFmtId="0" fontId="3" fillId="6" borderId="0" xfId="0" quotePrefix="1" applyFont="1" applyFill="1"/>
    <xf numFmtId="0" fontId="2" fillId="0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7" borderId="0" xfId="0" quotePrefix="1" applyFont="1" applyFill="1"/>
    <xf numFmtId="0" fontId="2" fillId="9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M77"/>
  <sheetViews>
    <sheetView tabSelected="1" zoomScale="85" zoomScaleNormal="85" workbookViewId="0">
      <pane ySplit="1" topLeftCell="A2" activePane="bottomLeft" state="frozen"/>
      <selection pane="bottomLeft" activeCell="A13" sqref="A13"/>
    </sheetView>
  </sheetViews>
  <sheetFormatPr defaultColWidth="9.0703125" defaultRowHeight="15.9"/>
  <cols>
    <col min="1" max="1" width="9.42578125" style="2" customWidth="1"/>
    <col min="2" max="2" width="9.640625" style="2" bestFit="1" customWidth="1"/>
    <col min="3" max="3" width="47.5703125" style="2" bestFit="1" customWidth="1"/>
    <col min="4" max="4" width="54.28515625" style="2" bestFit="1" customWidth="1"/>
    <col min="5" max="5" width="12.7109375" style="2" customWidth="1"/>
    <col min="6" max="6" width="23.35546875" style="2" customWidth="1"/>
    <col min="7" max="7" width="13.5703125" style="2" customWidth="1"/>
    <col min="8" max="16384" width="9.0703125" style="2"/>
  </cols>
  <sheetData>
    <row r="1" spans="1:13">
      <c r="A1" s="1" t="s">
        <v>0</v>
      </c>
      <c r="B1" s="1" t="s">
        <v>1</v>
      </c>
      <c r="C1" s="1" t="s">
        <v>2</v>
      </c>
      <c r="D1" s="1"/>
      <c r="E1" s="2" t="str">
        <f>DEC2HEX(HEX2DEC(F1)-HEX2DEC("6dd000"),8)</f>
        <v>000D7F18</v>
      </c>
      <c r="F1" s="2" t="s">
        <v>33</v>
      </c>
    </row>
    <row r="2" spans="1:13">
      <c r="A2" s="1" t="s">
        <v>40</v>
      </c>
      <c r="B2" s="3"/>
      <c r="D2" s="1"/>
    </row>
    <row r="3" spans="1:13">
      <c r="A3" s="3">
        <v>0</v>
      </c>
      <c r="B3" s="2" t="str">
        <f>_xlfn.CONCAT("0",RIGHT(C3,1),"10A0E3")</f>
        <v>0210A0E3</v>
      </c>
      <c r="C3" s="2" t="s">
        <v>55</v>
      </c>
    </row>
    <row r="4" spans="1:13">
      <c r="A4" s="2" t="str">
        <f t="shared" ref="A4:A7" si="0">DEC2HEX(HEX2DEC(A3)+4,8)</f>
        <v>00000004</v>
      </c>
      <c r="B4" s="3" t="s">
        <v>8</v>
      </c>
      <c r="C4" s="2" t="s">
        <v>9</v>
      </c>
    </row>
    <row r="5" spans="1:13">
      <c r="A5" s="2" t="str">
        <f t="shared" si="0"/>
        <v>00000008</v>
      </c>
      <c r="B5" s="2" t="s">
        <v>10</v>
      </c>
      <c r="C5" s="2" t="s">
        <v>11</v>
      </c>
    </row>
    <row r="6" spans="1:13">
      <c r="A6" s="2" t="str">
        <f t="shared" si="0"/>
        <v>0000000C</v>
      </c>
      <c r="B6" s="2" t="s">
        <v>12</v>
      </c>
      <c r="C6" s="2" t="s">
        <v>13</v>
      </c>
    </row>
    <row r="7" spans="1:13">
      <c r="A7" s="2" t="str">
        <f t="shared" si="0"/>
        <v>00000010</v>
      </c>
      <c r="B7" s="3" t="s">
        <v>6</v>
      </c>
      <c r="C7" s="2" t="s">
        <v>14</v>
      </c>
    </row>
    <row r="8" spans="1:13">
      <c r="B8" s="3"/>
      <c r="C8" s="4"/>
      <c r="K8" s="5"/>
      <c r="L8" s="6"/>
      <c r="M8" s="6"/>
    </row>
    <row r="9" spans="1:13">
      <c r="A9" s="1" t="s">
        <v>41</v>
      </c>
    </row>
    <row r="10" spans="1:13">
      <c r="A10" s="2" t="s">
        <v>42</v>
      </c>
      <c r="D10" s="2" t="s">
        <v>43</v>
      </c>
    </row>
    <row r="12" spans="1:13">
      <c r="A12" s="1" t="s">
        <v>44</v>
      </c>
      <c r="B12" s="3"/>
      <c r="D12" s="1"/>
    </row>
    <row r="13" spans="1:13">
      <c r="A13" s="3" t="s">
        <v>90</v>
      </c>
      <c r="B13" s="2" t="s">
        <v>17</v>
      </c>
      <c r="C13" s="2" t="s">
        <v>5</v>
      </c>
      <c r="D13" s="1"/>
    </row>
    <row r="14" spans="1:13">
      <c r="A14" s="2" t="str">
        <f t="shared" ref="A14:A54" si="1">DEC2HEX(HEX2DEC(A13)+4,8)</f>
        <v>00102E54</v>
      </c>
      <c r="B14" s="2" t="s">
        <v>24</v>
      </c>
      <c r="C14" s="2" t="s">
        <v>4</v>
      </c>
    </row>
    <row r="15" spans="1:13">
      <c r="A15" s="2" t="str">
        <f t="shared" si="1"/>
        <v>00102E58</v>
      </c>
      <c r="B15" s="2" t="s">
        <v>18</v>
      </c>
      <c r="C15" s="2" t="s">
        <v>3</v>
      </c>
    </row>
    <row r="16" spans="1:13">
      <c r="A16" s="7" t="str">
        <f t="shared" si="1"/>
        <v>00102E5C</v>
      </c>
      <c r="B16" s="7" t="s">
        <v>19</v>
      </c>
      <c r="C16" s="7" t="s">
        <v>47</v>
      </c>
      <c r="D16" s="7" t="s">
        <v>45</v>
      </c>
    </row>
    <row r="17" spans="1:4">
      <c r="A17" s="7" t="str">
        <f t="shared" si="1"/>
        <v>00102E60</v>
      </c>
      <c r="B17" s="8" t="s">
        <v>91</v>
      </c>
      <c r="C17" s="7" t="s">
        <v>36</v>
      </c>
      <c r="D17" s="7"/>
    </row>
    <row r="18" spans="1:4">
      <c r="A18" s="7" t="str">
        <f t="shared" si="1"/>
        <v>00102E64</v>
      </c>
      <c r="B18" s="8" t="s">
        <v>20</v>
      </c>
      <c r="C18" s="7" t="s">
        <v>15</v>
      </c>
      <c r="D18" s="7"/>
    </row>
    <row r="19" spans="1:4">
      <c r="A19" s="7" t="str">
        <f t="shared" si="1"/>
        <v>00102E68</v>
      </c>
      <c r="B19" s="7" t="s">
        <v>92</v>
      </c>
      <c r="C19" s="7" t="str">
        <f>_xlfn.CONCAT("bne 0x",A$54)</f>
        <v>bne 0x00102EF4</v>
      </c>
      <c r="D19" s="7"/>
    </row>
    <row r="20" spans="1:4" s="19" customFormat="1">
      <c r="A20" s="20" t="str">
        <f t="shared" si="1"/>
        <v>00102E6C</v>
      </c>
      <c r="B20" s="20" t="s">
        <v>93</v>
      </c>
      <c r="C20" s="20" t="s">
        <v>81</v>
      </c>
      <c r="D20" s="20" t="s">
        <v>83</v>
      </c>
    </row>
    <row r="21" spans="1:4" s="19" customFormat="1">
      <c r="A21" s="20" t="str">
        <f t="shared" si="1"/>
        <v>00102E70</v>
      </c>
      <c r="B21" s="20" t="s">
        <v>94</v>
      </c>
      <c r="C21" s="20" t="s">
        <v>36</v>
      </c>
      <c r="D21" s="20"/>
    </row>
    <row r="22" spans="1:4" s="19" customFormat="1">
      <c r="A22" s="20" t="str">
        <f t="shared" si="1"/>
        <v>00102E74</v>
      </c>
      <c r="B22" s="23" t="s">
        <v>95</v>
      </c>
      <c r="C22" s="20" t="s">
        <v>82</v>
      </c>
      <c r="D22" s="20"/>
    </row>
    <row r="23" spans="1:4" s="19" customFormat="1">
      <c r="A23" s="20" t="str">
        <f t="shared" si="1"/>
        <v>00102E78</v>
      </c>
      <c r="B23" s="20" t="s">
        <v>96</v>
      </c>
      <c r="C23" s="20" t="str">
        <f>_xlfn.CONCAT("bne 0x",A$54)</f>
        <v>bne 0x00102EF4</v>
      </c>
      <c r="D23" s="20"/>
    </row>
    <row r="24" spans="1:4" s="19" customFormat="1">
      <c r="A24" s="21" t="str">
        <f t="shared" si="1"/>
        <v>00102E7C</v>
      </c>
      <c r="B24" s="21" t="s">
        <v>97</v>
      </c>
      <c r="C24" s="21" t="s">
        <v>85</v>
      </c>
      <c r="D24" s="21" t="s">
        <v>84</v>
      </c>
    </row>
    <row r="25" spans="1:4" s="19" customFormat="1">
      <c r="A25" s="21" t="str">
        <f t="shared" si="1"/>
        <v>00102E80</v>
      </c>
      <c r="B25" s="21" t="s">
        <v>25</v>
      </c>
      <c r="C25" s="21" t="s">
        <v>7</v>
      </c>
      <c r="D25" s="21"/>
    </row>
    <row r="26" spans="1:4" s="19" customFormat="1">
      <c r="A26" s="21" t="str">
        <f t="shared" si="1"/>
        <v>00102E84</v>
      </c>
      <c r="B26" s="21" t="s">
        <v>98</v>
      </c>
      <c r="C26" s="21" t="s">
        <v>50</v>
      </c>
      <c r="D26" s="21"/>
    </row>
    <row r="27" spans="1:4" s="19" customFormat="1">
      <c r="A27" s="21" t="str">
        <f t="shared" si="1"/>
        <v>00102E88</v>
      </c>
      <c r="B27" s="21" t="s">
        <v>32</v>
      </c>
      <c r="C27" s="21" t="s">
        <v>30</v>
      </c>
      <c r="D27" s="21"/>
    </row>
    <row r="28" spans="1:4" s="19" customFormat="1">
      <c r="A28" s="22" t="str">
        <f t="shared" si="1"/>
        <v>00102E8C</v>
      </c>
      <c r="B28" s="22" t="s">
        <v>99</v>
      </c>
      <c r="C28" s="22" t="s">
        <v>86</v>
      </c>
      <c r="D28" s="22" t="s">
        <v>87</v>
      </c>
    </row>
    <row r="29" spans="1:4" s="19" customFormat="1">
      <c r="A29" s="22" t="str">
        <f t="shared" si="1"/>
        <v>00102E90</v>
      </c>
      <c r="B29" s="22" t="s">
        <v>100</v>
      </c>
      <c r="C29" s="22" t="s">
        <v>36</v>
      </c>
      <c r="D29" s="22"/>
    </row>
    <row r="30" spans="1:4" s="19" customFormat="1">
      <c r="A30" s="22" t="str">
        <f t="shared" si="1"/>
        <v>00102E94</v>
      </c>
      <c r="B30" s="22" t="s">
        <v>31</v>
      </c>
      <c r="C30" s="22" t="s">
        <v>29</v>
      </c>
      <c r="D30" s="22" t="s">
        <v>89</v>
      </c>
    </row>
    <row r="31" spans="1:4" s="19" customFormat="1">
      <c r="A31" s="22" t="str">
        <f t="shared" si="1"/>
        <v>00102E98</v>
      </c>
      <c r="B31" s="22" t="s">
        <v>22</v>
      </c>
      <c r="C31" s="22" t="s">
        <v>16</v>
      </c>
      <c r="D31" s="22"/>
    </row>
    <row r="32" spans="1:4" s="19" customFormat="1">
      <c r="A32" s="22" t="str">
        <f t="shared" si="1"/>
        <v>00102E9C</v>
      </c>
      <c r="B32" s="22" t="s">
        <v>101</v>
      </c>
      <c r="C32" s="22" t="s">
        <v>88</v>
      </c>
      <c r="D32" s="22"/>
    </row>
    <row r="33" spans="1:4" s="19" customFormat="1">
      <c r="A33" s="22" t="str">
        <f t="shared" si="1"/>
        <v>00102EA0</v>
      </c>
      <c r="B33" s="24" t="s">
        <v>95</v>
      </c>
      <c r="C33" s="22" t="s">
        <v>82</v>
      </c>
      <c r="D33" s="22"/>
    </row>
    <row r="34" spans="1:4" s="19" customFormat="1">
      <c r="A34" s="22" t="str">
        <f t="shared" si="1"/>
        <v>00102EA4</v>
      </c>
      <c r="B34" s="22" t="s">
        <v>28</v>
      </c>
      <c r="C34" s="22" t="str">
        <f>_xlfn.CONCAT("bne 0x",A$54)</f>
        <v>bne 0x00102EF4</v>
      </c>
      <c r="D34" s="22"/>
    </row>
    <row r="35" spans="1:4">
      <c r="A35" s="9" t="str">
        <f t="shared" si="1"/>
        <v>00102EA8</v>
      </c>
      <c r="B35" s="9" t="s">
        <v>27</v>
      </c>
      <c r="C35" s="9" t="s">
        <v>46</v>
      </c>
      <c r="D35" s="9" t="s">
        <v>48</v>
      </c>
    </row>
    <row r="36" spans="1:4">
      <c r="A36" s="9" t="str">
        <f t="shared" si="1"/>
        <v>00102EAC</v>
      </c>
      <c r="B36" s="10" t="s">
        <v>102</v>
      </c>
      <c r="C36" s="9" t="s">
        <v>36</v>
      </c>
      <c r="D36" s="9"/>
    </row>
    <row r="37" spans="1:4">
      <c r="A37" s="11" t="str">
        <f t="shared" si="1"/>
        <v>00102EB0</v>
      </c>
      <c r="B37" s="12" t="s">
        <v>31</v>
      </c>
      <c r="C37" s="14" t="s">
        <v>29</v>
      </c>
      <c r="D37" s="11" t="s">
        <v>49</v>
      </c>
    </row>
    <row r="38" spans="1:4">
      <c r="A38" s="11" t="str">
        <f t="shared" si="1"/>
        <v>00102EB4</v>
      </c>
      <c r="B38" s="12" t="s">
        <v>25</v>
      </c>
      <c r="C38" s="11" t="s">
        <v>7</v>
      </c>
      <c r="D38" s="11"/>
    </row>
    <row r="39" spans="1:4">
      <c r="A39" s="11" t="str">
        <f t="shared" si="1"/>
        <v>00102EB8</v>
      </c>
      <c r="B39" s="12" t="s">
        <v>103</v>
      </c>
      <c r="C39" s="11" t="s">
        <v>50</v>
      </c>
      <c r="D39" s="11"/>
    </row>
    <row r="40" spans="1:4">
      <c r="A40" s="11" t="str">
        <f t="shared" si="1"/>
        <v>00102EBC</v>
      </c>
      <c r="B40" s="12" t="s">
        <v>32</v>
      </c>
      <c r="C40" s="11" t="s">
        <v>30</v>
      </c>
      <c r="D40" s="11"/>
    </row>
    <row r="41" spans="1:4">
      <c r="A41" s="15" t="str">
        <f t="shared" si="1"/>
        <v>00102EC0</v>
      </c>
      <c r="B41" s="16" t="s">
        <v>26</v>
      </c>
      <c r="C41" s="15" t="s">
        <v>35</v>
      </c>
      <c r="D41" s="15" t="s">
        <v>58</v>
      </c>
    </row>
    <row r="42" spans="1:4">
      <c r="A42" s="15" t="str">
        <f t="shared" si="1"/>
        <v>00102EC4</v>
      </c>
      <c r="B42" s="16" t="s">
        <v>104</v>
      </c>
      <c r="C42" s="15" t="s">
        <v>52</v>
      </c>
      <c r="D42" s="15"/>
    </row>
    <row r="43" spans="1:4">
      <c r="A43" s="15" t="str">
        <f t="shared" si="1"/>
        <v>00102EC8</v>
      </c>
      <c r="B43" s="16" t="s">
        <v>21</v>
      </c>
      <c r="C43" s="15" t="s">
        <v>34</v>
      </c>
      <c r="D43" s="15"/>
    </row>
    <row r="44" spans="1:4">
      <c r="A44" s="15" t="str">
        <f t="shared" si="1"/>
        <v>00102ECC</v>
      </c>
      <c r="B44" s="16" t="s">
        <v>80</v>
      </c>
      <c r="C44" s="15" t="str">
        <f>_xlfn.CONCAT("beq 0x",A54)</f>
        <v>beq 0x00102EF4</v>
      </c>
      <c r="D44" s="15"/>
    </row>
    <row r="45" spans="1:4">
      <c r="A45" s="17" t="str">
        <f t="shared" si="1"/>
        <v>00102ED0</v>
      </c>
      <c r="B45" s="18" t="s">
        <v>22</v>
      </c>
      <c r="C45" s="17" t="s">
        <v>16</v>
      </c>
      <c r="D45" s="17" t="s">
        <v>59</v>
      </c>
    </row>
    <row r="46" spans="1:4">
      <c r="A46" s="17" t="str">
        <f t="shared" si="1"/>
        <v>00102ED4</v>
      </c>
      <c r="B46" s="18" t="s">
        <v>105</v>
      </c>
      <c r="C46" s="17" t="s">
        <v>51</v>
      </c>
      <c r="D46" s="17"/>
    </row>
    <row r="47" spans="1:4">
      <c r="A47" s="17" t="str">
        <f t="shared" si="1"/>
        <v>00102ED8</v>
      </c>
      <c r="B47" s="18" t="s">
        <v>106</v>
      </c>
      <c r="C47" s="17" t="str">
        <f>_xlfn.CONCAT("bl 0x",A57)</f>
        <v>bl 0x000FDDDC</v>
      </c>
      <c r="D47" s="17" t="s">
        <v>72</v>
      </c>
    </row>
    <row r="48" spans="1:4">
      <c r="A48" s="17" t="str">
        <f t="shared" si="1"/>
        <v>00102EDC</v>
      </c>
      <c r="B48" s="18" t="s">
        <v>21</v>
      </c>
      <c r="C48" s="17" t="s">
        <v>34</v>
      </c>
      <c r="D48" s="17"/>
    </row>
    <row r="49" spans="1:4">
      <c r="A49" s="17" t="str">
        <f t="shared" si="1"/>
        <v>00102EE0</v>
      </c>
      <c r="B49" s="18" t="s">
        <v>56</v>
      </c>
      <c r="C49" s="17" t="str">
        <f>_xlfn.CONCAT("beq 0x",A54)</f>
        <v>beq 0x00102EF4</v>
      </c>
      <c r="D49" s="17"/>
    </row>
    <row r="50" spans="1:4">
      <c r="A50" s="2" t="str">
        <f t="shared" si="1"/>
        <v>00102EE4</v>
      </c>
      <c r="B50" s="13" t="s">
        <v>39</v>
      </c>
      <c r="C50" s="4" t="str">
        <f>SUBSTITUTE(C13,"push","pop")</f>
        <v>pop {r4, r5, r6, lr}</v>
      </c>
    </row>
    <row r="51" spans="1:4">
      <c r="A51" s="2" t="str">
        <f t="shared" si="1"/>
        <v>00102EE8</v>
      </c>
      <c r="B51" s="13" t="s">
        <v>57</v>
      </c>
      <c r="C51" s="4" t="s">
        <v>53</v>
      </c>
    </row>
    <row r="52" spans="1:4">
      <c r="A52" s="2" t="str">
        <f t="shared" si="1"/>
        <v>00102EEC</v>
      </c>
      <c r="B52" s="13" t="s">
        <v>37</v>
      </c>
      <c r="C52" s="4" t="s">
        <v>38</v>
      </c>
    </row>
    <row r="53" spans="1:4">
      <c r="A53" s="2" t="str">
        <f t="shared" si="1"/>
        <v>00102EF0</v>
      </c>
      <c r="B53" s="13" t="s">
        <v>107</v>
      </c>
      <c r="C53" s="2" t="s">
        <v>54</v>
      </c>
    </row>
    <row r="54" spans="1:4">
      <c r="A54" s="2" t="str">
        <f t="shared" si="1"/>
        <v>00102EF4</v>
      </c>
      <c r="B54" s="2" t="s">
        <v>23</v>
      </c>
      <c r="C54" s="2" t="str">
        <f>SUBSTITUTE(C50,"lr","pc")</f>
        <v>pop {r4, r5, r6, pc}</v>
      </c>
    </row>
    <row r="56" spans="1:4">
      <c r="A56" s="1" t="s">
        <v>79</v>
      </c>
    </row>
    <row r="57" spans="1:4">
      <c r="A57" s="2" t="s">
        <v>75</v>
      </c>
      <c r="B57" s="2" t="s">
        <v>76</v>
      </c>
      <c r="C57" s="2" t="s">
        <v>73</v>
      </c>
    </row>
    <row r="58" spans="1:4">
      <c r="A58" s="2" t="str">
        <f t="shared" ref="A58:A60" si="2">DEC2HEX(HEX2DEC(A57)+4,8)</f>
        <v>000FDDE0</v>
      </c>
      <c r="B58" s="2" t="s">
        <v>77</v>
      </c>
      <c r="C58" s="2" t="str">
        <f>_xlfn.CONCAT("mov r2, 0x",DEC2HEX(COUNTA(D66:D77)))</f>
        <v>mov r2, 0x9</v>
      </c>
    </row>
    <row r="59" spans="1:4">
      <c r="A59" s="2" t="str">
        <f t="shared" si="2"/>
        <v>000FDDE4</v>
      </c>
      <c r="B59" s="2" t="s">
        <v>78</v>
      </c>
      <c r="C59" s="2" t="s">
        <v>74</v>
      </c>
    </row>
    <row r="60" spans="1:4">
      <c r="A60" s="2" t="str">
        <f t="shared" si="2"/>
        <v>000FDDE8</v>
      </c>
      <c r="B60" s="3" t="s">
        <v>6</v>
      </c>
    </row>
    <row r="66" spans="1:4">
      <c r="A66" s="2" t="s">
        <v>60</v>
      </c>
      <c r="B66" s="2">
        <v>182</v>
      </c>
      <c r="C66" s="2" t="str">
        <f>DEC2HEX(B66,4)</f>
        <v>00B6</v>
      </c>
      <c r="D66" s="2" t="str">
        <f>RIGHT(C66,2)&amp;LEFT(C66,2)</f>
        <v>B600</v>
      </c>
    </row>
    <row r="67" spans="1:4">
      <c r="A67" s="2" t="s">
        <v>61</v>
      </c>
      <c r="B67" s="2">
        <v>197</v>
      </c>
      <c r="C67" s="2" t="str">
        <f t="shared" ref="C67:C77" si="3">DEC2HEX(B67,4)</f>
        <v>00C5</v>
      </c>
      <c r="D67" s="2" t="str">
        <f t="shared" ref="D67:D74" si="4">RIGHT(C67,2)&amp;LEFT(C67,2)</f>
        <v>C500</v>
      </c>
    </row>
    <row r="68" spans="1:4">
      <c r="A68" s="2" t="s">
        <v>62</v>
      </c>
      <c r="B68">
        <v>588</v>
      </c>
      <c r="C68" s="2" t="str">
        <f t="shared" si="3"/>
        <v>024C</v>
      </c>
      <c r="D68" s="2" t="str">
        <f t="shared" si="4"/>
        <v>4C02</v>
      </c>
    </row>
    <row r="69" spans="1:4">
      <c r="A69" s="2" t="s">
        <v>63</v>
      </c>
      <c r="B69" s="2">
        <v>596</v>
      </c>
      <c r="C69" s="2" t="str">
        <f t="shared" si="3"/>
        <v>0254</v>
      </c>
      <c r="D69" s="2" t="str">
        <f t="shared" si="4"/>
        <v>5402</v>
      </c>
    </row>
    <row r="70" spans="1:4">
      <c r="A70" s="2" t="s">
        <v>64</v>
      </c>
      <c r="B70" s="2">
        <v>661</v>
      </c>
      <c r="C70" s="2" t="str">
        <f t="shared" si="3"/>
        <v>0295</v>
      </c>
      <c r="D70" s="2" t="str">
        <f t="shared" si="4"/>
        <v>9502</v>
      </c>
    </row>
    <row r="71" spans="1:4">
      <c r="A71" s="2" t="s">
        <v>68</v>
      </c>
      <c r="B71" s="2">
        <v>561</v>
      </c>
      <c r="C71" s="2" t="str">
        <f t="shared" si="3"/>
        <v>0231</v>
      </c>
      <c r="D71" s="2" t="str">
        <f t="shared" si="4"/>
        <v>3102</v>
      </c>
    </row>
    <row r="72" spans="1:4">
      <c r="A72" s="2" t="s">
        <v>69</v>
      </c>
      <c r="B72" s="2">
        <v>501</v>
      </c>
      <c r="C72" s="2" t="str">
        <f t="shared" si="3"/>
        <v>01F5</v>
      </c>
      <c r="D72" s="2" t="str">
        <f t="shared" si="4"/>
        <v>F501</v>
      </c>
    </row>
    <row r="73" spans="1:4">
      <c r="A73" s="2" t="s">
        <v>70</v>
      </c>
      <c r="B73" s="2">
        <v>469</v>
      </c>
      <c r="C73" s="2" t="str">
        <f t="shared" si="3"/>
        <v>01D5</v>
      </c>
      <c r="D73" s="2" t="str">
        <f t="shared" si="4"/>
        <v>D501</v>
      </c>
    </row>
    <row r="74" spans="1:4">
      <c r="A74" s="2" t="s">
        <v>71</v>
      </c>
      <c r="B74" s="2">
        <v>578</v>
      </c>
      <c r="C74" s="2" t="str">
        <f t="shared" si="3"/>
        <v>0242</v>
      </c>
      <c r="D74" s="2" t="str">
        <f t="shared" si="4"/>
        <v>4202</v>
      </c>
    </row>
    <row r="75" spans="1:4">
      <c r="A75" s="2" t="s">
        <v>65</v>
      </c>
      <c r="B75" s="2" t="e">
        <v>#N/A</v>
      </c>
      <c r="C75" s="2" t="e">
        <f t="shared" si="3"/>
        <v>#N/A</v>
      </c>
    </row>
    <row r="76" spans="1:4">
      <c r="A76" s="2" t="s">
        <v>66</v>
      </c>
      <c r="B76" s="2" t="e">
        <v>#N/A</v>
      </c>
      <c r="C76" s="2" t="e">
        <f t="shared" si="3"/>
        <v>#N/A</v>
      </c>
    </row>
    <row r="77" spans="1:4">
      <c r="A77" s="2" t="s">
        <v>67</v>
      </c>
      <c r="B77" s="2" t="e">
        <v>#N/A</v>
      </c>
      <c r="C77" s="2" t="e">
        <f t="shared" si="3"/>
        <v>#N/A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2026-05-11T03:51:44Z</dcterms:modified>
</cp:coreProperties>
</file>