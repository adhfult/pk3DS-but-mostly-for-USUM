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9CC90240-42D9-4CE6-86BF-5DF970AFD658}" xr6:coauthVersionLast="47" xr6:coauthVersionMax="47" xr10:uidLastSave="{00000000-0000-0000-0000-000000000000}"/>
  <bookViews>
    <workbookView xWindow="16457" yWindow="0" windowWidth="16457" windowHeight="17914" xr2:uid="{FFF8744C-F0B4-428F-8CA7-718350CADE02}"/>
  </bookViews>
  <sheets>
    <sheet name="Edited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C39" i="6"/>
  <c r="C38" i="6"/>
  <c r="A4" i="6" l="1"/>
  <c r="E1" i="6"/>
</calcChain>
</file>

<file path=xl/sharedStrings.xml><?xml version="1.0" encoding="utf-8"?>
<sst xmlns="http://schemas.openxmlformats.org/spreadsheetml/2006/main" count="48" uniqueCount="48">
  <si>
    <t>Address</t>
  </si>
  <si>
    <t>Hex</t>
  </si>
  <si>
    <t>instruction</t>
  </si>
  <si>
    <t>mov r1, r5</t>
  </si>
  <si>
    <t>007b4f18</t>
  </si>
  <si>
    <t>mov r0, 0x1</t>
  </si>
  <si>
    <t>bl 0x000876F8</t>
  </si>
  <si>
    <t>bl 0x00092298</t>
  </si>
  <si>
    <t>mov r0, r7</t>
  </si>
  <si>
    <t>mov r6, r2</t>
  </si>
  <si>
    <t>mov r5, r0</t>
  </si>
  <si>
    <t>mov r1, 0xB</t>
  </si>
  <si>
    <t>mov r7, r3</t>
  </si>
  <si>
    <t>Inflicter</t>
  </si>
  <si>
    <t>statused</t>
  </si>
  <si>
    <t>Base pointer</t>
  </si>
  <si>
    <t>status</t>
  </si>
  <si>
    <t>index r0 inflicts status r3 on pokemon r1, base pointer r2</t>
  </si>
  <si>
    <t>sub sp, sp, 0x10</t>
  </si>
  <si>
    <t>mov r0, r2</t>
  </si>
  <si>
    <t>Get pointer to inflicter</t>
  </si>
  <si>
    <t>mov r8, r0</t>
  </si>
  <si>
    <t>add r2, sp, 0x8</t>
  </si>
  <si>
    <t>set status</t>
  </si>
  <si>
    <t>bl 0x00060C6C</t>
  </si>
  <si>
    <t>mov r1, r8</t>
  </si>
  <si>
    <t>inflicter pointer</t>
  </si>
  <si>
    <t>mov r0, r6</t>
  </si>
  <si>
    <t>push {r4, r5, r6, r7, r8, r9, lr}</t>
  </si>
  <si>
    <t>add r9, sp, 0x8</t>
  </si>
  <si>
    <t>r8 = r9</t>
  </si>
  <si>
    <t>mov r4, r1</t>
  </si>
  <si>
    <t>mov r2, r5</t>
  </si>
  <si>
    <t>ldr r1, [r0]</t>
  </si>
  <si>
    <t>mov r10, r0</t>
  </si>
  <si>
    <t>add r3, r10, 0x8</t>
  </si>
  <si>
    <t>orr r1, r1, 0x800000</t>
  </si>
  <si>
    <t>str r1, [r10]</t>
  </si>
  <si>
    <t>strh r7, [r10, 0x4]</t>
  </si>
  <si>
    <t>ldmia r9, {r1, r2}</t>
  </si>
  <si>
    <t>stmia r3, {r1, r2}</t>
  </si>
  <si>
    <t>strb r0, [r10, 0x10]</t>
  </si>
  <si>
    <t>ldrb r0, [r10, 0x11]</t>
  </si>
  <si>
    <t>bic r0, r0, 0x1</t>
  </si>
  <si>
    <t>strb r0, [r10, 0x11]</t>
  </si>
  <si>
    <t>strb r4, [r10, 0x11]</t>
  </si>
  <si>
    <t>mov r1, r10</t>
  </si>
  <si>
    <t>bl 0x0007CCF4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</si>
</sst>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 applyFill="1"/>
    <xf numFmtId="0" fontId="2" fillId="0" borderId="0" xfId="0" quotePrefix="1" applyFont="1" applyFill="1"/>
    <xf numFmtId="0" fontId="3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F40"/>
  <sheetViews>
    <sheetView tabSelected="1" zoomScale="85" zoomScaleNormal="85" workbookViewId="0">
      <pane ySplit="1" topLeftCell="A2" activePane="bottomLeft" state="frozen"/>
      <selection pane="bottomLeft" activeCell="D5" sqref="D5"/>
    </sheetView>
  </sheetViews>
  <sheetFormatPr defaultColWidth="9.0703125" defaultRowHeight="15.9"/>
  <cols>
    <col min="1" max="1" width="9.42578125" style="2" customWidth="1"/>
    <col min="2" max="2" width="9.7109375" style="2" bestFit="1" customWidth="1"/>
    <col min="3" max="3" width="37.5" style="2" bestFit="1" customWidth="1"/>
    <col min="4" max="4" width="94.85546875" style="2" customWidth="1"/>
    <col min="5" max="6" width="12.7109375" style="2" customWidth="1"/>
    <col min="7" max="7" width="13.5703125" style="2" customWidth="1"/>
    <col min="8" max="16384" width="9.0703125" style="2"/>
  </cols>
  <sheetData>
    <row r="1" spans="1:6">
      <c r="A1" s="1" t="s">
        <v>0</v>
      </c>
      <c r="B1" s="1" t="s">
        <v>1</v>
      </c>
      <c r="C1" s="1" t="s">
        <v>2</v>
      </c>
      <c r="D1" s="1"/>
      <c r="E1" s="2" t="str">
        <f>DEC2HEX(HEX2DEC(F1)-HEX2DEC("6dd000"),8)</f>
        <v>000D7F18</v>
      </c>
      <c r="F1" s="2" t="s">
        <v>4</v>
      </c>
    </row>
    <row r="2" spans="1:6">
      <c r="A2" s="1" t="s">
        <v>17</v>
      </c>
    </row>
    <row r="3" spans="1:6">
      <c r="A3" s="2">
        <v>0</v>
      </c>
      <c r="C3" s="2" t="s">
        <v>28</v>
      </c>
    </row>
    <row r="4" spans="1:6">
      <c r="A4" s="2" t="str">
        <f>DEC2HEX(HEX2DEC(A3)+4,8)</f>
        <v>00000004</v>
      </c>
      <c r="C4" s="2" t="s">
        <v>10</v>
      </c>
      <c r="D4" s="2" t="s">
        <v>13</v>
      </c>
    </row>
    <row r="5" spans="1:6">
      <c r="A5" s="2" t="str">
        <f t="shared" ref="A5:A39" si="0">DEC2HEX(HEX2DEC(A4)+4,8)</f>
        <v>00000008</v>
      </c>
      <c r="C5" s="2" t="s">
        <v>31</v>
      </c>
      <c r="D5" s="2" t="s">
        <v>14</v>
      </c>
    </row>
    <row r="6" spans="1:6">
      <c r="A6" s="2" t="str">
        <f t="shared" si="0"/>
        <v>0000000C</v>
      </c>
      <c r="B6" s="6"/>
      <c r="C6" s="6" t="s">
        <v>9</v>
      </c>
      <c r="D6" s="6" t="s">
        <v>15</v>
      </c>
    </row>
    <row r="7" spans="1:6">
      <c r="A7" s="2" t="str">
        <f t="shared" si="0"/>
        <v>00000010</v>
      </c>
      <c r="B7" s="6"/>
      <c r="C7" s="6" t="s">
        <v>12</v>
      </c>
      <c r="D7" s="6" t="s">
        <v>16</v>
      </c>
    </row>
    <row r="8" spans="1:6">
      <c r="A8" s="2" t="str">
        <f t="shared" si="0"/>
        <v>00000014</v>
      </c>
      <c r="B8" s="7"/>
      <c r="C8" s="6" t="s">
        <v>18</v>
      </c>
      <c r="D8" s="6"/>
    </row>
    <row r="9" spans="1:6">
      <c r="A9" s="2" t="str">
        <f t="shared" si="0"/>
        <v>00000018</v>
      </c>
      <c r="B9" s="4"/>
      <c r="C9" s="4" t="s">
        <v>3</v>
      </c>
      <c r="D9" s="4" t="s">
        <v>20</v>
      </c>
    </row>
    <row r="10" spans="1:6">
      <c r="A10" s="2" t="str">
        <f t="shared" si="0"/>
        <v>0000001C</v>
      </c>
      <c r="B10" s="4"/>
      <c r="C10" s="4" t="s">
        <v>19</v>
      </c>
      <c r="D10" s="4"/>
    </row>
    <row r="11" spans="1:6">
      <c r="A11" s="2" t="str">
        <f t="shared" si="0"/>
        <v>00000020</v>
      </c>
      <c r="B11" s="4"/>
      <c r="C11" s="4" t="s">
        <v>7</v>
      </c>
      <c r="D11" s="4"/>
    </row>
    <row r="12" spans="1:6">
      <c r="A12" s="2" t="str">
        <f t="shared" si="0"/>
        <v>00000024</v>
      </c>
      <c r="B12" s="4"/>
      <c r="C12" s="4" t="s">
        <v>21</v>
      </c>
      <c r="D12" s="4"/>
    </row>
    <row r="13" spans="1:6">
      <c r="A13" s="2" t="str">
        <f t="shared" si="0"/>
        <v>00000028</v>
      </c>
      <c r="B13" s="5"/>
      <c r="C13" s="5" t="s">
        <v>22</v>
      </c>
      <c r="D13" s="5"/>
    </row>
    <row r="14" spans="1:6">
      <c r="A14" s="2" t="str">
        <f t="shared" si="0"/>
        <v>0000002C</v>
      </c>
      <c r="B14" s="5"/>
      <c r="C14" s="5" t="s">
        <v>25</v>
      </c>
      <c r="D14" s="5" t="s">
        <v>26</v>
      </c>
    </row>
    <row r="15" spans="1:6">
      <c r="A15" s="2" t="str">
        <f t="shared" si="0"/>
        <v>00000030</v>
      </c>
      <c r="B15" s="5"/>
      <c r="C15" s="5" t="s">
        <v>8</v>
      </c>
      <c r="D15" s="5" t="s">
        <v>23</v>
      </c>
    </row>
    <row r="16" spans="1:6">
      <c r="A16" s="2" t="str">
        <f t="shared" si="0"/>
        <v>00000034</v>
      </c>
      <c r="B16" s="5"/>
      <c r="C16" s="5" t="s">
        <v>24</v>
      </c>
      <c r="D16" s="5"/>
    </row>
    <row r="17" spans="1:4">
      <c r="A17" s="2" t="str">
        <f t="shared" si="0"/>
        <v>00000038</v>
      </c>
      <c r="B17" s="6"/>
      <c r="C17" s="6" t="s">
        <v>29</v>
      </c>
      <c r="D17" s="6"/>
    </row>
    <row r="18" spans="1:4">
      <c r="A18" s="2" t="str">
        <f t="shared" si="0"/>
        <v>0000003C</v>
      </c>
      <c r="B18" s="6"/>
      <c r="C18" s="2" t="s">
        <v>32</v>
      </c>
      <c r="D18" s="6" t="s">
        <v>30</v>
      </c>
    </row>
    <row r="19" spans="1:4">
      <c r="A19" s="2" t="str">
        <f t="shared" si="0"/>
        <v>00000040</v>
      </c>
      <c r="B19" s="6"/>
      <c r="C19" s="6" t="s">
        <v>11</v>
      </c>
      <c r="D19" s="6"/>
    </row>
    <row r="20" spans="1:4">
      <c r="A20" s="2" t="str">
        <f t="shared" si="0"/>
        <v>00000044</v>
      </c>
      <c r="B20" s="6"/>
      <c r="C20" s="2" t="s">
        <v>6</v>
      </c>
      <c r="D20" s="6"/>
    </row>
    <row r="21" spans="1:4">
      <c r="A21" s="2" t="str">
        <f t="shared" si="0"/>
        <v>00000048</v>
      </c>
      <c r="B21" s="6"/>
      <c r="C21" s="6" t="s">
        <v>33</v>
      </c>
    </row>
    <row r="22" spans="1:4">
      <c r="A22" s="2" t="str">
        <f t="shared" si="0"/>
        <v>0000004C</v>
      </c>
      <c r="B22" s="6"/>
      <c r="C22" s="6" t="s">
        <v>34</v>
      </c>
      <c r="D22" s="6"/>
    </row>
    <row r="23" spans="1:4">
      <c r="A23" s="2" t="str">
        <f t="shared" si="0"/>
        <v>00000050</v>
      </c>
      <c r="B23" s="6"/>
      <c r="C23" s="6" t="s">
        <v>35</v>
      </c>
      <c r="D23" s="6"/>
    </row>
    <row r="24" spans="1:4">
      <c r="A24" s="2" t="str">
        <f t="shared" si="0"/>
        <v>00000054</v>
      </c>
      <c r="B24" s="6"/>
      <c r="C24" s="2" t="s">
        <v>36</v>
      </c>
      <c r="D24" s="6"/>
    </row>
    <row r="25" spans="1:4">
      <c r="A25" s="2" t="str">
        <f t="shared" si="0"/>
        <v>00000058</v>
      </c>
      <c r="B25" s="6"/>
      <c r="C25" s="6" t="s">
        <v>37</v>
      </c>
      <c r="D25" s="6"/>
    </row>
    <row r="26" spans="1:4">
      <c r="A26" s="2" t="str">
        <f t="shared" si="0"/>
        <v>0000005C</v>
      </c>
      <c r="B26" s="6"/>
      <c r="C26" s="6" t="s">
        <v>38</v>
      </c>
      <c r="D26" s="6"/>
    </row>
    <row r="27" spans="1:4">
      <c r="A27" s="2" t="str">
        <f t="shared" si="0"/>
        <v>00000060</v>
      </c>
      <c r="B27" s="6"/>
      <c r="C27" s="6" t="s">
        <v>39</v>
      </c>
      <c r="D27" s="6"/>
    </row>
    <row r="28" spans="1:4">
      <c r="A28" s="2" t="str">
        <f t="shared" si="0"/>
        <v>00000064</v>
      </c>
      <c r="B28" s="6"/>
      <c r="C28" s="6" t="s">
        <v>5</v>
      </c>
      <c r="D28" s="6"/>
    </row>
    <row r="29" spans="1:4">
      <c r="A29" s="2" t="str">
        <f t="shared" si="0"/>
        <v>00000068</v>
      </c>
      <c r="B29" s="6"/>
      <c r="C29" s="6" t="s">
        <v>40</v>
      </c>
      <c r="D29" s="6"/>
    </row>
    <row r="30" spans="1:4">
      <c r="A30" s="2" t="str">
        <f t="shared" si="0"/>
        <v>0000006C</v>
      </c>
      <c r="B30" s="6"/>
      <c r="C30" s="6" t="s">
        <v>41</v>
      </c>
      <c r="D30" s="6"/>
    </row>
    <row r="31" spans="1:4">
      <c r="A31" s="2" t="str">
        <f t="shared" si="0"/>
        <v>00000070</v>
      </c>
      <c r="B31" s="7"/>
      <c r="C31" s="6" t="s">
        <v>42</v>
      </c>
      <c r="D31" s="6"/>
    </row>
    <row r="32" spans="1:4">
      <c r="A32" s="2" t="str">
        <f t="shared" si="0"/>
        <v>00000074</v>
      </c>
      <c r="B32" s="7"/>
      <c r="C32" s="7" t="s">
        <v>43</v>
      </c>
      <c r="D32" s="6"/>
    </row>
    <row r="33" spans="1:4">
      <c r="A33" s="2" t="str">
        <f t="shared" si="0"/>
        <v>00000078</v>
      </c>
      <c r="B33" s="8"/>
      <c r="C33" s="6" t="s">
        <v>44</v>
      </c>
      <c r="D33" s="6"/>
    </row>
    <row r="34" spans="1:4">
      <c r="A34" s="2" t="str">
        <f t="shared" si="0"/>
        <v>0000007C</v>
      </c>
      <c r="B34" s="8"/>
      <c r="C34" s="6" t="s">
        <v>45</v>
      </c>
      <c r="D34" s="6"/>
    </row>
    <row r="35" spans="1:4">
      <c r="A35" s="2" t="str">
        <f t="shared" si="0"/>
        <v>00000080</v>
      </c>
      <c r="B35" s="6"/>
      <c r="C35" s="6" t="s">
        <v>46</v>
      </c>
      <c r="D35" s="6"/>
    </row>
    <row r="36" spans="1:4">
      <c r="A36" s="2" t="str">
        <f t="shared" si="0"/>
        <v>00000084</v>
      </c>
      <c r="B36" s="6"/>
      <c r="C36" s="6" t="s">
        <v>27</v>
      </c>
      <c r="D36" s="6"/>
    </row>
    <row r="37" spans="1:4">
      <c r="A37" s="2" t="str">
        <f t="shared" si="0"/>
        <v>00000088</v>
      </c>
      <c r="B37" s="6"/>
      <c r="C37" s="6" t="s">
        <v>47</v>
      </c>
      <c r="D37" s="6"/>
    </row>
    <row r="38" spans="1:4">
      <c r="A38" s="2" t="str">
        <f t="shared" si="0"/>
        <v>0000008C</v>
      </c>
      <c r="B38" s="6"/>
      <c r="C38" s="6" t="str">
        <f>SUBSTITUTE(C8,"sub","add")</f>
        <v>add sp, sp, 0x10</v>
      </c>
      <c r="D38" s="6"/>
    </row>
    <row r="39" spans="1:4">
      <c r="A39" s="2" t="str">
        <f t="shared" si="0"/>
        <v>00000090</v>
      </c>
      <c r="C39" s="2" t="str">
        <f>SUBSTITUTE(SUBSTITUTE(C3,"push","pop"),"lr","pc")</f>
        <v>pop {r4, r5, r6, r7, r8, r9, pc}</v>
      </c>
    </row>
    <row r="40" spans="1:4">
      <c r="B4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2026-05-01T01:48:59Z</dcterms:modified>
</cp:coreProperties>
</file>