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8EB9E4F1-75B3-4D69-95C2-9A1FDB5E8E3B}" xr6:coauthVersionLast="47" xr6:coauthVersionMax="47" xr10:uidLastSave="{00000000-0000-0000-0000-000000000000}"/>
  <bookViews>
    <workbookView xWindow="0" yWindow="0" windowWidth="16457" windowHeight="17914" xr2:uid="{664BA6B8-043A-4EF3-A83B-BDEF02BD0490}"/>
  </bookViews>
  <sheets>
    <sheet name="edit" sheetId="4" r:id="rId1"/>
    <sheet name="Original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" l="1"/>
  <c r="A37" i="4"/>
  <c r="A38" i="4" s="1"/>
  <c r="A39" i="4" s="1"/>
  <c r="A40" i="4" s="1"/>
  <c r="A41" i="4" s="1"/>
  <c r="A42" i="4" s="1"/>
  <c r="A43" i="4" s="1"/>
  <c r="A44" i="4" l="1"/>
  <c r="A45" i="4" s="1"/>
  <c r="A46" i="4" s="1"/>
  <c r="A47" i="4" s="1"/>
  <c r="A48" i="4" s="1"/>
  <c r="A49" i="4" s="1"/>
  <c r="A50" i="4" s="1"/>
  <c r="A51" i="4" s="1"/>
  <c r="A52" i="4" s="1"/>
  <c r="A53" i="4" s="1"/>
  <c r="C50" i="4" l="1"/>
  <c r="C42" i="4"/>
  <c r="A57" i="4" l="1"/>
  <c r="A58" i="4" s="1"/>
  <c r="C134" i="4"/>
  <c r="C33" i="4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4" i="4"/>
  <c r="A5" i="4" s="1"/>
  <c r="A6" i="4" s="1"/>
  <c r="A7" i="4" s="1"/>
  <c r="B3" i="4"/>
  <c r="A4" i="1"/>
  <c r="A5" i="1" s="1"/>
  <c r="A6" i="1" s="1"/>
  <c r="A7" i="1" s="1"/>
  <c r="B3" i="1"/>
  <c r="C101" i="4" l="1"/>
  <c r="C53" i="4"/>
  <c r="A59" i="4"/>
  <c r="A60" i="4" s="1"/>
  <c r="A61" i="4" s="1"/>
  <c r="A62" i="4" s="1"/>
  <c r="A63" i="4" s="1"/>
  <c r="A64" i="4" s="1"/>
  <c r="A65" i="4" s="1"/>
  <c r="A66" i="4" s="1"/>
  <c r="C136" i="4"/>
  <c r="A31" i="4"/>
  <c r="A32" i="4" s="1"/>
  <c r="A33" i="4" s="1"/>
  <c r="A67" i="4" l="1"/>
  <c r="A68" i="4" s="1"/>
  <c r="A69" i="4" s="1"/>
  <c r="A70" i="4" s="1"/>
  <c r="A71" i="4" s="1"/>
  <c r="C21" i="4"/>
  <c r="A72" i="4" l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C72" i="4" l="1"/>
  <c r="A84" i="4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C76" i="4" s="1"/>
  <c r="C98" i="4" l="1"/>
  <c r="C80" i="4"/>
  <c r="A104" i="4"/>
  <c r="C95" i="4"/>
  <c r="C88" i="4"/>
  <c r="C100" i="4" l="1"/>
  <c r="C52" i="4"/>
  <c r="C82" i="4"/>
  <c r="C32" i="4"/>
  <c r="A105" i="4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C113" i="4" s="1"/>
  <c r="C92" i="4"/>
  <c r="C66" i="4"/>
  <c r="C53" i="1" l="1"/>
  <c r="C55" i="1" s="1"/>
  <c r="C106" i="4" l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C110" i="4" l="1"/>
  <c r="C34" i="1"/>
  <c r="C21" i="1"/>
  <c r="C115" i="4" l="1"/>
  <c r="C109" i="4"/>
</calcChain>
</file>

<file path=xl/sharedStrings.xml><?xml version="1.0" encoding="utf-8"?>
<sst xmlns="http://schemas.openxmlformats.org/spreadsheetml/2006/main" count="391" uniqueCount="241">
  <si>
    <t>Main</t>
  </si>
  <si>
    <t>notes</t>
  </si>
  <si>
    <t>instruction</t>
  </si>
  <si>
    <t>Hex</t>
  </si>
  <si>
    <t>Address</t>
  </si>
  <si>
    <t>mov r1, r4</t>
  </si>
  <si>
    <t>mov r4, r0</t>
  </si>
  <si>
    <t>0410A0E1</t>
  </si>
  <si>
    <t>0040A0E1</t>
  </si>
  <si>
    <t>mov r0, r8</t>
  </si>
  <si>
    <t>0110A0E3</t>
  </si>
  <si>
    <t>0800A0E1</t>
  </si>
  <si>
    <t>080084E2</t>
  </si>
  <si>
    <t>0210A0E3</t>
  </si>
  <si>
    <t>000D6F98</t>
  </si>
  <si>
    <t>push {r4, r5, r6, r7, r8, lr}</t>
  </si>
  <si>
    <t>mov r6, r2</t>
  </si>
  <si>
    <t>mov r8, r1</t>
  </si>
  <si>
    <t>mov r1, r2</t>
  </si>
  <si>
    <t>mov r7, r0</t>
  </si>
  <si>
    <t>mov r0, r7</t>
  </si>
  <si>
    <t>cmp r4, r0</t>
  </si>
  <si>
    <t>cmp r0, r5</t>
  </si>
  <si>
    <t>mov r2, r6</t>
  </si>
  <si>
    <t>ldr r1, [r0]</t>
  </si>
  <si>
    <t>str r1, [r0]</t>
  </si>
  <si>
    <t>F0412DE9</t>
  </si>
  <si>
    <t>0260A0E1</t>
  </si>
  <si>
    <t>0180A0E1</t>
  </si>
  <si>
    <t>0210A0E1</t>
  </si>
  <si>
    <t>B9ECFEEB</t>
  </si>
  <si>
    <t>0070A0E1</t>
  </si>
  <si>
    <t>BC00D0E1</t>
  </si>
  <si>
    <t>021C40E2</t>
  </si>
  <si>
    <t>2B1051E2</t>
  </si>
  <si>
    <t>2000001A</t>
  </si>
  <si>
    <t>0D10A0E3</t>
  </si>
  <si>
    <t>0700A0E1</t>
  </si>
  <si>
    <t>95EDFEEB</t>
  </si>
  <si>
    <t>DEEAFEEB</t>
  </si>
  <si>
    <t>000054E1</t>
  </si>
  <si>
    <t>3902D7E5</t>
  </si>
  <si>
    <t>0150A093</t>
  </si>
  <si>
    <t>0050A083</t>
  </si>
  <si>
    <t>050050E1</t>
  </si>
  <si>
    <t>1300000A</t>
  </si>
  <si>
    <t>0620A0E1</t>
  </si>
  <si>
    <t>3D10A0E3</t>
  </si>
  <si>
    <t>BBC1FEEB</t>
  </si>
  <si>
    <t>001090E5</t>
  </si>
  <si>
    <t>0460C0E5</t>
  </si>
  <si>
    <t>0550C0E5</t>
  </si>
  <si>
    <t>021581E3</t>
  </si>
  <si>
    <t>010055E3</t>
  </si>
  <si>
    <t>001080E5</t>
  </si>
  <si>
    <t>CC20A003</t>
  </si>
  <si>
    <t>CD20A013</t>
  </si>
  <si>
    <t>0CCBFEEB</t>
  </si>
  <si>
    <t>F041BDE8</t>
  </si>
  <si>
    <t>2A97FEEA</t>
  </si>
  <si>
    <t>F081BDE8</t>
  </si>
  <si>
    <t>bl 0x00092298</t>
  </si>
  <si>
    <t>ldrh r0, [r0, 0xc]</t>
  </si>
  <si>
    <t>sub r1, r0, 0x200</t>
  </si>
  <si>
    <t>ldrb r0, [r7, 0x239]</t>
  </si>
  <si>
    <t>orr r1, r1, 0x800000</t>
  </si>
  <si>
    <t>bl 0x00092628</t>
  </si>
  <si>
    <t>mov r1, 0xD</t>
  </si>
  <si>
    <t>subs r1, r1, 0x2B</t>
  </si>
  <si>
    <t>movls r5, 0x1</t>
  </si>
  <si>
    <t>movhi r5, 0x0</t>
  </si>
  <si>
    <t>mov r1, 0x3D</t>
  </si>
  <si>
    <t>bl 0x000876f8</t>
  </si>
  <si>
    <t>strb r6, [r0, 0x04]</t>
  </si>
  <si>
    <t>strb r5, [r0, 0x05]</t>
  </si>
  <si>
    <t>mov r1, 0x2</t>
  </si>
  <si>
    <t>cmp r5, 0x1</t>
  </si>
  <si>
    <t>mov r1, 0x1</t>
  </si>
  <si>
    <t>add r0, r4, 0x8</t>
  </si>
  <si>
    <t>moveq r2, 0xCC</t>
  </si>
  <si>
    <t>movne r2, 0xCD</t>
  </si>
  <si>
    <t>bl 0x00089C6C</t>
  </si>
  <si>
    <t>b 0x0007CCF4</t>
  </si>
  <si>
    <t>Get pointer to self</t>
  </si>
  <si>
    <t>Check Darmanitan</t>
  </si>
  <si>
    <t>bl 0x00091B5C</t>
  </si>
  <si>
    <t>Get Max HP</t>
  </si>
  <si>
    <t>Get Max HP/2</t>
  </si>
  <si>
    <t>Check if &lt;= or &lt; half HP</t>
  </si>
  <si>
    <t>Set forme accordingly</t>
  </si>
  <si>
    <t>If forme is unchanged, do nothing</t>
  </si>
  <si>
    <t>Set output text based on new Forme</t>
  </si>
  <si>
    <t>Call Function</t>
  </si>
  <si>
    <t>00009FE5</t>
  </si>
  <si>
    <t>ldr r0, [pc]</t>
  </si>
  <si>
    <t>1EFF2FE1</t>
  </si>
  <si>
    <t>bx lr</t>
  </si>
  <si>
    <t>00000000</t>
  </si>
  <si>
    <t>andeq r0, r0, r0</t>
  </si>
  <si>
    <t>000D9EE4</t>
  </si>
  <si>
    <t>mov r1, 0x3</t>
  </si>
  <si>
    <t>Get pointer to self in r7</t>
  </si>
  <si>
    <t>Current HP [] Current HP/2</t>
  </si>
  <si>
    <t>Get Current  HP</t>
  </si>
  <si>
    <t>bl 0x000876F8</t>
  </si>
  <si>
    <t>Zen Mode Forme Change 0x90</t>
  </si>
  <si>
    <t>ldrb r1, [r7, 0x239]</t>
  </si>
  <si>
    <t>Zen Mode execute forme change</t>
  </si>
  <si>
    <t>movhi r0, 0x0</t>
  </si>
  <si>
    <t>go to odd (zen)</t>
  </si>
  <si>
    <t>go to even (awake)</t>
  </si>
  <si>
    <t>get current forme</t>
  </si>
  <si>
    <t>cmp r0, 0x1</t>
  </si>
  <si>
    <t>target odd forme</t>
  </si>
  <si>
    <t>go to target even forme</t>
  </si>
  <si>
    <t>check if forme changed</t>
  </si>
  <si>
    <t>if not exit</t>
  </si>
  <si>
    <t>tst r5, 0x1</t>
  </si>
  <si>
    <t>is new forme odd?</t>
  </si>
  <si>
    <t>new forme even, ended</t>
  </si>
  <si>
    <t>new forme odd, started</t>
  </si>
  <si>
    <t>mov r0, 0x3</t>
  </si>
  <si>
    <t xml:space="preserve">bl 0x00087B58 </t>
  </si>
  <si>
    <t>cmp r0, r6</t>
  </si>
  <si>
    <t>mov r0, 0x12</t>
  </si>
  <si>
    <t>Get move index</t>
  </si>
  <si>
    <t>bl 0x000001D8</t>
  </si>
  <si>
    <t>get Forme</t>
  </si>
  <si>
    <t>cmp r1, 0x1</t>
  </si>
  <si>
    <t>forme 2, 3 are Galarian</t>
  </si>
  <si>
    <t>check if move is special or Physical</t>
  </si>
  <si>
    <t>moveq r0, 0x1</t>
  </si>
  <si>
    <t>go to execute forme change</t>
  </si>
  <si>
    <t>Get Type of move</t>
  </si>
  <si>
    <t>if Unovan only apply if attacking</t>
  </si>
  <si>
    <t>or attacked</t>
  </si>
  <si>
    <t>mov r0, 0x4</t>
  </si>
  <si>
    <t>mov r3, r0</t>
  </si>
  <si>
    <t>save Type</t>
  </si>
  <si>
    <t>check attacking</t>
  </si>
  <si>
    <t>if Fire, go to Zen</t>
  </si>
  <si>
    <t>cmp r3, 0x9</t>
  </si>
  <si>
    <t>Water</t>
  </si>
  <si>
    <t>cmpne r3, 0xE</t>
  </si>
  <si>
    <t>Ice</t>
  </si>
  <si>
    <t>cmp r3, 0xA</t>
  </si>
  <si>
    <t>if not do nothing</t>
  </si>
  <si>
    <t>otherwise go standard</t>
  </si>
  <si>
    <t>mov r0, 0x0</t>
  </si>
  <si>
    <t>mov r1, 0x4</t>
  </si>
  <si>
    <t>000D939C</t>
  </si>
  <si>
    <t>Zen Mode Forme Change from attack 0x27</t>
  </si>
  <si>
    <t>r0 = [0 = go to even, 1 = go to odd] r6 = self index, r7 = self pointer, r8 = base pointer</t>
  </si>
  <si>
    <t>010050E3</t>
  </si>
  <si>
    <t>010015E3</t>
  </si>
  <si>
    <t>1200A0E3</t>
  </si>
  <si>
    <t>3912D7E5</t>
  </si>
  <si>
    <t>010051E3</t>
  </si>
  <si>
    <t>0300A0E3</t>
  </si>
  <si>
    <t>060050E1</t>
  </si>
  <si>
    <t>0030A0E1</t>
  </si>
  <si>
    <t>0300000A</t>
  </si>
  <si>
    <t>0400A0E3</t>
  </si>
  <si>
    <t>0700001A</t>
  </si>
  <si>
    <t>090053E3</t>
  </si>
  <si>
    <t>0100A003</t>
  </si>
  <si>
    <t>0A0053E3</t>
  </si>
  <si>
    <t>0E005313</t>
  </si>
  <si>
    <t>0100001A</t>
  </si>
  <si>
    <t>0000A0E3</t>
  </si>
  <si>
    <t>000000EA</t>
  </si>
  <si>
    <t>B8E3FEEB</t>
  </si>
  <si>
    <t>0A00001A</t>
  </si>
  <si>
    <t>94E4FEEB</t>
  </si>
  <si>
    <t>DDE1FEEB</t>
  </si>
  <si>
    <t>0000A083</t>
  </si>
  <si>
    <t>special 2 -&gt;1, Physical 1 -&gt; 0</t>
  </si>
  <si>
    <t>status move, do nothinig</t>
  </si>
  <si>
    <t>sub r0, r0, 0x1</t>
  </si>
  <si>
    <t>1300003A</t>
  </si>
  <si>
    <t>010040E2</t>
  </si>
  <si>
    <t>120000EA</t>
  </si>
  <si>
    <t>movls r0, 0x1</t>
  </si>
  <si>
    <t>0100A093</t>
  </si>
  <si>
    <t>ldrb r3, [r7, 0x239]</t>
  </si>
  <si>
    <t>tst r3, 0x1</t>
  </si>
  <si>
    <t>cmp r3, r5</t>
  </si>
  <si>
    <t>3932D7E5</t>
  </si>
  <si>
    <t>010013E3</t>
  </si>
  <si>
    <t>050053E1</t>
  </si>
  <si>
    <t>store new forme</t>
  </si>
  <si>
    <t>store self index</t>
  </si>
  <si>
    <t>check forme mod 2</t>
  </si>
  <si>
    <t>subne r5, r3, 0x1</t>
  </si>
  <si>
    <t>current forme is odd, subtract 1</t>
  </si>
  <si>
    <t>addeq r5, r3, 0x1</t>
  </si>
  <si>
    <t>current forme is even, add 1</t>
  </si>
  <si>
    <t>moveq r2, 0xCD</t>
  </si>
  <si>
    <t>movne r2, 0xCC</t>
  </si>
  <si>
    <t>01508302</t>
  </si>
  <si>
    <t>01504312</t>
  </si>
  <si>
    <t>CC20A013</t>
  </si>
  <si>
    <t>CD20A003</t>
  </si>
  <si>
    <t>push {r4, r5, r6, r7, r8, r10, lr}</t>
  </si>
  <si>
    <t>mov r10, r0</t>
  </si>
  <si>
    <t>mov r0, r10</t>
  </si>
  <si>
    <t>001011EC</t>
  </si>
  <si>
    <t>F0452DE9</t>
  </si>
  <si>
    <t>2444FEEB</t>
  </si>
  <si>
    <t>2100001A</t>
  </si>
  <si>
    <t>4D1AFEEB</t>
  </si>
  <si>
    <t>00A0A0E1</t>
  </si>
  <si>
    <t>0900008A</t>
  </si>
  <si>
    <t>471AFEEB</t>
  </si>
  <si>
    <t>1700001A</t>
  </si>
  <si>
    <t>0A00A0E1</t>
  </si>
  <si>
    <t>DEFBFBEB</t>
  </si>
  <si>
    <t>3B1AFEEB</t>
  </si>
  <si>
    <t>371AFEEB</t>
  </si>
  <si>
    <t>F085BDE8</t>
  </si>
  <si>
    <t>F045BDE8</t>
  </si>
  <si>
    <t>AB9F00EA</t>
  </si>
  <si>
    <t>0300001A</t>
  </si>
  <si>
    <t>1900001A</t>
  </si>
  <si>
    <t>020000EA</t>
  </si>
  <si>
    <t>1500000A</t>
  </si>
  <si>
    <t>0419FEEB</t>
  </si>
  <si>
    <t>5522FEEB</t>
  </si>
  <si>
    <t>73EEFDEA</t>
  </si>
  <si>
    <t>bl 0x000003A8</t>
  </si>
  <si>
    <t>57FCFBEB</t>
  </si>
  <si>
    <t>Zen Mode Forme Change End 0x81/0xA6</t>
  </si>
  <si>
    <t>000DD018</t>
  </si>
  <si>
    <t>mov r0, 0x2</t>
  </si>
  <si>
    <t>0200A0E3</t>
  </si>
  <si>
    <t>CAAAFEEB</t>
  </si>
  <si>
    <t>0900001A</t>
  </si>
  <si>
    <t>95D4FEEB</t>
  </si>
  <si>
    <t>0100A0E3</t>
  </si>
  <si>
    <t>919000EA</t>
  </si>
  <si>
    <t>go to even (Standard)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</si>
</sst>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A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3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3" fillId="5" borderId="0" xfId="0" quotePrefix="1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9" borderId="0" xfId="0" applyFont="1" applyFill="1"/>
    <xf numFmtId="0" fontId="3" fillId="0" borderId="0" xfId="0" quotePrefix="1" applyFont="1" applyAlignment="1">
      <alignment wrapText="1"/>
    </xf>
    <xf numFmtId="0" fontId="2" fillId="10" borderId="0" xfId="0" applyFont="1" applyFill="1"/>
    <xf numFmtId="0" fontId="2" fillId="10" borderId="0" xfId="0" applyFont="1" applyFill="1" applyAlignment="1">
      <alignment wrapText="1"/>
    </xf>
    <xf numFmtId="0" fontId="3" fillId="9" borderId="0" xfId="0" quotePrefix="1" applyFont="1" applyFill="1" applyAlignment="1">
      <alignment wrapText="1"/>
    </xf>
    <xf numFmtId="0" fontId="2" fillId="11" borderId="0" xfId="0" applyFont="1" applyFill="1"/>
    <xf numFmtId="0" fontId="2" fillId="11" borderId="0" xfId="0" applyFont="1" applyFill="1" applyAlignment="1">
      <alignment wrapText="1"/>
    </xf>
    <xf numFmtId="0" fontId="2" fillId="12" borderId="0" xfId="0" applyFont="1" applyFill="1"/>
    <xf numFmtId="0" fontId="2" fillId="12" borderId="0" xfId="0" applyFont="1" applyFill="1" applyAlignment="1">
      <alignment wrapText="1"/>
    </xf>
    <xf numFmtId="0" fontId="3" fillId="12" borderId="0" xfId="0" quotePrefix="1" applyFont="1" applyFill="1" applyAlignment="1">
      <alignment wrapText="1"/>
    </xf>
    <xf numFmtId="0" fontId="2" fillId="13" borderId="0" xfId="0" applyFont="1" applyFill="1"/>
    <xf numFmtId="0" fontId="3" fillId="13" borderId="0" xfId="0" quotePrefix="1" applyFont="1" applyFill="1" applyAlignment="1">
      <alignment wrapText="1"/>
    </xf>
    <xf numFmtId="0" fontId="2" fillId="10" borderId="0" xfId="0" quotePrefix="1" applyFont="1" applyFill="1"/>
    <xf numFmtId="0" fontId="2" fillId="11" borderId="0" xfId="0" quotePrefix="1" applyFont="1" applyFill="1"/>
    <xf numFmtId="0" fontId="2" fillId="12" borderId="0" xfId="0" quotePrefix="1" applyFont="1" applyFill="1"/>
    <xf numFmtId="0" fontId="2" fillId="9" borderId="0" xfId="0" quotePrefix="1" applyFont="1" applyFill="1"/>
    <xf numFmtId="11" fontId="2" fillId="13" borderId="0" xfId="0" applyNumberFormat="1" applyFont="1" applyFill="1"/>
    <xf numFmtId="0" fontId="2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23FF-BCC0-4C2B-BBFA-83B683128D8B}">
  <dimension ref="A1:F136"/>
  <sheetViews>
    <sheetView tabSelected="1" zoomScale="85" zoomScaleNormal="85" workbookViewId="0">
      <pane ySplit="1" topLeftCell="A17" activePane="bottomLeft" state="frozen"/>
      <selection pane="bottomLeft" activeCell="A51" sqref="A51"/>
    </sheetView>
  </sheetViews>
  <sheetFormatPr defaultColWidth="9.2109375" defaultRowHeight="15.9"/>
  <cols>
    <col min="1" max="1" width="10.85546875" style="2" customWidth="1"/>
    <col min="2" max="2" width="10.0703125" style="2" bestFit="1" customWidth="1"/>
    <col min="3" max="3" width="38.640625" style="2" bestFit="1" customWidth="1"/>
    <col min="4" max="4" width="44" style="21" customWidth="1"/>
    <col min="5" max="8" width="9.2109375" style="2"/>
    <col min="9" max="11" width="2.28515625" style="2" bestFit="1" customWidth="1"/>
    <col min="12" max="16384" width="9.2109375" style="2"/>
  </cols>
  <sheetData>
    <row r="1" spans="1:6">
      <c r="A1" s="1" t="s">
        <v>4</v>
      </c>
      <c r="B1" s="1" t="s">
        <v>3</v>
      </c>
      <c r="C1" s="1" t="s">
        <v>2</v>
      </c>
      <c r="D1" s="20" t="s">
        <v>1</v>
      </c>
    </row>
    <row r="2" spans="1:6">
      <c r="A2" s="1" t="s">
        <v>92</v>
      </c>
      <c r="B2" s="1"/>
      <c r="C2" s="1"/>
      <c r="D2" s="20"/>
    </row>
    <row r="3" spans="1:6">
      <c r="A3" s="2" t="s">
        <v>99</v>
      </c>
      <c r="B3" s="2" t="str">
        <f>_xlfn.CONCAT("0",RIGHT(C3,1),"10A0E3")</f>
        <v>0410A0E3</v>
      </c>
      <c r="C3" s="2" t="s">
        <v>149</v>
      </c>
      <c r="D3" s="20"/>
    </row>
    <row r="4" spans="1:6">
      <c r="A4" s="2" t="str">
        <f t="shared" ref="A4:A7" si="0">DEC2HEX(HEX2DEC(A3)+4,8)</f>
        <v>000D9EE8</v>
      </c>
      <c r="B4" s="2" t="s">
        <v>54</v>
      </c>
      <c r="C4" s="2" t="s">
        <v>25</v>
      </c>
      <c r="D4" s="20"/>
    </row>
    <row r="5" spans="1:6">
      <c r="A5" s="2" t="str">
        <f t="shared" si="0"/>
        <v>000D9EEC</v>
      </c>
      <c r="B5" s="2" t="s">
        <v>93</v>
      </c>
      <c r="C5" s="2" t="s">
        <v>94</v>
      </c>
      <c r="D5" s="20"/>
    </row>
    <row r="6" spans="1:6">
      <c r="A6" s="2" t="str">
        <f t="shared" si="0"/>
        <v>000D9EF0</v>
      </c>
      <c r="B6" s="2" t="s">
        <v>95</v>
      </c>
      <c r="C6" s="2" t="s">
        <v>96</v>
      </c>
      <c r="D6" s="20"/>
    </row>
    <row r="7" spans="1:6">
      <c r="A7" s="2" t="str">
        <f t="shared" si="0"/>
        <v>000D9EF4</v>
      </c>
      <c r="B7" s="2" t="s">
        <v>97</v>
      </c>
      <c r="C7" s="2" t="s">
        <v>98</v>
      </c>
      <c r="D7" s="20"/>
    </row>
    <row r="8" spans="1:6">
      <c r="D8" s="20"/>
    </row>
    <row r="9" spans="1:6">
      <c r="A9" s="1"/>
      <c r="B9" s="1"/>
      <c r="C9" s="1"/>
      <c r="D9" s="20"/>
    </row>
    <row r="10" spans="1:6">
      <c r="A10" s="1" t="s">
        <v>105</v>
      </c>
      <c r="B10" s="1"/>
      <c r="C10" s="1"/>
      <c r="D10" s="20"/>
    </row>
    <row r="11" spans="1:6">
      <c r="A11" s="3" t="s">
        <v>150</v>
      </c>
      <c r="B11" s="2" t="s">
        <v>207</v>
      </c>
      <c r="C11" s="2" t="s">
        <v>203</v>
      </c>
    </row>
    <row r="12" spans="1:6">
      <c r="A12" s="2" t="str">
        <f t="shared" ref="A12:A33" si="1">DEC2HEX(HEX2DEC(A11)+4,8)</f>
        <v>000D93A0</v>
      </c>
      <c r="B12" s="2" t="s">
        <v>27</v>
      </c>
      <c r="C12" s="2" t="s">
        <v>16</v>
      </c>
    </row>
    <row r="13" spans="1:6">
      <c r="A13" s="2" t="str">
        <f t="shared" si="1"/>
        <v>000D93A4</v>
      </c>
      <c r="B13" s="2" t="s">
        <v>28</v>
      </c>
      <c r="C13" s="2" t="s">
        <v>17</v>
      </c>
    </row>
    <row r="14" spans="1:6">
      <c r="A14" s="4" t="str">
        <f t="shared" si="1"/>
        <v>000D93A8</v>
      </c>
      <c r="B14" s="5" t="s">
        <v>29</v>
      </c>
      <c r="C14" s="4" t="s">
        <v>18</v>
      </c>
      <c r="D14" s="22" t="s">
        <v>101</v>
      </c>
    </row>
    <row r="15" spans="1:6">
      <c r="A15" s="4" t="str">
        <f t="shared" si="1"/>
        <v>000D93AC</v>
      </c>
      <c r="B15" s="4" t="s">
        <v>11</v>
      </c>
      <c r="C15" s="4" t="s">
        <v>9</v>
      </c>
      <c r="D15" s="22"/>
    </row>
    <row r="16" spans="1:6">
      <c r="A16" s="4" t="str">
        <f t="shared" si="1"/>
        <v>000D93B0</v>
      </c>
      <c r="B16" s="5" t="s">
        <v>171</v>
      </c>
      <c r="C16" s="4" t="s">
        <v>61</v>
      </c>
      <c r="D16" s="22"/>
      <c r="E16" s="6"/>
      <c r="F16" s="6"/>
    </row>
    <row r="17" spans="1:6">
      <c r="A17" s="4" t="str">
        <f t="shared" si="1"/>
        <v>000D93B4</v>
      </c>
      <c r="B17" s="4" t="s">
        <v>31</v>
      </c>
      <c r="C17" s="4" t="s">
        <v>19</v>
      </c>
      <c r="D17" s="22"/>
      <c r="E17" s="6"/>
      <c r="F17" s="6"/>
    </row>
    <row r="18" spans="1:6">
      <c r="A18" s="7" t="str">
        <f t="shared" si="1"/>
        <v>000D93B8</v>
      </c>
      <c r="B18" s="7" t="s">
        <v>32</v>
      </c>
      <c r="C18" s="7" t="s">
        <v>62</v>
      </c>
      <c r="D18" s="23" t="s">
        <v>84</v>
      </c>
      <c r="E18" s="6"/>
      <c r="F18" s="6"/>
    </row>
    <row r="19" spans="1:6">
      <c r="A19" s="7" t="str">
        <f t="shared" si="1"/>
        <v>000D93BC</v>
      </c>
      <c r="B19" s="7" t="s">
        <v>33</v>
      </c>
      <c r="C19" s="7" t="s">
        <v>63</v>
      </c>
      <c r="D19" s="23"/>
      <c r="E19" s="6"/>
      <c r="F19" s="6"/>
    </row>
    <row r="20" spans="1:6">
      <c r="A20" s="7" t="str">
        <f t="shared" si="1"/>
        <v>000D93C0</v>
      </c>
      <c r="B20" s="7" t="s">
        <v>34</v>
      </c>
      <c r="C20" s="7" t="s">
        <v>68</v>
      </c>
      <c r="D20" s="23"/>
      <c r="F20" s="6"/>
    </row>
    <row r="21" spans="1:6">
      <c r="A21" s="7" t="str">
        <f t="shared" si="1"/>
        <v>000D93C4</v>
      </c>
      <c r="B21" s="8" t="s">
        <v>172</v>
      </c>
      <c r="C21" s="7" t="str">
        <f>_xlfn.CONCAT("bne 0x",A$33)</f>
        <v>bne 0x000D93F4</v>
      </c>
      <c r="D21" s="23"/>
      <c r="E21" s="6"/>
      <c r="F21" s="6"/>
    </row>
    <row r="22" spans="1:6">
      <c r="A22" s="9" t="str">
        <f t="shared" si="1"/>
        <v>000D93C8</v>
      </c>
      <c r="B22" s="10" t="s">
        <v>36</v>
      </c>
      <c r="C22" s="9" t="s">
        <v>67</v>
      </c>
      <c r="D22" s="24" t="s">
        <v>103</v>
      </c>
    </row>
    <row r="23" spans="1:6">
      <c r="A23" s="9" t="str">
        <f t="shared" si="1"/>
        <v>000D93CC</v>
      </c>
      <c r="B23" s="10" t="s">
        <v>37</v>
      </c>
      <c r="C23" s="9" t="s">
        <v>20</v>
      </c>
      <c r="D23" s="24"/>
    </row>
    <row r="24" spans="1:6">
      <c r="A24" s="9" t="str">
        <f t="shared" si="1"/>
        <v>000D93D0</v>
      </c>
      <c r="B24" s="9" t="s">
        <v>173</v>
      </c>
      <c r="C24" s="9" t="s">
        <v>66</v>
      </c>
      <c r="D24" s="24"/>
    </row>
    <row r="25" spans="1:6">
      <c r="A25" s="9" t="str">
        <f t="shared" si="1"/>
        <v>000D93D4</v>
      </c>
      <c r="B25" s="9" t="s">
        <v>8</v>
      </c>
      <c r="C25" s="9" t="s">
        <v>6</v>
      </c>
      <c r="D25" s="24"/>
    </row>
    <row r="26" spans="1:6">
      <c r="A26" s="11" t="str">
        <f t="shared" si="1"/>
        <v>000D93D8</v>
      </c>
      <c r="B26" s="12" t="s">
        <v>13</v>
      </c>
      <c r="C26" s="11" t="s">
        <v>75</v>
      </c>
      <c r="D26" s="25" t="s">
        <v>87</v>
      </c>
    </row>
    <row r="27" spans="1:6">
      <c r="A27" s="11" t="str">
        <f t="shared" si="1"/>
        <v>000D93DC</v>
      </c>
      <c r="B27" s="11" t="s">
        <v>37</v>
      </c>
      <c r="C27" s="11" t="s">
        <v>20</v>
      </c>
      <c r="D27" s="26"/>
    </row>
    <row r="28" spans="1:6">
      <c r="A28" s="11" t="str">
        <f t="shared" si="1"/>
        <v>000D93E0</v>
      </c>
      <c r="B28" s="12" t="s">
        <v>174</v>
      </c>
      <c r="C28" s="11" t="s">
        <v>85</v>
      </c>
      <c r="D28" s="25"/>
    </row>
    <row r="29" spans="1:6">
      <c r="A29" s="14" t="str">
        <f t="shared" si="1"/>
        <v>000D93E4</v>
      </c>
      <c r="B29" s="15" t="s">
        <v>40</v>
      </c>
      <c r="C29" s="14" t="s">
        <v>21</v>
      </c>
      <c r="D29" s="27" t="s">
        <v>102</v>
      </c>
    </row>
    <row r="30" spans="1:6">
      <c r="A30" s="2" t="str">
        <f t="shared" si="1"/>
        <v>000D93E8</v>
      </c>
      <c r="B30" s="2" t="s">
        <v>183</v>
      </c>
      <c r="C30" s="2" t="s">
        <v>182</v>
      </c>
      <c r="D30" s="21" t="s">
        <v>109</v>
      </c>
    </row>
    <row r="31" spans="1:6">
      <c r="A31" s="2" t="str">
        <f t="shared" si="1"/>
        <v>000D93EC</v>
      </c>
      <c r="B31" s="2" t="s">
        <v>175</v>
      </c>
      <c r="C31" s="2" t="s">
        <v>108</v>
      </c>
      <c r="D31" s="21" t="s">
        <v>110</v>
      </c>
    </row>
    <row r="32" spans="1:6">
      <c r="A32" s="2" t="str">
        <f t="shared" si="1"/>
        <v>000D93F0</v>
      </c>
      <c r="B32" s="3" t="s">
        <v>221</v>
      </c>
      <c r="C32" s="2" t="str">
        <f>_xlfn.CONCAT("b 0x",A$104)</f>
        <v>b 0x001012A4</v>
      </c>
    </row>
    <row r="33" spans="1:4">
      <c r="A33" s="2" t="str">
        <f t="shared" si="1"/>
        <v>000D93F4</v>
      </c>
      <c r="B33" s="2" t="s">
        <v>219</v>
      </c>
      <c r="C33" s="2" t="str">
        <f>SUBSTITUTE(C134,"lr","pc")</f>
        <v>pop {r4, r5, r6, r7, r8, r10, pc}</v>
      </c>
    </row>
    <row r="35" spans="1:4">
      <c r="A35" s="1" t="s">
        <v>231</v>
      </c>
      <c r="B35" s="1"/>
      <c r="C35" s="1"/>
      <c r="D35" s="20"/>
    </row>
    <row r="36" spans="1:4">
      <c r="A36" s="3" t="s">
        <v>232</v>
      </c>
      <c r="B36" s="2" t="s">
        <v>207</v>
      </c>
      <c r="C36" s="2" t="str">
        <f>C11</f>
        <v>push {r4, r5, r6, r7, r8, r10, lr}</v>
      </c>
    </row>
    <row r="37" spans="1:4">
      <c r="A37" s="2" t="str">
        <f t="shared" ref="A37:A53" si="2">DEC2HEX(HEX2DEC(A36)+4,8)</f>
        <v>000DD01C</v>
      </c>
      <c r="B37" s="2" t="s">
        <v>27</v>
      </c>
      <c r="C37" s="2" t="s">
        <v>16</v>
      </c>
    </row>
    <row r="38" spans="1:4">
      <c r="A38" s="2" t="str">
        <f t="shared" si="2"/>
        <v>000DD020</v>
      </c>
      <c r="B38" s="2" t="s">
        <v>28</v>
      </c>
      <c r="C38" s="2" t="s">
        <v>17</v>
      </c>
    </row>
    <row r="39" spans="1:4">
      <c r="A39" s="29" t="str">
        <f t="shared" si="2"/>
        <v>000DD024</v>
      </c>
      <c r="B39" s="29" t="s">
        <v>234</v>
      </c>
      <c r="C39" s="29" t="s">
        <v>233</v>
      </c>
      <c r="D39" s="46"/>
    </row>
    <row r="40" spans="1:4">
      <c r="A40" s="29" t="str">
        <f t="shared" si="2"/>
        <v>000DD028</v>
      </c>
      <c r="B40" s="29" t="s">
        <v>235</v>
      </c>
      <c r="C40" s="29" t="s">
        <v>122</v>
      </c>
      <c r="D40" s="46"/>
    </row>
    <row r="41" spans="1:4">
      <c r="A41" s="29" t="str">
        <f t="shared" si="2"/>
        <v>000DD02C</v>
      </c>
      <c r="B41" s="44" t="s">
        <v>159</v>
      </c>
      <c r="C41" s="29" t="s">
        <v>123</v>
      </c>
      <c r="D41" s="46"/>
    </row>
    <row r="42" spans="1:4">
      <c r="A42" s="29" t="str">
        <f t="shared" si="2"/>
        <v>000DD030</v>
      </c>
      <c r="B42" s="29" t="s">
        <v>236</v>
      </c>
      <c r="C42" s="29" t="str">
        <f>_xlfn.CONCAT("bne 0x",A53)</f>
        <v>bne 0x000DD05C</v>
      </c>
      <c r="D42" s="46"/>
    </row>
    <row r="43" spans="1:4">
      <c r="A43" s="4" t="str">
        <f t="shared" si="2"/>
        <v>000DD034</v>
      </c>
      <c r="B43" s="5" t="s">
        <v>29</v>
      </c>
      <c r="C43" s="4" t="s">
        <v>18</v>
      </c>
      <c r="D43" s="22" t="s">
        <v>101</v>
      </c>
    </row>
    <row r="44" spans="1:4">
      <c r="A44" s="4" t="str">
        <f t="shared" si="2"/>
        <v>000DD038</v>
      </c>
      <c r="B44" s="4" t="s">
        <v>11</v>
      </c>
      <c r="C44" s="4" t="s">
        <v>9</v>
      </c>
      <c r="D44" s="22"/>
    </row>
    <row r="45" spans="1:4">
      <c r="A45" s="4" t="str">
        <f t="shared" si="2"/>
        <v>000DD03C</v>
      </c>
      <c r="B45" s="5" t="s">
        <v>237</v>
      </c>
      <c r="C45" s="4" t="s">
        <v>61</v>
      </c>
      <c r="D45" s="22"/>
    </row>
    <row r="46" spans="1:4">
      <c r="A46" s="4" t="str">
        <f t="shared" si="2"/>
        <v>000DD040</v>
      </c>
      <c r="B46" s="4" t="s">
        <v>31</v>
      </c>
      <c r="C46" s="4" t="s">
        <v>19</v>
      </c>
      <c r="D46" s="22"/>
    </row>
    <row r="47" spans="1:4">
      <c r="A47" s="7" t="str">
        <f t="shared" si="2"/>
        <v>000DD044</v>
      </c>
      <c r="B47" s="7" t="s">
        <v>32</v>
      </c>
      <c r="C47" s="7" t="s">
        <v>62</v>
      </c>
      <c r="D47" s="23" t="s">
        <v>84</v>
      </c>
    </row>
    <row r="48" spans="1:4">
      <c r="A48" s="7" t="str">
        <f t="shared" si="2"/>
        <v>000DD048</v>
      </c>
      <c r="B48" s="7" t="s">
        <v>33</v>
      </c>
      <c r="C48" s="7" t="s">
        <v>63</v>
      </c>
      <c r="D48" s="23"/>
    </row>
    <row r="49" spans="1:4">
      <c r="A49" s="7" t="str">
        <f t="shared" si="2"/>
        <v>000DD04C</v>
      </c>
      <c r="B49" s="7" t="s">
        <v>34</v>
      </c>
      <c r="C49" s="7" t="s">
        <v>68</v>
      </c>
      <c r="D49" s="23"/>
    </row>
    <row r="50" spans="1:4">
      <c r="A50" s="7" t="str">
        <f t="shared" si="2"/>
        <v>000DD050</v>
      </c>
      <c r="B50" s="8" t="s">
        <v>168</v>
      </c>
      <c r="C50" s="7" t="str">
        <f>_xlfn.CONCAT("bne 0x",A53)</f>
        <v>bne 0x000DD05C</v>
      </c>
      <c r="D50" s="23"/>
    </row>
    <row r="51" spans="1:4">
      <c r="A51" s="2" t="str">
        <f t="shared" si="2"/>
        <v>000DD054</v>
      </c>
      <c r="B51" s="2" t="s">
        <v>238</v>
      </c>
      <c r="C51" s="2" t="s">
        <v>148</v>
      </c>
      <c r="D51" s="21" t="s">
        <v>240</v>
      </c>
    </row>
    <row r="52" spans="1:4">
      <c r="A52" s="2" t="str">
        <f t="shared" si="2"/>
        <v>000DD058</v>
      </c>
      <c r="B52" s="3" t="s">
        <v>239</v>
      </c>
      <c r="C52" s="2" t="str">
        <f>_xlfn.CONCAT("b 0x",A$104)</f>
        <v>b 0x001012A4</v>
      </c>
    </row>
    <row r="53" spans="1:4">
      <c r="A53" s="2" t="str">
        <f t="shared" si="2"/>
        <v>000DD05C</v>
      </c>
      <c r="B53" s="2" t="s">
        <v>219</v>
      </c>
      <c r="C53" s="2" t="str">
        <f>C33</f>
        <v>pop {r4, r5, r6, r7, r8, r10, pc}</v>
      </c>
    </row>
    <row r="55" spans="1:4">
      <c r="A55" s="1" t="s">
        <v>151</v>
      </c>
      <c r="B55" s="1"/>
      <c r="C55" s="1"/>
      <c r="D55" s="20"/>
    </row>
    <row r="56" spans="1:4">
      <c r="A56" s="3" t="s">
        <v>206</v>
      </c>
      <c r="B56" s="2" t="s">
        <v>207</v>
      </c>
      <c r="C56" s="2" t="s">
        <v>203</v>
      </c>
    </row>
    <row r="57" spans="1:4">
      <c r="A57" s="2" t="str">
        <f t="shared" ref="A57:A101" si="3">DEC2HEX(HEX2DEC(A56)+4,8)</f>
        <v>001011F0</v>
      </c>
      <c r="B57" s="2" t="s">
        <v>27</v>
      </c>
      <c r="C57" s="2" t="s">
        <v>16</v>
      </c>
    </row>
    <row r="58" spans="1:4">
      <c r="A58" s="2" t="str">
        <f t="shared" si="3"/>
        <v>001011F4</v>
      </c>
      <c r="B58" s="2" t="s">
        <v>28</v>
      </c>
      <c r="C58" s="2" t="s">
        <v>17</v>
      </c>
    </row>
    <row r="59" spans="1:4">
      <c r="A59" s="4" t="str">
        <f t="shared" si="3"/>
        <v>001011F8</v>
      </c>
      <c r="B59" s="5" t="s">
        <v>29</v>
      </c>
      <c r="C59" s="4" t="s">
        <v>18</v>
      </c>
      <c r="D59" s="22" t="s">
        <v>101</v>
      </c>
    </row>
    <row r="60" spans="1:4">
      <c r="A60" s="4" t="str">
        <f t="shared" si="3"/>
        <v>001011FC</v>
      </c>
      <c r="B60" s="4" t="s">
        <v>11</v>
      </c>
      <c r="C60" s="4" t="s">
        <v>9</v>
      </c>
      <c r="D60" s="22"/>
    </row>
    <row r="61" spans="1:4">
      <c r="A61" s="4" t="str">
        <f t="shared" si="3"/>
        <v>00101200</v>
      </c>
      <c r="B61" s="5" t="s">
        <v>208</v>
      </c>
      <c r="C61" s="4" t="s">
        <v>61</v>
      </c>
      <c r="D61" s="22"/>
    </row>
    <row r="62" spans="1:4">
      <c r="A62" s="4" t="str">
        <f t="shared" si="3"/>
        <v>00101204</v>
      </c>
      <c r="B62" s="4" t="s">
        <v>31</v>
      </c>
      <c r="C62" s="4" t="s">
        <v>19</v>
      </c>
      <c r="D62" s="22"/>
    </row>
    <row r="63" spans="1:4">
      <c r="A63" s="7" t="str">
        <f t="shared" si="3"/>
        <v>00101208</v>
      </c>
      <c r="B63" s="7" t="s">
        <v>32</v>
      </c>
      <c r="C63" s="7" t="s">
        <v>62</v>
      </c>
      <c r="D63" s="23" t="s">
        <v>84</v>
      </c>
    </row>
    <row r="64" spans="1:4">
      <c r="A64" s="7" t="str">
        <f t="shared" si="3"/>
        <v>0010120C</v>
      </c>
      <c r="B64" s="7" t="s">
        <v>33</v>
      </c>
      <c r="C64" s="7" t="s">
        <v>63</v>
      </c>
      <c r="D64" s="23"/>
    </row>
    <row r="65" spans="1:4">
      <c r="A65" s="7" t="str">
        <f t="shared" si="3"/>
        <v>00101210</v>
      </c>
      <c r="B65" s="7" t="s">
        <v>34</v>
      </c>
      <c r="C65" s="7" t="s">
        <v>68</v>
      </c>
      <c r="D65" s="23"/>
    </row>
    <row r="66" spans="1:4">
      <c r="A66" s="7" t="str">
        <f t="shared" si="3"/>
        <v>00101214</v>
      </c>
      <c r="B66" s="8" t="s">
        <v>209</v>
      </c>
      <c r="C66" s="7" t="str">
        <f>_xlfn.CONCAT("bne 0x",A101)</f>
        <v>bne 0x001012A0</v>
      </c>
      <c r="D66" s="23"/>
    </row>
    <row r="67" spans="1:4">
      <c r="A67" s="9" t="str">
        <f t="shared" si="3"/>
        <v>00101218</v>
      </c>
      <c r="B67" s="10" t="s">
        <v>155</v>
      </c>
      <c r="C67" s="9" t="s">
        <v>124</v>
      </c>
      <c r="D67" s="24" t="s">
        <v>125</v>
      </c>
    </row>
    <row r="68" spans="1:4">
      <c r="A68" s="9" t="str">
        <f t="shared" si="3"/>
        <v>0010121C</v>
      </c>
      <c r="B68" s="10" t="s">
        <v>210</v>
      </c>
      <c r="C68" s="9" t="s">
        <v>122</v>
      </c>
      <c r="D68" s="24"/>
    </row>
    <row r="69" spans="1:4">
      <c r="A69" s="9" t="str">
        <f t="shared" si="3"/>
        <v>00101220</v>
      </c>
      <c r="B69" s="10" t="s">
        <v>211</v>
      </c>
      <c r="C69" s="9" t="s">
        <v>204</v>
      </c>
      <c r="D69" s="24"/>
    </row>
    <row r="70" spans="1:4">
      <c r="A70" s="2" t="str">
        <f t="shared" si="3"/>
        <v>00101224</v>
      </c>
      <c r="B70" s="2" t="s">
        <v>156</v>
      </c>
      <c r="C70" s="2" t="s">
        <v>106</v>
      </c>
      <c r="D70" s="21" t="s">
        <v>127</v>
      </c>
    </row>
    <row r="71" spans="1:4">
      <c r="A71" s="2" t="str">
        <f t="shared" si="3"/>
        <v>00101228</v>
      </c>
      <c r="B71" s="3" t="s">
        <v>157</v>
      </c>
      <c r="C71" s="2" t="s">
        <v>128</v>
      </c>
    </row>
    <row r="72" spans="1:4">
      <c r="A72" s="2" t="str">
        <f t="shared" si="3"/>
        <v>0010122C</v>
      </c>
      <c r="B72" s="3" t="s">
        <v>212</v>
      </c>
      <c r="C72" s="2" t="str">
        <f>_xlfn.CONCAT("bhi 0x",A83)</f>
        <v>bhi 0x00101258</v>
      </c>
      <c r="D72" s="21" t="s">
        <v>129</v>
      </c>
    </row>
    <row r="73" spans="1:4">
      <c r="A73" s="31" t="str">
        <f t="shared" si="3"/>
        <v>00101230</v>
      </c>
      <c r="B73" s="31" t="s">
        <v>158</v>
      </c>
      <c r="C73" s="31" t="s">
        <v>121</v>
      </c>
      <c r="D73" s="32" t="s">
        <v>134</v>
      </c>
    </row>
    <row r="74" spans="1:4">
      <c r="A74" s="31" t="str">
        <f t="shared" si="3"/>
        <v>00101234</v>
      </c>
      <c r="B74" s="31" t="s">
        <v>213</v>
      </c>
      <c r="C74" s="31" t="s">
        <v>122</v>
      </c>
      <c r="D74" s="32"/>
    </row>
    <row r="75" spans="1:4">
      <c r="A75" s="31" t="str">
        <f t="shared" si="3"/>
        <v>00101238</v>
      </c>
      <c r="B75" s="41" t="s">
        <v>159</v>
      </c>
      <c r="C75" s="31" t="s">
        <v>123</v>
      </c>
      <c r="D75" s="32"/>
    </row>
    <row r="76" spans="1:4">
      <c r="A76" s="31" t="str">
        <f t="shared" si="3"/>
        <v>0010123C</v>
      </c>
      <c r="B76" s="31" t="s">
        <v>214</v>
      </c>
      <c r="C76" s="31" t="str">
        <f>_xlfn.CONCAT("bne 0x",A$101)</f>
        <v>bne 0x001012A0</v>
      </c>
      <c r="D76" s="32"/>
    </row>
    <row r="77" spans="1:4">
      <c r="A77" s="11" t="str">
        <f t="shared" si="3"/>
        <v>00101240</v>
      </c>
      <c r="B77" s="11" t="s">
        <v>215</v>
      </c>
      <c r="C77" s="11" t="s">
        <v>205</v>
      </c>
      <c r="D77" s="11"/>
    </row>
    <row r="78" spans="1:4">
      <c r="A78" s="11" t="str">
        <f t="shared" si="3"/>
        <v>00101244</v>
      </c>
      <c r="B78" s="11" t="s">
        <v>230</v>
      </c>
      <c r="C78" s="11" t="s">
        <v>229</v>
      </c>
      <c r="D78" s="11" t="s">
        <v>130</v>
      </c>
    </row>
    <row r="79" spans="1:4">
      <c r="A79" s="11" t="str">
        <f t="shared" si="3"/>
        <v>00101248</v>
      </c>
      <c r="B79" s="12" t="s">
        <v>153</v>
      </c>
      <c r="C79" s="11" t="s">
        <v>112</v>
      </c>
      <c r="D79" s="11"/>
    </row>
    <row r="80" spans="1:4">
      <c r="A80" s="11" t="str">
        <f t="shared" si="3"/>
        <v>0010124C</v>
      </c>
      <c r="B80" s="11" t="s">
        <v>179</v>
      </c>
      <c r="C80" s="11" t="str">
        <f>_xlfn.CONCAT("blo 0x",A$101)</f>
        <v>blo 0x001012A0</v>
      </c>
      <c r="D80" s="11" t="s">
        <v>177</v>
      </c>
    </row>
    <row r="81" spans="1:4">
      <c r="A81" s="11" t="str">
        <f t="shared" si="3"/>
        <v>00101250</v>
      </c>
      <c r="B81" s="12" t="s">
        <v>180</v>
      </c>
      <c r="C81" s="11" t="s">
        <v>178</v>
      </c>
      <c r="D81" s="11" t="s">
        <v>176</v>
      </c>
    </row>
    <row r="82" spans="1:4">
      <c r="A82" s="11" t="str">
        <f t="shared" si="3"/>
        <v>00101254</v>
      </c>
      <c r="B82" s="11" t="s">
        <v>181</v>
      </c>
      <c r="C82" s="11" t="str">
        <f>_xlfn.CONCAT("b 0x",A$104)</f>
        <v>b 0x001012A4</v>
      </c>
      <c r="D82" s="11" t="s">
        <v>132</v>
      </c>
    </row>
    <row r="83" spans="1:4">
      <c r="A83" s="2" t="str">
        <f t="shared" si="3"/>
        <v>00101258</v>
      </c>
      <c r="B83" s="2" t="s">
        <v>216</v>
      </c>
      <c r="C83" s="2" t="s">
        <v>126</v>
      </c>
      <c r="D83" s="30" t="s">
        <v>133</v>
      </c>
    </row>
    <row r="84" spans="1:4">
      <c r="A84" s="2" t="str">
        <f t="shared" si="3"/>
        <v>0010125C</v>
      </c>
      <c r="B84" s="2" t="s">
        <v>160</v>
      </c>
      <c r="C84" s="2" t="s">
        <v>137</v>
      </c>
      <c r="D84" s="30" t="s">
        <v>138</v>
      </c>
    </row>
    <row r="85" spans="1:4">
      <c r="A85" s="34" t="str">
        <f t="shared" si="3"/>
        <v>00101260</v>
      </c>
      <c r="B85" s="34" t="s">
        <v>158</v>
      </c>
      <c r="C85" s="34" t="s">
        <v>121</v>
      </c>
      <c r="D85" s="35" t="s">
        <v>139</v>
      </c>
    </row>
    <row r="86" spans="1:4">
      <c r="A86" s="34" t="str">
        <f t="shared" si="3"/>
        <v>00101264</v>
      </c>
      <c r="B86" s="34" t="s">
        <v>217</v>
      </c>
      <c r="C86" s="34" t="s">
        <v>122</v>
      </c>
      <c r="D86" s="35"/>
    </row>
    <row r="87" spans="1:4">
      <c r="A87" s="34" t="str">
        <f t="shared" si="3"/>
        <v>00101268</v>
      </c>
      <c r="B87" s="42" t="s">
        <v>159</v>
      </c>
      <c r="C87" s="34" t="s">
        <v>123</v>
      </c>
      <c r="D87" s="35"/>
    </row>
    <row r="88" spans="1:4">
      <c r="A88" s="34" t="str">
        <f t="shared" si="3"/>
        <v>0010126C</v>
      </c>
      <c r="B88" s="34" t="s">
        <v>161</v>
      </c>
      <c r="C88" s="34" t="str">
        <f>_xlfn.CONCAT("beq 0x",A$93)</f>
        <v>beq 0x00101280</v>
      </c>
      <c r="D88" s="35"/>
    </row>
    <row r="89" spans="1:4">
      <c r="A89" s="36" t="str">
        <f t="shared" si="3"/>
        <v>00101270</v>
      </c>
      <c r="B89" s="36" t="s">
        <v>162</v>
      </c>
      <c r="C89" s="36" t="s">
        <v>136</v>
      </c>
      <c r="D89" s="37" t="s">
        <v>135</v>
      </c>
    </row>
    <row r="90" spans="1:4">
      <c r="A90" s="36" t="str">
        <f t="shared" si="3"/>
        <v>00101274</v>
      </c>
      <c r="B90" s="36" t="s">
        <v>218</v>
      </c>
      <c r="C90" s="36" t="s">
        <v>122</v>
      </c>
      <c r="D90" s="37"/>
    </row>
    <row r="91" spans="1:4">
      <c r="A91" s="36" t="str">
        <f t="shared" si="3"/>
        <v>00101278</v>
      </c>
      <c r="B91" s="43" t="s">
        <v>159</v>
      </c>
      <c r="C91" s="36" t="s">
        <v>123</v>
      </c>
      <c r="D91" s="37"/>
    </row>
    <row r="92" spans="1:4">
      <c r="A92" s="36" t="str">
        <f t="shared" si="3"/>
        <v>0010127C</v>
      </c>
      <c r="B92" s="36" t="s">
        <v>163</v>
      </c>
      <c r="C92" s="36" t="str">
        <f>_xlfn.CONCAT("bne 0x",A$101)</f>
        <v>bne 0x001012A0</v>
      </c>
      <c r="D92" s="38"/>
    </row>
    <row r="93" spans="1:4">
      <c r="A93" s="29" t="str">
        <f t="shared" si="3"/>
        <v>00101280</v>
      </c>
      <c r="B93" s="44" t="s">
        <v>164</v>
      </c>
      <c r="C93" s="29" t="s">
        <v>141</v>
      </c>
      <c r="D93" s="33" t="s">
        <v>140</v>
      </c>
    </row>
    <row r="94" spans="1:4">
      <c r="A94" s="29" t="str">
        <f t="shared" si="3"/>
        <v>00101284</v>
      </c>
      <c r="B94" s="29" t="s">
        <v>165</v>
      </c>
      <c r="C94" s="29" t="s">
        <v>131</v>
      </c>
      <c r="D94" s="33"/>
    </row>
    <row r="95" spans="1:4">
      <c r="A95" s="29" t="str">
        <f t="shared" si="3"/>
        <v>00101288</v>
      </c>
      <c r="B95" s="29" t="s">
        <v>161</v>
      </c>
      <c r="C95" s="29" t="str">
        <f>_xlfn.CONCAT("beq 0x",A$100)</f>
        <v>beq 0x0010129C</v>
      </c>
      <c r="D95" s="29"/>
    </row>
    <row r="96" spans="1:4">
      <c r="A96" s="39" t="str">
        <f t="shared" si="3"/>
        <v>0010128C</v>
      </c>
      <c r="B96" s="39" t="s">
        <v>166</v>
      </c>
      <c r="C96" s="39" t="s">
        <v>145</v>
      </c>
      <c r="D96" s="40" t="s">
        <v>142</v>
      </c>
    </row>
    <row r="97" spans="1:4">
      <c r="A97" s="39" t="str">
        <f t="shared" si="3"/>
        <v>00101290</v>
      </c>
      <c r="B97" s="45" t="s">
        <v>167</v>
      </c>
      <c r="C97" s="39" t="s">
        <v>143</v>
      </c>
      <c r="D97" s="40" t="s">
        <v>144</v>
      </c>
    </row>
    <row r="98" spans="1:4">
      <c r="A98" s="2" t="str">
        <f t="shared" si="3"/>
        <v>00101294</v>
      </c>
      <c r="B98" s="2" t="s">
        <v>168</v>
      </c>
      <c r="C98" s="2" t="str">
        <f>_xlfn.CONCAT("bne 0x",A$101)</f>
        <v>bne 0x001012A0</v>
      </c>
      <c r="D98" s="30" t="s">
        <v>146</v>
      </c>
    </row>
    <row r="99" spans="1:4">
      <c r="A99" s="39" t="str">
        <f t="shared" si="3"/>
        <v>00101298</v>
      </c>
      <c r="B99" s="39" t="s">
        <v>169</v>
      </c>
      <c r="C99" s="39" t="s">
        <v>148</v>
      </c>
      <c r="D99" s="40" t="s">
        <v>147</v>
      </c>
    </row>
    <row r="100" spans="1:4">
      <c r="A100" s="2" t="str">
        <f t="shared" si="3"/>
        <v>0010129C</v>
      </c>
      <c r="B100" s="3" t="s">
        <v>170</v>
      </c>
      <c r="C100" s="2" t="str">
        <f>_xlfn.CONCAT("b 0x",A$104)</f>
        <v>b 0x001012A4</v>
      </c>
    </row>
    <row r="101" spans="1:4">
      <c r="A101" s="2" t="str">
        <f t="shared" si="3"/>
        <v>001012A0</v>
      </c>
      <c r="B101" s="2" t="s">
        <v>219</v>
      </c>
      <c r="C101" s="2" t="str">
        <f>C33</f>
        <v>pop {r4, r5, r6, r7, r8, r10, pc}</v>
      </c>
    </row>
    <row r="103" spans="1:4" ht="47.6">
      <c r="A103" s="1" t="s">
        <v>107</v>
      </c>
      <c r="D103" s="21" t="s">
        <v>152</v>
      </c>
    </row>
    <row r="104" spans="1:4">
      <c r="A104" s="2" t="str">
        <f>DEC2HEX(HEX2DEC(A101)+4,8)</f>
        <v>001012A4</v>
      </c>
      <c r="B104" s="2" t="s">
        <v>187</v>
      </c>
      <c r="C104" s="2" t="s">
        <v>184</v>
      </c>
      <c r="D104" s="21" t="s">
        <v>111</v>
      </c>
    </row>
    <row r="105" spans="1:4">
      <c r="A105" s="4" t="str">
        <f t="shared" ref="A105:A136" si="4">DEC2HEX(HEX2DEC(A104)+4,8)</f>
        <v>001012A8</v>
      </c>
      <c r="B105" s="5" t="s">
        <v>153</v>
      </c>
      <c r="C105" s="4" t="s">
        <v>112</v>
      </c>
      <c r="D105" s="22" t="s">
        <v>113</v>
      </c>
    </row>
    <row r="106" spans="1:4">
      <c r="A106" s="7" t="str">
        <f t="shared" si="4"/>
        <v>001012AC</v>
      </c>
      <c r="B106" s="7" t="s">
        <v>222</v>
      </c>
      <c r="C106" s="7" t="str">
        <f>_xlfn.CONCAT("bne 0x",A111)</f>
        <v>bne 0x001012C0</v>
      </c>
      <c r="D106" s="23" t="s">
        <v>114</v>
      </c>
    </row>
    <row r="107" spans="1:4">
      <c r="A107" s="4" t="str">
        <f t="shared" si="4"/>
        <v>001012B0</v>
      </c>
      <c r="B107" s="5" t="s">
        <v>188</v>
      </c>
      <c r="C107" s="4" t="s">
        <v>185</v>
      </c>
      <c r="D107" s="22" t="s">
        <v>192</v>
      </c>
    </row>
    <row r="108" spans="1:4">
      <c r="A108" s="4" t="str">
        <f t="shared" si="4"/>
        <v>001012B4</v>
      </c>
      <c r="B108" s="5" t="s">
        <v>199</v>
      </c>
      <c r="C108" s="4" t="s">
        <v>195</v>
      </c>
      <c r="D108" s="22" t="s">
        <v>196</v>
      </c>
    </row>
    <row r="109" spans="1:4">
      <c r="A109" s="4" t="str">
        <f t="shared" si="4"/>
        <v>001012B8</v>
      </c>
      <c r="B109" s="5" t="s">
        <v>223</v>
      </c>
      <c r="C109" s="4" t="str">
        <f>_xlfn.CONCAT("bne 0x",A136)</f>
        <v>bne 0x00101324</v>
      </c>
      <c r="D109" s="22"/>
    </row>
    <row r="110" spans="1:4">
      <c r="A110" s="4" t="str">
        <f t="shared" si="4"/>
        <v>001012BC</v>
      </c>
      <c r="B110" s="4" t="s">
        <v>224</v>
      </c>
      <c r="C110" s="4" t="str">
        <f>_xlfn.CONCAT("b 0x",A$114)</f>
        <v>b 0x001012CC</v>
      </c>
      <c r="D110" s="22"/>
    </row>
    <row r="111" spans="1:4">
      <c r="A111" s="7" t="str">
        <f t="shared" si="4"/>
        <v>001012C0</v>
      </c>
      <c r="B111" s="8" t="s">
        <v>188</v>
      </c>
      <c r="C111" s="7" t="s">
        <v>185</v>
      </c>
      <c r="D111" s="23" t="s">
        <v>192</v>
      </c>
    </row>
    <row r="112" spans="1:4">
      <c r="A112" s="7" t="str">
        <f t="shared" si="4"/>
        <v>001012C4</v>
      </c>
      <c r="B112" s="8" t="s">
        <v>200</v>
      </c>
      <c r="C112" s="7" t="s">
        <v>193</v>
      </c>
      <c r="D112" s="23" t="s">
        <v>194</v>
      </c>
    </row>
    <row r="113" spans="1:4">
      <c r="A113" s="7" t="str">
        <f t="shared" si="4"/>
        <v>001012C8</v>
      </c>
      <c r="B113" s="8" t="s">
        <v>225</v>
      </c>
      <c r="C113" s="7" t="str">
        <f>_xlfn.CONCAT("beq 0x",A136)</f>
        <v>beq 0x00101324</v>
      </c>
      <c r="D113" s="23"/>
    </row>
    <row r="114" spans="1:4">
      <c r="A114" s="9" t="str">
        <f t="shared" si="4"/>
        <v>001012CC</v>
      </c>
      <c r="B114" s="10" t="s">
        <v>189</v>
      </c>
      <c r="C114" s="9" t="s">
        <v>186</v>
      </c>
      <c r="D114" s="24" t="s">
        <v>115</v>
      </c>
    </row>
    <row r="115" spans="1:4">
      <c r="A115" s="9" t="str">
        <f t="shared" si="4"/>
        <v>001012D0</v>
      </c>
      <c r="B115" s="9" t="s">
        <v>45</v>
      </c>
      <c r="C115" s="9" t="str">
        <f>_xlfn.CONCAT("beq 0x",A$136)</f>
        <v>beq 0x00101324</v>
      </c>
      <c r="D115" s="24" t="s">
        <v>116</v>
      </c>
    </row>
    <row r="116" spans="1:4">
      <c r="A116" s="2" t="str">
        <f t="shared" si="4"/>
        <v>001012D4</v>
      </c>
      <c r="B116" s="2" t="s">
        <v>46</v>
      </c>
      <c r="C116" s="2" t="s">
        <v>23</v>
      </c>
    </row>
    <row r="117" spans="1:4">
      <c r="A117" s="2" t="str">
        <f t="shared" si="4"/>
        <v>001012D8</v>
      </c>
      <c r="B117" s="2" t="s">
        <v>47</v>
      </c>
      <c r="C117" s="2" t="s">
        <v>71</v>
      </c>
    </row>
    <row r="118" spans="1:4">
      <c r="A118" s="2" t="str">
        <f t="shared" si="4"/>
        <v>001012DC</v>
      </c>
      <c r="B118" s="2" t="s">
        <v>11</v>
      </c>
      <c r="C118" s="2" t="s">
        <v>9</v>
      </c>
    </row>
    <row r="119" spans="1:4">
      <c r="A119" s="2" t="str">
        <f t="shared" si="4"/>
        <v>001012E0</v>
      </c>
      <c r="B119" s="2" t="s">
        <v>226</v>
      </c>
      <c r="C119" s="2" t="s">
        <v>104</v>
      </c>
    </row>
    <row r="120" spans="1:4">
      <c r="A120" s="2" t="str">
        <f t="shared" si="4"/>
        <v>001012E4</v>
      </c>
      <c r="B120" s="3" t="s">
        <v>49</v>
      </c>
      <c r="C120" s="2" t="s">
        <v>24</v>
      </c>
    </row>
    <row r="121" spans="1:4">
      <c r="A121" s="2" t="str">
        <f t="shared" si="4"/>
        <v>001012E8</v>
      </c>
      <c r="B121" s="2" t="s">
        <v>50</v>
      </c>
      <c r="C121" s="2" t="s">
        <v>73</v>
      </c>
      <c r="D121" s="21" t="s">
        <v>191</v>
      </c>
    </row>
    <row r="122" spans="1:4">
      <c r="A122" s="2" t="str">
        <f t="shared" si="4"/>
        <v>001012EC</v>
      </c>
      <c r="B122" s="2" t="s">
        <v>51</v>
      </c>
      <c r="C122" s="2" t="s">
        <v>74</v>
      </c>
      <c r="D122" s="21" t="s">
        <v>190</v>
      </c>
    </row>
    <row r="123" spans="1:4">
      <c r="A123" s="2" t="str">
        <f t="shared" si="4"/>
        <v>001012F0</v>
      </c>
      <c r="B123" s="3" t="s">
        <v>52</v>
      </c>
      <c r="C123" s="2" t="s">
        <v>65</v>
      </c>
    </row>
    <row r="124" spans="1:4">
      <c r="A124" s="18" t="str">
        <f t="shared" si="4"/>
        <v>001012F4</v>
      </c>
      <c r="B124" s="19" t="s">
        <v>154</v>
      </c>
      <c r="C124" s="18" t="s">
        <v>117</v>
      </c>
      <c r="D124" s="28" t="s">
        <v>118</v>
      </c>
    </row>
    <row r="125" spans="1:4">
      <c r="A125" s="2" t="str">
        <f t="shared" si="4"/>
        <v>001012F8</v>
      </c>
      <c r="B125" s="3" t="s">
        <v>54</v>
      </c>
      <c r="C125" s="2" t="s">
        <v>25</v>
      </c>
    </row>
    <row r="126" spans="1:4">
      <c r="A126" s="2" t="str">
        <f t="shared" si="4"/>
        <v>001012FC</v>
      </c>
      <c r="B126" s="2" t="s">
        <v>8</v>
      </c>
      <c r="C126" s="2" t="s">
        <v>6</v>
      </c>
    </row>
    <row r="127" spans="1:4">
      <c r="A127" s="18" t="str">
        <f t="shared" si="4"/>
        <v>00101300</v>
      </c>
      <c r="B127" s="18" t="s">
        <v>201</v>
      </c>
      <c r="C127" s="18" t="s">
        <v>198</v>
      </c>
      <c r="D127" s="28" t="s">
        <v>120</v>
      </c>
    </row>
    <row r="128" spans="1:4">
      <c r="A128" s="18" t="str">
        <f t="shared" si="4"/>
        <v>00101304</v>
      </c>
      <c r="B128" s="19" t="s">
        <v>202</v>
      </c>
      <c r="C128" s="18" t="s">
        <v>197</v>
      </c>
      <c r="D128" s="28" t="s">
        <v>119</v>
      </c>
    </row>
    <row r="129" spans="1:3">
      <c r="A129" s="2" t="str">
        <f t="shared" si="4"/>
        <v>00101308</v>
      </c>
      <c r="B129" s="2" t="s">
        <v>10</v>
      </c>
      <c r="C129" s="2" t="s">
        <v>77</v>
      </c>
    </row>
    <row r="130" spans="1:3">
      <c r="A130" s="2" t="str">
        <f t="shared" si="4"/>
        <v>0010130C</v>
      </c>
      <c r="B130" s="3" t="s">
        <v>12</v>
      </c>
      <c r="C130" s="2" t="s">
        <v>78</v>
      </c>
    </row>
    <row r="131" spans="1:3">
      <c r="A131" s="2" t="str">
        <f t="shared" si="4"/>
        <v>00101310</v>
      </c>
      <c r="B131" s="2" t="s">
        <v>227</v>
      </c>
      <c r="C131" s="2" t="s">
        <v>81</v>
      </c>
    </row>
    <row r="132" spans="1:3">
      <c r="A132" s="2" t="str">
        <f t="shared" si="4"/>
        <v>00101314</v>
      </c>
      <c r="B132" s="2" t="s">
        <v>7</v>
      </c>
      <c r="C132" s="2" t="s">
        <v>5</v>
      </c>
    </row>
    <row r="133" spans="1:3">
      <c r="A133" s="2" t="str">
        <f t="shared" si="4"/>
        <v>00101318</v>
      </c>
      <c r="B133" s="2" t="s">
        <v>11</v>
      </c>
      <c r="C133" s="2" t="s">
        <v>9</v>
      </c>
    </row>
    <row r="134" spans="1:3">
      <c r="A134" s="2" t="str">
        <f t="shared" si="4"/>
        <v>0010131C</v>
      </c>
      <c r="B134" s="3" t="s">
        <v>220</v>
      </c>
      <c r="C134" s="2" t="str">
        <f>SUBSTITUTE(C11,"push","pop")</f>
        <v>pop {r4, r5, r6, r7, r8, r10, lr}</v>
      </c>
    </row>
    <row r="135" spans="1:3">
      <c r="A135" s="2" t="str">
        <f t="shared" si="4"/>
        <v>00101320</v>
      </c>
      <c r="B135" s="2" t="s">
        <v>228</v>
      </c>
      <c r="C135" s="2" t="s">
        <v>82</v>
      </c>
    </row>
    <row r="136" spans="1:3">
      <c r="A136" s="2" t="str">
        <f t="shared" si="4"/>
        <v>00101324</v>
      </c>
      <c r="B136" s="2" t="s">
        <v>219</v>
      </c>
      <c r="C136" s="2" t="str">
        <f>SUBSTITUTE(C134,"lr","pc")</f>
        <v>pop {r4, r5, r6, r7, r8, r10,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F682-529F-445E-A539-EDFF7BE80E58}">
  <dimension ref="A1:F55"/>
  <sheetViews>
    <sheetView zoomScaleNormal="100" workbookViewId="0">
      <pane ySplit="1" topLeftCell="A8" activePane="bottomLeft" state="frozen"/>
      <selection pane="bottomLeft" activeCell="A11" sqref="A11"/>
    </sheetView>
  </sheetViews>
  <sheetFormatPr defaultColWidth="9.2109375" defaultRowHeight="15.9"/>
  <cols>
    <col min="1" max="1" width="10.85546875" style="2" customWidth="1"/>
    <col min="2" max="2" width="10.0703125" style="2" bestFit="1" customWidth="1"/>
    <col min="3" max="3" width="34.78515625" style="2" bestFit="1" customWidth="1"/>
    <col min="4" max="4" width="29.2109375" style="2" customWidth="1"/>
    <col min="5" max="8" width="9.2109375" style="2"/>
    <col min="9" max="11" width="2.28515625" style="2" bestFit="1" customWidth="1"/>
    <col min="12" max="16384" width="9.2109375" style="2"/>
  </cols>
  <sheetData>
    <row r="1" spans="1:6">
      <c r="A1" s="1" t="s">
        <v>4</v>
      </c>
      <c r="B1" s="1" t="s">
        <v>3</v>
      </c>
      <c r="C1" s="1" t="s">
        <v>2</v>
      </c>
      <c r="D1" s="1" t="s">
        <v>1</v>
      </c>
    </row>
    <row r="2" spans="1:6">
      <c r="A2" s="1" t="s">
        <v>92</v>
      </c>
      <c r="B2" s="1"/>
      <c r="C2" s="1"/>
      <c r="D2" s="1"/>
    </row>
    <row r="3" spans="1:6">
      <c r="A3" s="2" t="s">
        <v>99</v>
      </c>
      <c r="B3" s="2" t="str">
        <f>_xlfn.CONCAT("0",RIGHT(C3,1),"10A0E3")</f>
        <v>0310A0E3</v>
      </c>
      <c r="C3" s="2" t="s">
        <v>100</v>
      </c>
      <c r="D3" s="1"/>
    </row>
    <row r="4" spans="1:6">
      <c r="A4" s="2" t="str">
        <f t="shared" ref="A4:A7" si="0">DEC2HEX(HEX2DEC(A3)+4,8)</f>
        <v>000D9EE8</v>
      </c>
      <c r="B4" s="2" t="s">
        <v>54</v>
      </c>
      <c r="C4" s="2" t="s">
        <v>25</v>
      </c>
      <c r="D4" s="1"/>
    </row>
    <row r="5" spans="1:6">
      <c r="A5" s="2" t="str">
        <f t="shared" si="0"/>
        <v>000D9EEC</v>
      </c>
      <c r="B5" s="2" t="s">
        <v>93</v>
      </c>
      <c r="C5" s="2" t="s">
        <v>94</v>
      </c>
      <c r="D5" s="1"/>
    </row>
    <row r="6" spans="1:6">
      <c r="A6" s="2" t="str">
        <f t="shared" si="0"/>
        <v>000D9EF0</v>
      </c>
      <c r="B6" s="2" t="s">
        <v>95</v>
      </c>
      <c r="C6" s="2" t="s">
        <v>96</v>
      </c>
      <c r="D6" s="1"/>
    </row>
    <row r="7" spans="1:6">
      <c r="A7" s="2" t="str">
        <f t="shared" si="0"/>
        <v>000D9EF4</v>
      </c>
      <c r="B7" s="2" t="s">
        <v>97</v>
      </c>
      <c r="C7" s="2" t="s">
        <v>98</v>
      </c>
      <c r="D7" s="1"/>
    </row>
    <row r="8" spans="1:6">
      <c r="D8" s="1"/>
    </row>
    <row r="9" spans="1:6">
      <c r="A9" s="1"/>
      <c r="B9" s="1"/>
      <c r="C9" s="1"/>
      <c r="D9" s="1"/>
    </row>
    <row r="10" spans="1:6">
      <c r="A10" s="1" t="s">
        <v>0</v>
      </c>
      <c r="B10" s="1"/>
      <c r="C10" s="1"/>
      <c r="D10" s="1"/>
    </row>
    <row r="11" spans="1:6">
      <c r="A11" s="3" t="s">
        <v>14</v>
      </c>
      <c r="B11" s="2" t="s">
        <v>26</v>
      </c>
      <c r="C11" s="2" t="s">
        <v>15</v>
      </c>
    </row>
    <row r="12" spans="1:6">
      <c r="A12" s="2" t="str">
        <f t="shared" ref="A12:A55" si="1">DEC2HEX(HEX2DEC(A11)+4,8)</f>
        <v>000D6F9C</v>
      </c>
      <c r="B12" s="2" t="s">
        <v>27</v>
      </c>
      <c r="C12" s="2" t="s">
        <v>16</v>
      </c>
    </row>
    <row r="13" spans="1:6">
      <c r="A13" s="2" t="str">
        <f t="shared" si="1"/>
        <v>000D6FA0</v>
      </c>
      <c r="B13" s="2" t="s">
        <v>28</v>
      </c>
      <c r="C13" s="2" t="s">
        <v>17</v>
      </c>
    </row>
    <row r="14" spans="1:6">
      <c r="A14" s="4" t="str">
        <f t="shared" si="1"/>
        <v>000D6FA4</v>
      </c>
      <c r="B14" s="5" t="s">
        <v>29</v>
      </c>
      <c r="C14" s="4" t="s">
        <v>18</v>
      </c>
      <c r="D14" s="4" t="s">
        <v>83</v>
      </c>
    </row>
    <row r="15" spans="1:6">
      <c r="A15" s="4" t="str">
        <f t="shared" si="1"/>
        <v>000D6FA8</v>
      </c>
      <c r="B15" s="4" t="s">
        <v>11</v>
      </c>
      <c r="C15" s="4" t="s">
        <v>9</v>
      </c>
      <c r="D15" s="4"/>
    </row>
    <row r="16" spans="1:6">
      <c r="A16" s="4" t="str">
        <f t="shared" si="1"/>
        <v>000D6FAC</v>
      </c>
      <c r="B16" s="5" t="s">
        <v>30</v>
      </c>
      <c r="C16" s="4" t="s">
        <v>61</v>
      </c>
      <c r="D16" s="4"/>
      <c r="E16" s="6"/>
      <c r="F16" s="6"/>
    </row>
    <row r="17" spans="1:6">
      <c r="A17" s="4" t="str">
        <f t="shared" si="1"/>
        <v>000D6FB0</v>
      </c>
      <c r="B17" s="4" t="s">
        <v>31</v>
      </c>
      <c r="C17" s="4" t="s">
        <v>19</v>
      </c>
      <c r="D17" s="4"/>
      <c r="E17" s="6"/>
      <c r="F17" s="6"/>
    </row>
    <row r="18" spans="1:6">
      <c r="A18" s="7" t="str">
        <f t="shared" si="1"/>
        <v>000D6FB4</v>
      </c>
      <c r="B18" s="7" t="s">
        <v>32</v>
      </c>
      <c r="C18" s="7" t="s">
        <v>62</v>
      </c>
      <c r="D18" s="7" t="s">
        <v>84</v>
      </c>
      <c r="E18" s="6"/>
      <c r="F18" s="6"/>
    </row>
    <row r="19" spans="1:6">
      <c r="A19" s="7" t="str">
        <f t="shared" si="1"/>
        <v>000D6FB8</v>
      </c>
      <c r="B19" s="7" t="s">
        <v>33</v>
      </c>
      <c r="C19" s="7" t="s">
        <v>63</v>
      </c>
      <c r="D19" s="7"/>
      <c r="E19" s="6"/>
      <c r="F19" s="6"/>
    </row>
    <row r="20" spans="1:6">
      <c r="A20" s="7" t="str">
        <f t="shared" si="1"/>
        <v>000D6FBC</v>
      </c>
      <c r="B20" s="7" t="s">
        <v>34</v>
      </c>
      <c r="C20" s="7" t="s">
        <v>68</v>
      </c>
      <c r="D20" s="7"/>
      <c r="F20" s="6"/>
    </row>
    <row r="21" spans="1:6">
      <c r="A21" s="7" t="str">
        <f t="shared" si="1"/>
        <v>000D6FC0</v>
      </c>
      <c r="B21" s="8" t="s">
        <v>35</v>
      </c>
      <c r="C21" s="7" t="str">
        <f>_xlfn.CONCAT("bne 0x",A$55)</f>
        <v>bne 0x000D7048</v>
      </c>
      <c r="D21" s="7"/>
      <c r="E21" s="6"/>
      <c r="F21" s="6"/>
    </row>
    <row r="22" spans="1:6">
      <c r="A22" s="9" t="str">
        <f t="shared" si="1"/>
        <v>000D6FC4</v>
      </c>
      <c r="B22" s="10" t="s">
        <v>36</v>
      </c>
      <c r="C22" s="9" t="s">
        <v>67</v>
      </c>
      <c r="D22" s="9" t="s">
        <v>86</v>
      </c>
    </row>
    <row r="23" spans="1:6">
      <c r="A23" s="9" t="str">
        <f t="shared" si="1"/>
        <v>000D6FC8</v>
      </c>
      <c r="B23" s="10" t="s">
        <v>37</v>
      </c>
      <c r="C23" s="9" t="s">
        <v>20</v>
      </c>
      <c r="D23" s="9"/>
    </row>
    <row r="24" spans="1:6">
      <c r="A24" s="9" t="str">
        <f t="shared" si="1"/>
        <v>000D6FCC</v>
      </c>
      <c r="B24" s="9" t="s">
        <v>38</v>
      </c>
      <c r="C24" s="9" t="s">
        <v>66</v>
      </c>
      <c r="D24" s="9"/>
    </row>
    <row r="25" spans="1:6">
      <c r="A25" s="9" t="str">
        <f t="shared" si="1"/>
        <v>000D6FD0</v>
      </c>
      <c r="B25" s="9" t="s">
        <v>8</v>
      </c>
      <c r="C25" s="9" t="s">
        <v>6</v>
      </c>
      <c r="D25" s="9"/>
    </row>
    <row r="26" spans="1:6">
      <c r="A26" s="11" t="str">
        <f t="shared" si="1"/>
        <v>000D6FD4</v>
      </c>
      <c r="B26" s="12" t="s">
        <v>13</v>
      </c>
      <c r="C26" s="11" t="s">
        <v>75</v>
      </c>
      <c r="D26" s="11" t="s">
        <v>87</v>
      </c>
    </row>
    <row r="27" spans="1:6">
      <c r="A27" s="11" t="str">
        <f t="shared" si="1"/>
        <v>000D6FD8</v>
      </c>
      <c r="B27" s="11" t="s">
        <v>37</v>
      </c>
      <c r="C27" s="11" t="s">
        <v>20</v>
      </c>
      <c r="D27" s="13"/>
    </row>
    <row r="28" spans="1:6">
      <c r="A28" s="11" t="str">
        <f t="shared" si="1"/>
        <v>000D6FDC</v>
      </c>
      <c r="B28" s="12" t="s">
        <v>39</v>
      </c>
      <c r="C28" s="11" t="s">
        <v>85</v>
      </c>
      <c r="D28" s="11"/>
    </row>
    <row r="29" spans="1:6">
      <c r="A29" s="14" t="str">
        <f t="shared" si="1"/>
        <v>000D6FE0</v>
      </c>
      <c r="B29" s="15" t="s">
        <v>40</v>
      </c>
      <c r="C29" s="14" t="s">
        <v>21</v>
      </c>
      <c r="D29" s="14" t="s">
        <v>88</v>
      </c>
    </row>
    <row r="30" spans="1:6">
      <c r="A30" s="16" t="str">
        <f t="shared" si="1"/>
        <v>000D6FE4</v>
      </c>
      <c r="B30" s="16" t="s">
        <v>41</v>
      </c>
      <c r="C30" s="16" t="s">
        <v>64</v>
      </c>
      <c r="D30" s="16" t="s">
        <v>90</v>
      </c>
    </row>
    <row r="31" spans="1:6">
      <c r="A31" s="14" t="str">
        <f t="shared" si="1"/>
        <v>000D6FE8</v>
      </c>
      <c r="B31" s="14" t="s">
        <v>42</v>
      </c>
      <c r="C31" s="14" t="s">
        <v>69</v>
      </c>
      <c r="D31" s="14" t="s">
        <v>89</v>
      </c>
    </row>
    <row r="32" spans="1:6">
      <c r="A32" s="14" t="str">
        <f t="shared" si="1"/>
        <v>000D6FEC</v>
      </c>
      <c r="B32" s="14" t="s">
        <v>43</v>
      </c>
      <c r="C32" s="14" t="s">
        <v>70</v>
      </c>
      <c r="D32" s="14"/>
    </row>
    <row r="33" spans="1:4">
      <c r="A33" s="16" t="str">
        <f t="shared" si="1"/>
        <v>000D6FF0</v>
      </c>
      <c r="B33" s="17" t="s">
        <v>44</v>
      </c>
      <c r="C33" s="16" t="s">
        <v>22</v>
      </c>
      <c r="D33" s="16"/>
    </row>
    <row r="34" spans="1:4">
      <c r="A34" s="16" t="str">
        <f t="shared" si="1"/>
        <v>000D6FF4</v>
      </c>
      <c r="B34" s="16" t="s">
        <v>45</v>
      </c>
      <c r="C34" s="16" t="str">
        <f>_xlfn.CONCAT("beq 0x",A$55)</f>
        <v>beq 0x000D7048</v>
      </c>
      <c r="D34" s="16"/>
    </row>
    <row r="35" spans="1:4">
      <c r="A35" s="2" t="str">
        <f t="shared" si="1"/>
        <v>000D6FF8</v>
      </c>
      <c r="B35" s="2" t="s">
        <v>46</v>
      </c>
      <c r="C35" s="2" t="s">
        <v>23</v>
      </c>
    </row>
    <row r="36" spans="1:4">
      <c r="A36" s="2" t="str">
        <f t="shared" si="1"/>
        <v>000D6FFC</v>
      </c>
      <c r="B36" s="2" t="s">
        <v>47</v>
      </c>
      <c r="C36" s="2" t="s">
        <v>71</v>
      </c>
    </row>
    <row r="37" spans="1:4">
      <c r="A37" s="2" t="str">
        <f t="shared" si="1"/>
        <v>000D7000</v>
      </c>
      <c r="B37" s="2" t="s">
        <v>11</v>
      </c>
      <c r="C37" s="2" t="s">
        <v>9</v>
      </c>
    </row>
    <row r="38" spans="1:4">
      <c r="A38" s="2" t="str">
        <f t="shared" si="1"/>
        <v>000D7004</v>
      </c>
      <c r="B38" s="2" t="s">
        <v>48</v>
      </c>
      <c r="C38" s="2" t="s">
        <v>72</v>
      </c>
    </row>
    <row r="39" spans="1:4">
      <c r="A39" s="2" t="str">
        <f t="shared" si="1"/>
        <v>000D7008</v>
      </c>
      <c r="B39" s="3" t="s">
        <v>49</v>
      </c>
      <c r="C39" s="2" t="s">
        <v>24</v>
      </c>
    </row>
    <row r="40" spans="1:4">
      <c r="A40" s="2" t="str">
        <f t="shared" si="1"/>
        <v>000D700C</v>
      </c>
      <c r="B40" s="2" t="s">
        <v>50</v>
      </c>
      <c r="C40" s="2" t="s">
        <v>73</v>
      </c>
    </row>
    <row r="41" spans="1:4">
      <c r="A41" s="2" t="str">
        <f t="shared" si="1"/>
        <v>000D7010</v>
      </c>
      <c r="B41" s="2" t="s">
        <v>51</v>
      </c>
      <c r="C41" s="2" t="s">
        <v>74</v>
      </c>
    </row>
    <row r="42" spans="1:4">
      <c r="A42" s="2" t="str">
        <f t="shared" si="1"/>
        <v>000D7014</v>
      </c>
      <c r="B42" s="3" t="s">
        <v>52</v>
      </c>
      <c r="C42" s="2" t="s">
        <v>65</v>
      </c>
    </row>
    <row r="43" spans="1:4">
      <c r="A43" s="18" t="str">
        <f t="shared" si="1"/>
        <v>000D7018</v>
      </c>
      <c r="B43" s="19" t="s">
        <v>53</v>
      </c>
      <c r="C43" s="18" t="s">
        <v>76</v>
      </c>
      <c r="D43" s="18" t="s">
        <v>91</v>
      </c>
    </row>
    <row r="44" spans="1:4">
      <c r="A44" s="2" t="str">
        <f t="shared" si="1"/>
        <v>000D701C</v>
      </c>
      <c r="B44" s="3" t="s">
        <v>54</v>
      </c>
      <c r="C44" s="2" t="s">
        <v>25</v>
      </c>
    </row>
    <row r="45" spans="1:4">
      <c r="A45" s="2" t="str">
        <f t="shared" si="1"/>
        <v>000D7020</v>
      </c>
      <c r="B45" s="2" t="s">
        <v>8</v>
      </c>
      <c r="C45" s="2" t="s">
        <v>6</v>
      </c>
    </row>
    <row r="46" spans="1:4">
      <c r="A46" s="18" t="str">
        <f t="shared" si="1"/>
        <v>000D7024</v>
      </c>
      <c r="B46" s="18" t="s">
        <v>55</v>
      </c>
      <c r="C46" s="18" t="s">
        <v>79</v>
      </c>
      <c r="D46" s="18"/>
    </row>
    <row r="47" spans="1:4">
      <c r="A47" s="18" t="str">
        <f t="shared" si="1"/>
        <v>000D7028</v>
      </c>
      <c r="B47" s="19" t="s">
        <v>56</v>
      </c>
      <c r="C47" s="18" t="s">
        <v>80</v>
      </c>
      <c r="D47" s="18"/>
    </row>
    <row r="48" spans="1:4">
      <c r="A48" s="2" t="str">
        <f t="shared" si="1"/>
        <v>000D702C</v>
      </c>
      <c r="B48" s="2" t="s">
        <v>10</v>
      </c>
      <c r="C48" s="2" t="s">
        <v>77</v>
      </c>
    </row>
    <row r="49" spans="1:3">
      <c r="A49" s="2" t="str">
        <f t="shared" si="1"/>
        <v>000D7030</v>
      </c>
      <c r="B49" s="3" t="s">
        <v>12</v>
      </c>
      <c r="C49" s="2" t="s">
        <v>78</v>
      </c>
    </row>
    <row r="50" spans="1:3">
      <c r="A50" s="2" t="str">
        <f t="shared" si="1"/>
        <v>000D7034</v>
      </c>
      <c r="B50" s="2" t="s">
        <v>57</v>
      </c>
      <c r="C50" s="2" t="s">
        <v>81</v>
      </c>
    </row>
    <row r="51" spans="1:3">
      <c r="A51" s="2" t="str">
        <f t="shared" si="1"/>
        <v>000D7038</v>
      </c>
      <c r="B51" s="2" t="s">
        <v>7</v>
      </c>
      <c r="C51" s="2" t="s">
        <v>5</v>
      </c>
    </row>
    <row r="52" spans="1:3">
      <c r="A52" s="2" t="str">
        <f t="shared" si="1"/>
        <v>000D703C</v>
      </c>
      <c r="B52" s="2" t="s">
        <v>11</v>
      </c>
      <c r="C52" s="2" t="s">
        <v>9</v>
      </c>
    </row>
    <row r="53" spans="1:3">
      <c r="A53" s="2" t="str">
        <f t="shared" si="1"/>
        <v>000D7040</v>
      </c>
      <c r="B53" s="3" t="s">
        <v>58</v>
      </c>
      <c r="C53" s="2" t="str">
        <f>SUBSTITUTE(C11,"push","pop")</f>
        <v>pop {r4, r5, r6, r7, r8, lr}</v>
      </c>
    </row>
    <row r="54" spans="1:3">
      <c r="A54" s="2" t="str">
        <f t="shared" si="1"/>
        <v>000D7044</v>
      </c>
      <c r="B54" s="2" t="s">
        <v>59</v>
      </c>
      <c r="C54" s="2" t="s">
        <v>82</v>
      </c>
    </row>
    <row r="55" spans="1:3">
      <c r="A55" s="2" t="str">
        <f t="shared" si="1"/>
        <v>000D7048</v>
      </c>
      <c r="B55" s="2" t="s">
        <v>60</v>
      </c>
      <c r="C55" s="2" t="str">
        <f>SUBSTITUTE(C53,"lr","pc")</f>
        <v>pop {r4, r5, r6, r7, r8,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2025-03-11T01:05:51Z</dcterms:created>
  <dcterms:modified xsi:type="dcterms:W3CDTF">2026-06-07T21:22:58Z</dcterms:modified>
</cp:coreProperties>
</file>