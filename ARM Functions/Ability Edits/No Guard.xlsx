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3AC9053A-61CA-4467-8BBA-032A05271A93}" xr6:coauthVersionLast="47" xr6:coauthVersionMax="47" xr10:uidLastSave="{00000000-0000-0000-0000-000000000000}"/>
  <bookViews>
    <workbookView xWindow="0" yWindow="0" windowWidth="16457" windowHeight="17914" xr2:uid="{664BA6B8-043A-4EF3-A83B-BDEF02BD0490}"/>
  </bookViews>
  <sheets>
    <sheet name="edit" sheetId="4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4" l="1"/>
  <c r="C22" i="4"/>
  <c r="C38" i="4"/>
  <c r="C40" i="4" s="1"/>
  <c r="A12" i="4" l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4" i="4"/>
  <c r="A5" i="4" s="1"/>
  <c r="A6" i="4" s="1"/>
  <c r="A7" i="4" s="1"/>
  <c r="B3" i="4"/>
  <c r="A26" i="4" l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l="1"/>
  <c r="A40" i="4" s="1"/>
  <c r="A41" i="4" s="1"/>
  <c r="C34" i="4" s="1"/>
  <c r="C25" i="4"/>
  <c r="C20" i="4" l="1"/>
</calcChain>
</file>

<file path=xl/sharedStrings.xml><?xml version="1.0" encoding="utf-8"?>
<sst xmlns="http://schemas.openxmlformats.org/spreadsheetml/2006/main" count="78" uniqueCount="70">
  <si>
    <t>notes</t>
  </si>
  <si>
    <t>instruction</t>
  </si>
  <si>
    <t>Hex</t>
  </si>
  <si>
    <t>Address</t>
  </si>
  <si>
    <t>0110A0E3</t>
  </si>
  <si>
    <t>str r1, [r0]</t>
  </si>
  <si>
    <t>001080E5</t>
  </si>
  <si>
    <t>mov r1, 0x1</t>
  </si>
  <si>
    <t>00009FE5</t>
  </si>
  <si>
    <t>ldr r0, [pc]</t>
  </si>
  <si>
    <t>1EFF2FE1</t>
  </si>
  <si>
    <t>bx lr</t>
  </si>
  <si>
    <t>00000000</t>
  </si>
  <si>
    <t>andeq r0, r0, r0</t>
  </si>
  <si>
    <t>mov r0, 0x3</t>
  </si>
  <si>
    <t>mov r0, 0x12</t>
  </si>
  <si>
    <t>mov r0, 0x4</t>
  </si>
  <si>
    <t>mov r1, 0x4</t>
  </si>
  <si>
    <t>1200A0E3</t>
  </si>
  <si>
    <t>0300A0E3</t>
  </si>
  <si>
    <t>0300000A</t>
  </si>
  <si>
    <t>0400A0E3</t>
  </si>
  <si>
    <t>No Guard Call Function</t>
  </si>
  <si>
    <t>push {r4, r5, r6, lr}</t>
  </si>
  <si>
    <t>mov r4, r2</t>
  </si>
  <si>
    <t>bl 0x00087B58</t>
  </si>
  <si>
    <t>cmp r0, r4</t>
  </si>
  <si>
    <t>b 0x00082D44</t>
  </si>
  <si>
    <t>check self attacker</t>
  </si>
  <si>
    <t>check self defender</t>
  </si>
  <si>
    <t>get move ID</t>
  </si>
  <si>
    <t>bl 0x000003A0</t>
  </si>
  <si>
    <t>Get Move Accuracy</t>
  </si>
  <si>
    <t>mov r5, r0</t>
  </si>
  <si>
    <t>mov r0, 0x2A</t>
  </si>
  <si>
    <t>get %chance thing happening</t>
  </si>
  <si>
    <t>1F85EB51</t>
  </si>
  <si>
    <t>mul r0, r0, r1</t>
  </si>
  <si>
    <t>multiply base accuracy by proc %</t>
  </si>
  <si>
    <t>umull r1, r0, r1, r0</t>
  </si>
  <si>
    <t>lsr r1, r0, #5</t>
  </si>
  <si>
    <t>Divide by 100</t>
  </si>
  <si>
    <t>Alter effect % based on accuracy change 0x67/0x7B/0xC8/0x83</t>
  </si>
  <si>
    <t>cmp r9, 0x83</t>
  </si>
  <si>
    <t>mov r0, 0x4A</t>
  </si>
  <si>
    <t>000D3DDC</t>
  </si>
  <si>
    <t>00103164</t>
  </si>
  <si>
    <t>70402DE9</t>
  </si>
  <si>
    <t>0240A0E1</t>
  </si>
  <si>
    <t>7812FEEB</t>
  </si>
  <si>
    <t>040050E1</t>
  </si>
  <si>
    <t>7412FEEB</t>
  </si>
  <si>
    <t>1200001A</t>
  </si>
  <si>
    <t>830059E3</t>
  </si>
  <si>
    <t>0200001A</t>
  </si>
  <si>
    <t>4A00A0E3</t>
  </si>
  <si>
    <t>0B0000EA</t>
  </si>
  <si>
    <t>6B12FEEB</t>
  </si>
  <si>
    <t>0410A0E3</t>
  </si>
  <si>
    <t>7BF4FBEB</t>
  </si>
  <si>
    <t>0050A0E1</t>
  </si>
  <si>
    <t>2A00A0E3</t>
  </si>
  <si>
    <t>6612FEEB</t>
  </si>
  <si>
    <t>900100E0</t>
  </si>
  <si>
    <t>1C109FE5</t>
  </si>
  <si>
    <t>911080E0</t>
  </si>
  <si>
    <t>A012A0E1</t>
  </si>
  <si>
    <t>7040BDE8</t>
  </si>
  <si>
    <t>DAFEFDEA</t>
  </si>
  <si>
    <t>7080BDE8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</si>
</sst>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3" fillId="0" borderId="0" xfId="0" applyFont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/>
    <xf numFmtId="0" fontId="2" fillId="6" borderId="0" xfId="0" applyFont="1" applyFill="1"/>
    <xf numFmtId="0" fontId="2" fillId="6" borderId="0" xfId="0" applyFont="1" applyFill="1" applyAlignment="1">
      <alignment wrapText="1"/>
    </xf>
    <xf numFmtId="0" fontId="2" fillId="6" borderId="0" xfId="0" quotePrefix="1" applyFont="1" applyFill="1"/>
    <xf numFmtId="0" fontId="2" fillId="5" borderId="0" xfId="0" quotePrefix="1" applyFont="1" applyFill="1"/>
    <xf numFmtId="0" fontId="2" fillId="5" borderId="0" xfId="0" applyFont="1" applyFill="1" applyAlignment="1">
      <alignment wrapText="1"/>
    </xf>
    <xf numFmtId="0" fontId="2" fillId="0" borderId="0" xfId="0" applyFont="1" applyFill="1"/>
    <xf numFmtId="0" fontId="2" fillId="0" borderId="0" xfId="0" applyFont="1" applyFill="1" applyAlignment="1">
      <alignment wrapText="1"/>
    </xf>
    <xf numFmtId="0" fontId="2" fillId="0" borderId="0" xfId="0" quotePrefix="1" applyFont="1" applyFill="1"/>
    <xf numFmtId="0" fontId="3" fillId="0" borderId="0" xfId="0" quotePrefix="1" applyFont="1" applyFill="1" applyAlignment="1">
      <alignment wrapText="1"/>
    </xf>
    <xf numFmtId="11" fontId="2" fillId="0" borderId="0" xfId="0" applyNumberFormat="1" applyFont="1" applyFill="1"/>
    <xf numFmtId="0" fontId="2" fillId="7" borderId="0" xfId="0" applyFont="1" applyFill="1"/>
    <xf numFmtId="0" fontId="3" fillId="7" borderId="0" xfId="0" quotePrefix="1" applyFont="1" applyFill="1" applyAlignment="1">
      <alignment wrapText="1"/>
    </xf>
    <xf numFmtId="0" fontId="2" fillId="7" borderId="0" xfId="0" quotePrefix="1" applyFont="1" applyFill="1"/>
    <xf numFmtId="0" fontId="2" fillId="7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723FF-BCC0-4C2B-BBFA-83B683128D8B}">
  <dimension ref="A1:K120"/>
  <sheetViews>
    <sheetView tabSelected="1" zoomScale="85" zoomScaleNormal="85" workbookViewId="0">
      <pane ySplit="1" topLeftCell="A2" activePane="bottomLeft" state="frozen"/>
      <selection pane="bottomLeft" activeCell="A10" sqref="A10"/>
    </sheetView>
  </sheetViews>
  <sheetFormatPr defaultColWidth="9.2109375" defaultRowHeight="15.9"/>
  <cols>
    <col min="1" max="1" width="10.85546875" style="2" customWidth="1"/>
    <col min="2" max="2" width="10.0703125" style="2" bestFit="1" customWidth="1"/>
    <col min="3" max="3" width="38.640625" style="2" bestFit="1" customWidth="1"/>
    <col min="4" max="4" width="44" style="12" customWidth="1"/>
    <col min="5" max="8" width="9.2109375" style="2"/>
    <col min="9" max="11" width="2.28515625" style="2" bestFit="1" customWidth="1"/>
    <col min="12" max="16384" width="9.2109375" style="2"/>
  </cols>
  <sheetData>
    <row r="1" spans="1:6">
      <c r="A1" s="1" t="s">
        <v>3</v>
      </c>
      <c r="B1" s="1" t="s">
        <v>2</v>
      </c>
      <c r="C1" s="1" t="s">
        <v>1</v>
      </c>
      <c r="D1" s="11" t="s">
        <v>0</v>
      </c>
    </row>
    <row r="2" spans="1:6">
      <c r="A2" s="1" t="s">
        <v>22</v>
      </c>
      <c r="B2" s="1"/>
      <c r="C2" s="1"/>
      <c r="D2" s="11"/>
    </row>
    <row r="3" spans="1:6">
      <c r="A3" s="2" t="s">
        <v>45</v>
      </c>
      <c r="B3" s="2" t="str">
        <f>_xlfn.CONCAT("0",RIGHT(C3,1),"10A0E3")</f>
        <v>0410A0E3</v>
      </c>
      <c r="C3" s="2" t="s">
        <v>17</v>
      </c>
      <c r="D3" s="11"/>
    </row>
    <row r="4" spans="1:6">
      <c r="A4" s="2" t="str">
        <f t="shared" ref="A4:A7" si="0">DEC2HEX(HEX2DEC(A3)+4,8)</f>
        <v>000D3DE0</v>
      </c>
      <c r="B4" s="2" t="s">
        <v>6</v>
      </c>
      <c r="C4" s="2" t="s">
        <v>5</v>
      </c>
      <c r="D4" s="11"/>
    </row>
    <row r="5" spans="1:6">
      <c r="A5" s="2" t="str">
        <f t="shared" si="0"/>
        <v>000D3DE4</v>
      </c>
      <c r="B5" s="2" t="s">
        <v>8</v>
      </c>
      <c r="C5" s="2" t="s">
        <v>9</v>
      </c>
      <c r="D5" s="11"/>
    </row>
    <row r="6" spans="1:6">
      <c r="A6" s="2" t="str">
        <f t="shared" si="0"/>
        <v>000D3DE8</v>
      </c>
      <c r="B6" s="2" t="s">
        <v>10</v>
      </c>
      <c r="C6" s="2" t="s">
        <v>11</v>
      </c>
      <c r="D6" s="11"/>
    </row>
    <row r="7" spans="1:6">
      <c r="A7" s="2" t="str">
        <f t="shared" si="0"/>
        <v>000D3DEC</v>
      </c>
      <c r="B7" s="2" t="s">
        <v>12</v>
      </c>
      <c r="C7" s="2" t="s">
        <v>13</v>
      </c>
      <c r="D7" s="11"/>
    </row>
    <row r="8" spans="1:6">
      <c r="D8" s="11"/>
    </row>
    <row r="9" spans="1:6">
      <c r="A9" s="1"/>
      <c r="B9" s="1"/>
      <c r="C9" s="1"/>
      <c r="D9" s="11"/>
    </row>
    <row r="10" spans="1:6">
      <c r="A10" s="1" t="s">
        <v>42</v>
      </c>
      <c r="B10" s="1"/>
      <c r="C10" s="1"/>
      <c r="D10" s="11"/>
    </row>
    <row r="11" spans="1:6">
      <c r="A11" s="3" t="s">
        <v>46</v>
      </c>
      <c r="B11" s="2" t="s">
        <v>47</v>
      </c>
      <c r="C11" s="2" t="s">
        <v>23</v>
      </c>
    </row>
    <row r="12" spans="1:6">
      <c r="A12" s="22" t="str">
        <f t="shared" ref="A12:A41" si="1">DEC2HEX(HEX2DEC(A11)+4,8)</f>
        <v>00103168</v>
      </c>
      <c r="B12" s="22" t="s">
        <v>48</v>
      </c>
      <c r="C12" s="22" t="s">
        <v>24</v>
      </c>
      <c r="D12" s="23"/>
    </row>
    <row r="13" spans="1:6">
      <c r="A13" s="4" t="str">
        <f t="shared" si="1"/>
        <v>0010316C</v>
      </c>
      <c r="B13" s="5" t="s">
        <v>19</v>
      </c>
      <c r="C13" s="4" t="s">
        <v>14</v>
      </c>
      <c r="D13" s="13" t="s">
        <v>28</v>
      </c>
    </row>
    <row r="14" spans="1:6">
      <c r="A14" s="4" t="str">
        <f t="shared" si="1"/>
        <v>00103170</v>
      </c>
      <c r="B14" s="4" t="s">
        <v>49</v>
      </c>
      <c r="C14" s="4" t="s">
        <v>25</v>
      </c>
      <c r="D14" s="13"/>
    </row>
    <row r="15" spans="1:6">
      <c r="A15" s="4" t="str">
        <f t="shared" si="1"/>
        <v>00103174</v>
      </c>
      <c r="B15" s="5" t="s">
        <v>50</v>
      </c>
      <c r="C15" s="4" t="s">
        <v>26</v>
      </c>
      <c r="D15" s="13"/>
      <c r="E15" s="6"/>
      <c r="F15" s="6"/>
    </row>
    <row r="16" spans="1:6">
      <c r="A16" s="4" t="str">
        <f t="shared" si="1"/>
        <v>00103178</v>
      </c>
      <c r="B16" s="4" t="s">
        <v>20</v>
      </c>
      <c r="C16" s="4" t="str">
        <f>_xlfn.CONCAT("beq 0x",A21)</f>
        <v>beq 0x0010318C</v>
      </c>
      <c r="D16" s="13"/>
      <c r="E16" s="6"/>
      <c r="F16" s="6"/>
    </row>
    <row r="17" spans="1:6">
      <c r="A17" s="7" t="str">
        <f t="shared" si="1"/>
        <v>0010317C</v>
      </c>
      <c r="B17" s="8" t="s">
        <v>21</v>
      </c>
      <c r="C17" s="7" t="s">
        <v>16</v>
      </c>
      <c r="D17" s="14" t="s">
        <v>29</v>
      </c>
      <c r="E17" s="6"/>
      <c r="F17" s="6"/>
    </row>
    <row r="18" spans="1:6">
      <c r="A18" s="7" t="str">
        <f t="shared" si="1"/>
        <v>00103180</v>
      </c>
      <c r="B18" s="7" t="s">
        <v>51</v>
      </c>
      <c r="C18" s="7" t="s">
        <v>25</v>
      </c>
      <c r="D18" s="14"/>
      <c r="E18" s="6"/>
      <c r="F18" s="6"/>
    </row>
    <row r="19" spans="1:6">
      <c r="A19" s="7" t="str">
        <f t="shared" si="1"/>
        <v>00103184</v>
      </c>
      <c r="B19" s="8" t="s">
        <v>50</v>
      </c>
      <c r="C19" s="7" t="s">
        <v>26</v>
      </c>
      <c r="D19" s="14"/>
      <c r="F19" s="6"/>
    </row>
    <row r="20" spans="1:6">
      <c r="A20" s="7" t="str">
        <f t="shared" si="1"/>
        <v>00103188</v>
      </c>
      <c r="B20" s="7" t="s">
        <v>52</v>
      </c>
      <c r="C20" s="7" t="str">
        <f>_xlfn.CONCAT("bne 0x",A40)</f>
        <v>bne 0x001031D8</v>
      </c>
      <c r="D20" s="14"/>
      <c r="E20" s="6"/>
      <c r="F20" s="6"/>
    </row>
    <row r="21" spans="1:6">
      <c r="A21" s="16" t="str">
        <f t="shared" si="1"/>
        <v>0010318C</v>
      </c>
      <c r="B21" s="20" t="s">
        <v>53</v>
      </c>
      <c r="C21" s="16" t="s">
        <v>43</v>
      </c>
      <c r="D21" s="21"/>
      <c r="E21" s="6"/>
      <c r="F21" s="6"/>
    </row>
    <row r="22" spans="1:6">
      <c r="A22" s="16" t="str">
        <f t="shared" si="1"/>
        <v>00103190</v>
      </c>
      <c r="B22" s="16" t="s">
        <v>54</v>
      </c>
      <c r="C22" s="16" t="str">
        <f>_xlfn.CONCAT("bne 0x",A26)</f>
        <v>bne 0x001031A0</v>
      </c>
      <c r="D22" s="21"/>
      <c r="E22" s="6"/>
      <c r="F22" s="6"/>
    </row>
    <row r="23" spans="1:6">
      <c r="A23" s="16" t="str">
        <f t="shared" si="1"/>
        <v>00103194</v>
      </c>
      <c r="B23" s="16" t="s">
        <v>4</v>
      </c>
      <c r="C23" s="16" t="s">
        <v>7</v>
      </c>
      <c r="D23" s="21"/>
      <c r="E23" s="6"/>
      <c r="F23" s="6"/>
    </row>
    <row r="24" spans="1:6">
      <c r="A24" s="16" t="str">
        <f t="shared" si="1"/>
        <v>00103198</v>
      </c>
      <c r="B24" s="16" t="s">
        <v>55</v>
      </c>
      <c r="C24" s="16" t="s">
        <v>44</v>
      </c>
      <c r="D24" s="21"/>
      <c r="E24" s="6"/>
      <c r="F24" s="6"/>
    </row>
    <row r="25" spans="1:6">
      <c r="A25" s="16" t="str">
        <f t="shared" si="1"/>
        <v>0010319C</v>
      </c>
      <c r="B25" s="16" t="s">
        <v>56</v>
      </c>
      <c r="C25" s="16" t="str">
        <f>_xlfn.CONCAT("b 0x",A38)</f>
        <v>b 0x001031D0</v>
      </c>
      <c r="D25" s="21"/>
      <c r="E25" s="6"/>
      <c r="F25" s="6"/>
    </row>
    <row r="26" spans="1:6">
      <c r="A26" s="9" t="str">
        <f t="shared" si="1"/>
        <v>001031A0</v>
      </c>
      <c r="B26" s="10" t="s">
        <v>18</v>
      </c>
      <c r="C26" s="9" t="s">
        <v>15</v>
      </c>
      <c r="D26" s="15" t="s">
        <v>30</v>
      </c>
    </row>
    <row r="27" spans="1:6">
      <c r="A27" s="9" t="str">
        <f t="shared" si="1"/>
        <v>001031A4</v>
      </c>
      <c r="B27" s="10" t="s">
        <v>57</v>
      </c>
      <c r="C27" s="9" t="s">
        <v>25</v>
      </c>
      <c r="D27" s="15"/>
    </row>
    <row r="28" spans="1:6">
      <c r="A28" s="9" t="str">
        <f t="shared" si="1"/>
        <v>001031A8</v>
      </c>
      <c r="B28" s="9" t="s">
        <v>58</v>
      </c>
      <c r="C28" s="9" t="s">
        <v>17</v>
      </c>
      <c r="D28" s="15" t="s">
        <v>32</v>
      </c>
    </row>
    <row r="29" spans="1:6">
      <c r="A29" s="9" t="str">
        <f t="shared" si="1"/>
        <v>001031AC</v>
      </c>
      <c r="B29" s="9" t="s">
        <v>59</v>
      </c>
      <c r="C29" s="9" t="s">
        <v>31</v>
      </c>
      <c r="D29" s="15"/>
    </row>
    <row r="30" spans="1:6">
      <c r="A30" s="9" t="str">
        <f t="shared" si="1"/>
        <v>001031B0</v>
      </c>
      <c r="B30" s="10" t="s">
        <v>60</v>
      </c>
      <c r="C30" s="9" t="s">
        <v>33</v>
      </c>
      <c r="D30" s="15"/>
    </row>
    <row r="31" spans="1:6">
      <c r="A31" s="27" t="str">
        <f t="shared" si="1"/>
        <v>001031B4</v>
      </c>
      <c r="B31" s="27" t="s">
        <v>61</v>
      </c>
      <c r="C31" s="27" t="s">
        <v>34</v>
      </c>
      <c r="D31" s="28" t="s">
        <v>35</v>
      </c>
    </row>
    <row r="32" spans="1:6">
      <c r="A32" s="27" t="str">
        <f t="shared" si="1"/>
        <v>001031B8</v>
      </c>
      <c r="B32" s="29" t="s">
        <v>62</v>
      </c>
      <c r="C32" s="27" t="s">
        <v>25</v>
      </c>
      <c r="D32" s="30"/>
    </row>
    <row r="33" spans="1:11">
      <c r="A33" s="27" t="str">
        <f t="shared" si="1"/>
        <v>001031BC</v>
      </c>
      <c r="B33" s="29" t="s">
        <v>63</v>
      </c>
      <c r="C33" s="27" t="s">
        <v>37</v>
      </c>
      <c r="D33" s="30" t="s">
        <v>38</v>
      </c>
    </row>
    <row r="34" spans="1:11">
      <c r="A34" s="17" t="str">
        <f t="shared" si="1"/>
        <v>001031C0</v>
      </c>
      <c r="B34" s="19" t="s">
        <v>64</v>
      </c>
      <c r="C34" s="17" t="str">
        <f>_xlfn.CONCAT("ldr r1, [pc, #",HEX2DEC(A41)-HEX2DEC(A34),"]")</f>
        <v>ldr r1, [pc, #28]</v>
      </c>
      <c r="D34" s="18" t="s">
        <v>41</v>
      </c>
    </row>
    <row r="35" spans="1:11">
      <c r="A35" s="17" t="str">
        <f t="shared" si="1"/>
        <v>001031C4</v>
      </c>
      <c r="B35" s="19" t="s">
        <v>65</v>
      </c>
      <c r="C35" s="17" t="s">
        <v>39</v>
      </c>
      <c r="D35" s="18"/>
    </row>
    <row r="36" spans="1:11">
      <c r="A36" s="17" t="str">
        <f t="shared" si="1"/>
        <v>001031C8</v>
      </c>
      <c r="B36" s="19" t="s">
        <v>66</v>
      </c>
      <c r="C36" s="17" t="s">
        <v>40</v>
      </c>
      <c r="D36" s="18"/>
    </row>
    <row r="37" spans="1:11">
      <c r="A37" s="22" t="str">
        <f t="shared" si="1"/>
        <v>001031CC</v>
      </c>
      <c r="B37" s="24" t="s">
        <v>61</v>
      </c>
      <c r="C37" s="22" t="s">
        <v>34</v>
      </c>
      <c r="D37" s="23"/>
    </row>
    <row r="38" spans="1:11">
      <c r="A38" s="22" t="str">
        <f t="shared" si="1"/>
        <v>001031D0</v>
      </c>
      <c r="B38" s="22" t="s">
        <v>67</v>
      </c>
      <c r="C38" s="22" t="str">
        <f>SUBSTITUTE(C11,"push","pop")</f>
        <v>pop {r4, r5, r6, lr}</v>
      </c>
      <c r="D38" s="23"/>
    </row>
    <row r="39" spans="1:11">
      <c r="A39" s="22" t="str">
        <f t="shared" si="1"/>
        <v>001031D4</v>
      </c>
      <c r="B39" s="24" t="s">
        <v>68</v>
      </c>
      <c r="C39" s="22" t="s">
        <v>27</v>
      </c>
      <c r="D39" s="23"/>
    </row>
    <row r="40" spans="1:11">
      <c r="A40" s="22" t="str">
        <f t="shared" si="1"/>
        <v>001031D8</v>
      </c>
      <c r="B40" s="22" t="s">
        <v>69</v>
      </c>
      <c r="C40" s="22" t="str">
        <f>SUBSTITUTE(C38,"lr","pc")</f>
        <v>pop {r4, r5, r6, pc}</v>
      </c>
      <c r="D40" s="23"/>
    </row>
    <row r="41" spans="1:11">
      <c r="A41" s="17" t="str">
        <f t="shared" si="1"/>
        <v>001031DC</v>
      </c>
      <c r="B41" s="19" t="s">
        <v>36</v>
      </c>
      <c r="C41" s="17"/>
      <c r="D41" s="18"/>
    </row>
    <row r="42" spans="1:11">
      <c r="A42" s="22"/>
      <c r="B42" s="22"/>
      <c r="C42" s="22"/>
      <c r="D42" s="23"/>
      <c r="E42" s="22"/>
      <c r="F42" s="22"/>
      <c r="G42" s="22"/>
      <c r="H42" s="22"/>
      <c r="I42" s="22"/>
      <c r="J42" s="22"/>
      <c r="K42" s="22"/>
    </row>
    <row r="43" spans="1:11">
      <c r="A43" s="22"/>
      <c r="B43" s="24"/>
      <c r="C43" s="22"/>
      <c r="D43" s="23"/>
      <c r="E43" s="22"/>
      <c r="F43" s="22"/>
      <c r="G43" s="22"/>
      <c r="H43" s="22"/>
      <c r="I43" s="22"/>
      <c r="J43" s="22"/>
      <c r="K43" s="22"/>
    </row>
    <row r="44" spans="1:11">
      <c r="A44" s="22"/>
      <c r="B44" s="22"/>
      <c r="C44" s="22"/>
      <c r="D44" s="23"/>
      <c r="E44" s="22"/>
      <c r="F44" s="22"/>
      <c r="G44" s="22"/>
      <c r="H44" s="22"/>
      <c r="I44" s="22"/>
      <c r="J44" s="22"/>
      <c r="K44" s="22"/>
    </row>
    <row r="45" spans="1:11">
      <c r="A45" s="22"/>
      <c r="B45" s="24"/>
      <c r="C45" s="22"/>
      <c r="D45" s="23"/>
      <c r="E45" s="22"/>
      <c r="F45" s="22"/>
      <c r="G45" s="22"/>
      <c r="H45" s="22"/>
      <c r="I45" s="22"/>
      <c r="J45" s="22"/>
      <c r="K45" s="22"/>
    </row>
    <row r="46" spans="1:11">
      <c r="A46" s="22"/>
      <c r="B46" s="22"/>
      <c r="C46" s="22"/>
      <c r="D46" s="23"/>
      <c r="E46" s="22"/>
      <c r="F46" s="22"/>
      <c r="G46" s="22"/>
      <c r="H46" s="22"/>
      <c r="I46" s="22"/>
      <c r="J46" s="22"/>
      <c r="K46" s="22"/>
    </row>
    <row r="47" spans="1:11">
      <c r="A47" s="22"/>
      <c r="B47" s="22"/>
      <c r="C47" s="22"/>
      <c r="D47" s="23"/>
      <c r="E47" s="22"/>
      <c r="F47" s="22"/>
      <c r="G47" s="22"/>
      <c r="H47" s="22"/>
      <c r="I47" s="22"/>
      <c r="J47" s="22"/>
      <c r="K47" s="22"/>
    </row>
    <row r="48" spans="1:11">
      <c r="A48" s="22"/>
      <c r="B48" s="22"/>
      <c r="C48" s="22"/>
      <c r="D48" s="23"/>
      <c r="E48" s="22"/>
      <c r="F48" s="22"/>
      <c r="G48" s="22"/>
      <c r="H48" s="22"/>
      <c r="I48" s="22"/>
      <c r="J48" s="22"/>
      <c r="K48" s="22"/>
    </row>
    <row r="49" spans="1:11">
      <c r="A49" s="22"/>
      <c r="B49" s="22"/>
      <c r="C49" s="22"/>
      <c r="D49" s="23"/>
      <c r="E49" s="22"/>
      <c r="F49" s="22"/>
      <c r="G49" s="22"/>
      <c r="H49" s="22"/>
      <c r="I49" s="22"/>
      <c r="J49" s="22"/>
      <c r="K49" s="22"/>
    </row>
    <row r="50" spans="1:11">
      <c r="A50" s="22"/>
      <c r="B50" s="24"/>
      <c r="C50" s="22"/>
      <c r="D50" s="23"/>
      <c r="E50" s="22"/>
      <c r="F50" s="22"/>
      <c r="G50" s="22"/>
      <c r="H50" s="22"/>
      <c r="I50" s="22"/>
      <c r="J50" s="22"/>
      <c r="K50" s="22"/>
    </row>
    <row r="51" spans="1:11">
      <c r="A51" s="22"/>
      <c r="B51" s="24"/>
      <c r="C51" s="22"/>
      <c r="D51" s="23"/>
      <c r="E51" s="22"/>
      <c r="F51" s="22"/>
      <c r="G51" s="22"/>
      <c r="H51" s="22"/>
      <c r="I51" s="22"/>
      <c r="J51" s="22"/>
      <c r="K51" s="22"/>
    </row>
    <row r="52" spans="1:11">
      <c r="A52" s="22"/>
      <c r="B52" s="24"/>
      <c r="C52" s="22"/>
      <c r="D52" s="23"/>
      <c r="E52" s="22"/>
      <c r="F52" s="22"/>
      <c r="G52" s="22"/>
      <c r="H52" s="22"/>
      <c r="I52" s="22"/>
      <c r="J52" s="22"/>
      <c r="K52" s="22"/>
    </row>
    <row r="53" spans="1:11">
      <c r="A53" s="22"/>
      <c r="B53" s="24"/>
      <c r="C53" s="22"/>
      <c r="D53" s="23"/>
      <c r="E53" s="22"/>
      <c r="F53" s="22"/>
      <c r="G53" s="22"/>
      <c r="H53" s="22"/>
      <c r="I53" s="22"/>
      <c r="J53" s="22"/>
      <c r="K53" s="22"/>
    </row>
    <row r="54" spans="1:11">
      <c r="A54" s="22"/>
      <c r="B54" s="22"/>
      <c r="C54" s="22"/>
      <c r="D54" s="23"/>
      <c r="E54" s="22"/>
      <c r="F54" s="22"/>
      <c r="G54" s="22"/>
      <c r="H54" s="22"/>
      <c r="I54" s="22"/>
      <c r="J54" s="22"/>
      <c r="K54" s="22"/>
    </row>
    <row r="55" spans="1:11">
      <c r="A55" s="22"/>
      <c r="B55" s="24"/>
      <c r="C55" s="22"/>
      <c r="D55" s="23"/>
      <c r="E55" s="22"/>
      <c r="F55" s="22"/>
      <c r="G55" s="22"/>
      <c r="H55" s="22"/>
      <c r="I55" s="22"/>
      <c r="J55" s="22"/>
      <c r="K55" s="22"/>
    </row>
    <row r="56" spans="1:11">
      <c r="A56" s="22"/>
      <c r="B56" s="24"/>
      <c r="C56" s="22"/>
      <c r="D56" s="23"/>
      <c r="E56" s="22"/>
      <c r="F56" s="22"/>
      <c r="G56" s="22"/>
      <c r="H56" s="22"/>
      <c r="I56" s="22"/>
      <c r="J56" s="22"/>
      <c r="K56" s="22"/>
    </row>
    <row r="57" spans="1:11">
      <c r="A57" s="22"/>
      <c r="B57" s="22"/>
      <c r="C57" s="22"/>
      <c r="D57" s="23"/>
      <c r="E57" s="22"/>
      <c r="F57" s="22"/>
      <c r="G57" s="22"/>
      <c r="H57" s="22"/>
      <c r="I57" s="22"/>
      <c r="J57" s="22"/>
      <c r="K57" s="22"/>
    </row>
    <row r="58" spans="1:11">
      <c r="A58" s="22"/>
      <c r="B58" s="22"/>
      <c r="C58" s="22"/>
      <c r="D58" s="23"/>
      <c r="E58" s="22"/>
      <c r="F58" s="22"/>
      <c r="G58" s="22"/>
      <c r="H58" s="22"/>
      <c r="I58" s="22"/>
      <c r="J58" s="22"/>
      <c r="K58" s="22"/>
    </row>
    <row r="59" spans="1:11">
      <c r="A59" s="22"/>
      <c r="B59" s="24"/>
      <c r="C59" s="22"/>
      <c r="D59" s="23"/>
      <c r="E59" s="22"/>
      <c r="F59" s="22"/>
      <c r="G59" s="22"/>
      <c r="H59" s="22"/>
      <c r="I59" s="22"/>
      <c r="J59" s="22"/>
      <c r="K59" s="22"/>
    </row>
    <row r="60" spans="1:11">
      <c r="A60" s="22"/>
      <c r="B60" s="22"/>
      <c r="C60" s="22"/>
      <c r="D60" s="23"/>
      <c r="E60" s="22"/>
      <c r="F60" s="22"/>
      <c r="G60" s="22"/>
      <c r="H60" s="22"/>
      <c r="I60" s="22"/>
      <c r="J60" s="22"/>
      <c r="K60" s="22"/>
    </row>
    <row r="61" spans="1:1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</row>
    <row r="62" spans="1:1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</row>
    <row r="63" spans="1:11">
      <c r="A63" s="22"/>
      <c r="B63" s="24"/>
      <c r="C63" s="22"/>
      <c r="D63" s="22"/>
      <c r="E63" s="22"/>
      <c r="F63" s="22"/>
      <c r="G63" s="22"/>
      <c r="H63" s="22"/>
      <c r="I63" s="22"/>
      <c r="J63" s="22"/>
      <c r="K63" s="22"/>
    </row>
    <row r="64" spans="1:1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</row>
    <row r="65" spans="1:11">
      <c r="A65" s="22"/>
      <c r="B65" s="24"/>
      <c r="C65" s="22"/>
      <c r="D65" s="22"/>
      <c r="E65" s="22"/>
      <c r="F65" s="22"/>
      <c r="G65" s="22"/>
      <c r="H65" s="22"/>
      <c r="I65" s="22"/>
      <c r="J65" s="22"/>
      <c r="K65" s="22"/>
    </row>
    <row r="66" spans="1:1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</row>
    <row r="67" spans="1:11">
      <c r="A67" s="22"/>
      <c r="B67" s="22"/>
      <c r="C67" s="22"/>
      <c r="D67" s="25"/>
      <c r="E67" s="22"/>
      <c r="F67" s="22"/>
      <c r="G67" s="22"/>
      <c r="H67" s="22"/>
      <c r="I67" s="22"/>
      <c r="J67" s="22"/>
      <c r="K67" s="22"/>
    </row>
    <row r="68" spans="1:11">
      <c r="A68" s="22"/>
      <c r="B68" s="22"/>
      <c r="C68" s="22"/>
      <c r="D68" s="25"/>
      <c r="E68" s="22"/>
      <c r="F68" s="22"/>
      <c r="G68" s="22"/>
      <c r="H68" s="22"/>
      <c r="I68" s="22"/>
      <c r="J68" s="22"/>
      <c r="K68" s="22"/>
    </row>
    <row r="69" spans="1:11">
      <c r="A69" s="22"/>
      <c r="B69" s="22"/>
      <c r="C69" s="22"/>
      <c r="D69" s="23"/>
      <c r="E69" s="22"/>
      <c r="F69" s="22"/>
      <c r="G69" s="22"/>
      <c r="H69" s="22"/>
      <c r="I69" s="22"/>
      <c r="J69" s="22"/>
      <c r="K69" s="22"/>
    </row>
    <row r="70" spans="1:11">
      <c r="A70" s="22"/>
      <c r="B70" s="22"/>
      <c r="C70" s="22"/>
      <c r="D70" s="23"/>
      <c r="E70" s="22"/>
      <c r="F70" s="22"/>
      <c r="G70" s="22"/>
      <c r="H70" s="22"/>
      <c r="I70" s="22"/>
      <c r="J70" s="22"/>
      <c r="K70" s="22"/>
    </row>
    <row r="71" spans="1:11">
      <c r="A71" s="22"/>
      <c r="B71" s="24"/>
      <c r="C71" s="22"/>
      <c r="D71" s="23"/>
      <c r="E71" s="22"/>
      <c r="F71" s="22"/>
      <c r="G71" s="22"/>
      <c r="H71" s="22"/>
      <c r="I71" s="22"/>
      <c r="J71" s="22"/>
      <c r="K71" s="22"/>
    </row>
    <row r="72" spans="1:11">
      <c r="A72" s="22"/>
      <c r="B72" s="22"/>
      <c r="C72" s="22"/>
      <c r="D72" s="23"/>
      <c r="E72" s="22"/>
      <c r="F72" s="22"/>
      <c r="G72" s="22"/>
      <c r="H72" s="22"/>
      <c r="I72" s="22"/>
      <c r="J72" s="22"/>
      <c r="K72" s="22"/>
    </row>
    <row r="73" spans="1:11">
      <c r="A73" s="22"/>
      <c r="B73" s="22"/>
      <c r="C73" s="22"/>
      <c r="D73" s="23"/>
      <c r="E73" s="22"/>
      <c r="F73" s="22"/>
      <c r="G73" s="22"/>
      <c r="H73" s="22"/>
      <c r="I73" s="22"/>
      <c r="J73" s="22"/>
      <c r="K73" s="22"/>
    </row>
    <row r="74" spans="1:11">
      <c r="A74" s="22"/>
      <c r="B74" s="22"/>
      <c r="C74" s="22"/>
      <c r="D74" s="23"/>
      <c r="E74" s="22"/>
      <c r="F74" s="22"/>
      <c r="G74" s="22"/>
      <c r="H74" s="22"/>
      <c r="I74" s="22"/>
      <c r="J74" s="22"/>
      <c r="K74" s="22"/>
    </row>
    <row r="75" spans="1:11">
      <c r="A75" s="22"/>
      <c r="B75" s="24"/>
      <c r="C75" s="22"/>
      <c r="D75" s="23"/>
      <c r="E75" s="22"/>
      <c r="F75" s="22"/>
      <c r="G75" s="22"/>
      <c r="H75" s="22"/>
      <c r="I75" s="22"/>
      <c r="J75" s="22"/>
      <c r="K75" s="22"/>
    </row>
    <row r="76" spans="1:11">
      <c r="A76" s="22"/>
      <c r="B76" s="22"/>
      <c r="C76" s="22"/>
      <c r="D76" s="25"/>
      <c r="E76" s="22"/>
      <c r="F76" s="22"/>
      <c r="G76" s="22"/>
      <c r="H76" s="22"/>
      <c r="I76" s="22"/>
      <c r="J76" s="22"/>
      <c r="K76" s="22"/>
    </row>
    <row r="77" spans="1:11">
      <c r="A77" s="22"/>
      <c r="B77" s="24"/>
      <c r="C77" s="22"/>
      <c r="D77" s="25"/>
      <c r="E77" s="22"/>
      <c r="F77" s="22"/>
      <c r="G77" s="22"/>
      <c r="H77" s="22"/>
      <c r="I77" s="22"/>
      <c r="J77" s="22"/>
      <c r="K77" s="22"/>
    </row>
    <row r="78" spans="1:11">
      <c r="A78" s="22"/>
      <c r="B78" s="22"/>
      <c r="C78" s="22"/>
      <c r="D78" s="25"/>
      <c r="E78" s="22"/>
      <c r="F78" s="22"/>
      <c r="G78" s="22"/>
      <c r="H78" s="22"/>
      <c r="I78" s="22"/>
      <c r="J78" s="22"/>
      <c r="K78" s="22"/>
    </row>
    <row r="79" spans="1:1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</row>
    <row r="80" spans="1:11">
      <c r="A80" s="22"/>
      <c r="B80" s="22"/>
      <c r="C80" s="22"/>
      <c r="D80" s="25"/>
      <c r="E80" s="22"/>
      <c r="F80" s="22"/>
      <c r="G80" s="22"/>
      <c r="H80" s="22"/>
      <c r="I80" s="22"/>
      <c r="J80" s="22"/>
      <c r="K80" s="22"/>
    </row>
    <row r="81" spans="1:11">
      <c r="A81" s="22"/>
      <c r="B81" s="26"/>
      <c r="C81" s="22"/>
      <c r="D81" s="25"/>
      <c r="E81" s="22"/>
      <c r="F81" s="22"/>
      <c r="G81" s="22"/>
      <c r="H81" s="22"/>
      <c r="I81" s="22"/>
      <c r="J81" s="22"/>
      <c r="K81" s="22"/>
    </row>
    <row r="82" spans="1:11">
      <c r="A82" s="22"/>
      <c r="B82" s="22"/>
      <c r="C82" s="22"/>
      <c r="D82" s="25"/>
      <c r="E82" s="22"/>
      <c r="F82" s="22"/>
      <c r="G82" s="22"/>
      <c r="H82" s="22"/>
      <c r="I82" s="22"/>
      <c r="J82" s="22"/>
      <c r="K82" s="22"/>
    </row>
    <row r="83" spans="1:11">
      <c r="A83" s="22"/>
      <c r="B83" s="22"/>
      <c r="C83" s="22"/>
      <c r="D83" s="25"/>
      <c r="E83" s="22"/>
      <c r="F83" s="22"/>
      <c r="G83" s="22"/>
      <c r="H83" s="22"/>
      <c r="I83" s="22"/>
      <c r="J83" s="22"/>
      <c r="K83" s="22"/>
    </row>
    <row r="84" spans="1:11">
      <c r="A84" s="22"/>
      <c r="B84" s="24"/>
      <c r="C84" s="22"/>
      <c r="D84" s="23"/>
      <c r="E84" s="22"/>
      <c r="F84" s="22"/>
      <c r="G84" s="22"/>
      <c r="H84" s="22"/>
      <c r="I84" s="22"/>
      <c r="J84" s="22"/>
      <c r="K84" s="22"/>
    </row>
    <row r="85" spans="1:11">
      <c r="A85" s="22"/>
      <c r="B85" s="22"/>
      <c r="C85" s="22"/>
      <c r="D85" s="23"/>
      <c r="E85" s="22"/>
      <c r="F85" s="22"/>
      <c r="G85" s="22"/>
      <c r="H85" s="22"/>
      <c r="I85" s="22"/>
      <c r="J85" s="22"/>
      <c r="K85" s="22"/>
    </row>
    <row r="86" spans="1:11">
      <c r="A86" s="22"/>
      <c r="B86" s="22"/>
      <c r="C86" s="22"/>
      <c r="D86" s="23"/>
      <c r="E86" s="22"/>
      <c r="F86" s="22"/>
      <c r="G86" s="22"/>
      <c r="H86" s="22"/>
      <c r="I86" s="22"/>
      <c r="J86" s="22"/>
      <c r="K86" s="22"/>
    </row>
    <row r="87" spans="1:11">
      <c r="A87" s="22"/>
      <c r="B87" s="22"/>
      <c r="C87" s="22"/>
      <c r="D87" s="23"/>
      <c r="E87" s="22"/>
      <c r="F87" s="22"/>
      <c r="G87" s="22"/>
      <c r="H87" s="22"/>
      <c r="I87" s="22"/>
      <c r="J87" s="22"/>
      <c r="K87" s="22"/>
    </row>
    <row r="88" spans="1:11">
      <c r="A88" s="22"/>
      <c r="B88" s="22"/>
      <c r="C88" s="22"/>
      <c r="D88" s="23"/>
      <c r="E88" s="22"/>
      <c r="F88" s="22"/>
      <c r="G88" s="22"/>
      <c r="H88" s="22"/>
      <c r="I88" s="22"/>
      <c r="J88" s="22"/>
      <c r="K88" s="22"/>
    </row>
    <row r="89" spans="1:11">
      <c r="A89" s="22"/>
      <c r="B89" s="24"/>
      <c r="C89" s="22"/>
      <c r="D89" s="23"/>
      <c r="E89" s="22"/>
      <c r="F89" s="22"/>
      <c r="G89" s="22"/>
      <c r="H89" s="22"/>
      <c r="I89" s="22"/>
      <c r="J89" s="22"/>
      <c r="K89" s="22"/>
    </row>
    <row r="90" spans="1:11">
      <c r="A90" s="22"/>
      <c r="B90" s="22"/>
      <c r="C90" s="22"/>
      <c r="D90" s="23"/>
      <c r="E90" s="22"/>
      <c r="F90" s="22"/>
      <c r="G90" s="22"/>
      <c r="H90" s="22"/>
      <c r="I90" s="22"/>
      <c r="J90" s="22"/>
      <c r="K90" s="22"/>
    </row>
    <row r="91" spans="1:11">
      <c r="A91" s="22"/>
      <c r="B91" s="24"/>
      <c r="C91" s="22"/>
      <c r="D91" s="23"/>
      <c r="E91" s="22"/>
      <c r="F91" s="22"/>
      <c r="G91" s="22"/>
      <c r="H91" s="22"/>
      <c r="I91" s="22"/>
      <c r="J91" s="22"/>
      <c r="K91" s="22"/>
    </row>
    <row r="92" spans="1:11">
      <c r="A92" s="22"/>
      <c r="B92" s="24"/>
      <c r="C92" s="22"/>
      <c r="D92" s="23"/>
      <c r="E92" s="22"/>
      <c r="F92" s="22"/>
      <c r="G92" s="22"/>
      <c r="H92" s="22"/>
      <c r="I92" s="22"/>
      <c r="J92" s="22"/>
      <c r="K92" s="22"/>
    </row>
    <row r="93" spans="1:11">
      <c r="A93" s="22"/>
      <c r="B93" s="24"/>
      <c r="C93" s="22"/>
      <c r="D93" s="23"/>
      <c r="E93" s="22"/>
      <c r="F93" s="22"/>
      <c r="G93" s="22"/>
      <c r="H93" s="22"/>
      <c r="I93" s="22"/>
      <c r="J93" s="22"/>
      <c r="K93" s="22"/>
    </row>
    <row r="94" spans="1:11">
      <c r="A94" s="22"/>
      <c r="B94" s="22"/>
      <c r="C94" s="22"/>
      <c r="D94" s="23"/>
      <c r="E94" s="22"/>
      <c r="F94" s="22"/>
      <c r="G94" s="22"/>
      <c r="H94" s="22"/>
      <c r="I94" s="22"/>
      <c r="J94" s="22"/>
      <c r="K94" s="22"/>
    </row>
    <row r="95" spans="1:11">
      <c r="A95" s="22"/>
      <c r="B95" s="24"/>
      <c r="C95" s="22"/>
      <c r="D95" s="23"/>
      <c r="E95" s="22"/>
      <c r="F95" s="22"/>
      <c r="G95" s="22"/>
      <c r="H95" s="22"/>
      <c r="I95" s="22"/>
      <c r="J95" s="22"/>
      <c r="K95" s="22"/>
    </row>
    <row r="96" spans="1:11">
      <c r="A96" s="22"/>
      <c r="B96" s="24"/>
      <c r="C96" s="22"/>
      <c r="D96" s="23"/>
      <c r="E96" s="22"/>
      <c r="F96" s="22"/>
      <c r="G96" s="22"/>
      <c r="H96" s="22"/>
      <c r="I96" s="22"/>
      <c r="J96" s="22"/>
      <c r="K96" s="22"/>
    </row>
    <row r="97" spans="1:11">
      <c r="A97" s="22"/>
      <c r="B97" s="24"/>
      <c r="C97" s="22"/>
      <c r="D97" s="23"/>
      <c r="E97" s="22"/>
      <c r="F97" s="22"/>
      <c r="G97" s="22"/>
      <c r="H97" s="22"/>
      <c r="I97" s="22"/>
      <c r="J97" s="22"/>
      <c r="K97" s="22"/>
    </row>
    <row r="98" spans="1:11">
      <c r="A98" s="22"/>
      <c r="B98" s="24"/>
      <c r="C98" s="22"/>
      <c r="D98" s="23"/>
      <c r="E98" s="22"/>
      <c r="F98" s="22"/>
      <c r="G98" s="22"/>
      <c r="H98" s="22"/>
      <c r="I98" s="22"/>
      <c r="J98" s="22"/>
      <c r="K98" s="22"/>
    </row>
    <row r="99" spans="1:11">
      <c r="A99" s="22"/>
      <c r="B99" s="22"/>
      <c r="C99" s="22"/>
      <c r="D99" s="23"/>
      <c r="E99" s="22"/>
      <c r="F99" s="22"/>
      <c r="G99" s="22"/>
      <c r="H99" s="22"/>
      <c r="I99" s="22"/>
      <c r="J99" s="22"/>
      <c r="K99" s="22"/>
    </row>
    <row r="100" spans="1:11">
      <c r="A100" s="22"/>
      <c r="B100" s="22"/>
      <c r="C100" s="22"/>
      <c r="D100" s="23"/>
      <c r="E100" s="22"/>
      <c r="F100" s="22"/>
      <c r="G100" s="22"/>
      <c r="H100" s="22"/>
      <c r="I100" s="22"/>
      <c r="J100" s="22"/>
      <c r="K100" s="22"/>
    </row>
    <row r="101" spans="1:11">
      <c r="A101" s="22"/>
      <c r="B101" s="22"/>
      <c r="C101" s="22"/>
      <c r="D101" s="23"/>
      <c r="E101" s="22"/>
      <c r="F101" s="22"/>
      <c r="G101" s="22"/>
      <c r="H101" s="22"/>
      <c r="I101" s="22"/>
      <c r="J101" s="22"/>
      <c r="K101" s="22"/>
    </row>
    <row r="102" spans="1:11">
      <c r="A102" s="22"/>
      <c r="B102" s="22"/>
      <c r="C102" s="22"/>
      <c r="D102" s="23"/>
      <c r="E102" s="22"/>
      <c r="F102" s="22"/>
      <c r="G102" s="22"/>
      <c r="H102" s="22"/>
      <c r="I102" s="22"/>
      <c r="J102" s="22"/>
      <c r="K102" s="22"/>
    </row>
    <row r="103" spans="1:11">
      <c r="A103" s="22"/>
      <c r="B103" s="22"/>
      <c r="C103" s="22"/>
      <c r="D103" s="23"/>
      <c r="E103" s="22"/>
      <c r="F103" s="22"/>
      <c r="G103" s="22"/>
      <c r="H103" s="22"/>
      <c r="I103" s="22"/>
      <c r="J103" s="22"/>
      <c r="K103" s="22"/>
    </row>
    <row r="104" spans="1:11">
      <c r="A104" s="22"/>
      <c r="B104" s="24"/>
      <c r="C104" s="22"/>
      <c r="D104" s="23"/>
      <c r="E104" s="22"/>
      <c r="F104" s="22"/>
      <c r="G104" s="22"/>
      <c r="H104" s="22"/>
      <c r="I104" s="22"/>
      <c r="J104" s="22"/>
      <c r="K104" s="22"/>
    </row>
    <row r="105" spans="1:11">
      <c r="A105" s="22"/>
      <c r="B105" s="22"/>
      <c r="C105" s="22"/>
      <c r="D105" s="23"/>
      <c r="E105" s="22"/>
      <c r="F105" s="22"/>
      <c r="G105" s="22"/>
      <c r="H105" s="22"/>
      <c r="I105" s="22"/>
      <c r="J105" s="22"/>
      <c r="K105" s="22"/>
    </row>
    <row r="106" spans="1:11">
      <c r="A106" s="22"/>
      <c r="B106" s="22"/>
      <c r="C106" s="22"/>
      <c r="D106" s="23"/>
      <c r="E106" s="22"/>
      <c r="F106" s="22"/>
      <c r="G106" s="22"/>
      <c r="H106" s="22"/>
      <c r="I106" s="22"/>
      <c r="J106" s="22"/>
      <c r="K106" s="22"/>
    </row>
    <row r="107" spans="1:11">
      <c r="A107" s="22"/>
      <c r="B107" s="24"/>
      <c r="C107" s="22"/>
      <c r="D107" s="23"/>
      <c r="E107" s="22"/>
      <c r="F107" s="22"/>
      <c r="G107" s="22"/>
      <c r="H107" s="22"/>
      <c r="I107" s="22"/>
      <c r="J107" s="22"/>
      <c r="K107" s="22"/>
    </row>
    <row r="108" spans="1:11">
      <c r="A108" s="22"/>
      <c r="B108" s="24"/>
      <c r="C108" s="22"/>
      <c r="D108" s="23"/>
      <c r="E108" s="22"/>
      <c r="F108" s="22"/>
      <c r="G108" s="22"/>
      <c r="H108" s="22"/>
      <c r="I108" s="22"/>
      <c r="J108" s="22"/>
      <c r="K108" s="22"/>
    </row>
    <row r="109" spans="1:11">
      <c r="A109" s="22"/>
      <c r="B109" s="24"/>
      <c r="C109" s="22"/>
      <c r="D109" s="23"/>
      <c r="E109" s="22"/>
      <c r="F109" s="22"/>
      <c r="G109" s="22"/>
      <c r="H109" s="22"/>
      <c r="I109" s="22"/>
      <c r="J109" s="22"/>
      <c r="K109" s="22"/>
    </row>
    <row r="110" spans="1:11">
      <c r="A110" s="22"/>
      <c r="B110" s="22"/>
      <c r="C110" s="22"/>
      <c r="D110" s="23"/>
      <c r="E110" s="22"/>
      <c r="F110" s="22"/>
      <c r="G110" s="22"/>
      <c r="H110" s="22"/>
      <c r="I110" s="22"/>
      <c r="J110" s="22"/>
      <c r="K110" s="22"/>
    </row>
    <row r="111" spans="1:11">
      <c r="A111" s="22"/>
      <c r="B111" s="22"/>
      <c r="C111" s="22"/>
      <c r="D111" s="23"/>
      <c r="E111" s="22"/>
      <c r="F111" s="22"/>
      <c r="G111" s="22"/>
      <c r="H111" s="22"/>
      <c r="I111" s="22"/>
      <c r="J111" s="22"/>
      <c r="K111" s="22"/>
    </row>
    <row r="112" spans="1:11">
      <c r="A112" s="22"/>
      <c r="B112" s="24"/>
      <c r="C112" s="22"/>
      <c r="D112" s="23"/>
      <c r="E112" s="22"/>
      <c r="F112" s="22"/>
      <c r="G112" s="22"/>
      <c r="H112" s="22"/>
      <c r="I112" s="22"/>
      <c r="J112" s="22"/>
      <c r="K112" s="22"/>
    </row>
    <row r="113" spans="1:11">
      <c r="A113" s="22"/>
      <c r="B113" s="22"/>
      <c r="C113" s="22"/>
      <c r="D113" s="23"/>
      <c r="E113" s="22"/>
      <c r="F113" s="22"/>
      <c r="G113" s="22"/>
      <c r="H113" s="22"/>
      <c r="I113" s="22"/>
      <c r="J113" s="22"/>
      <c r="K113" s="22"/>
    </row>
    <row r="114" spans="1:11">
      <c r="A114" s="22"/>
      <c r="B114" s="24"/>
      <c r="C114" s="22"/>
      <c r="D114" s="23"/>
      <c r="E114" s="22"/>
      <c r="F114" s="22"/>
      <c r="G114" s="22"/>
      <c r="H114" s="22"/>
      <c r="I114" s="22"/>
      <c r="J114" s="22"/>
      <c r="K114" s="22"/>
    </row>
    <row r="115" spans="1:11">
      <c r="A115" s="22"/>
      <c r="B115" s="22"/>
      <c r="C115" s="22"/>
      <c r="D115" s="23"/>
      <c r="E115" s="22"/>
      <c r="F115" s="22"/>
      <c r="G115" s="22"/>
      <c r="H115" s="22"/>
      <c r="I115" s="22"/>
      <c r="J115" s="22"/>
      <c r="K115" s="22"/>
    </row>
    <row r="116" spans="1:11">
      <c r="A116" s="22"/>
      <c r="B116" s="22"/>
      <c r="C116" s="22"/>
      <c r="D116" s="23"/>
      <c r="E116" s="22"/>
      <c r="F116" s="22"/>
      <c r="G116" s="22"/>
      <c r="H116" s="22"/>
      <c r="I116" s="22"/>
      <c r="J116" s="22"/>
      <c r="K116" s="22"/>
    </row>
    <row r="117" spans="1:11">
      <c r="A117" s="22"/>
      <c r="B117" s="22"/>
      <c r="C117" s="22"/>
      <c r="D117" s="23"/>
      <c r="E117" s="22"/>
      <c r="F117" s="22"/>
      <c r="G117" s="22"/>
      <c r="H117" s="22"/>
      <c r="I117" s="22"/>
      <c r="J117" s="22"/>
      <c r="K117" s="22"/>
    </row>
    <row r="118" spans="1:11">
      <c r="A118" s="22"/>
      <c r="B118" s="24"/>
      <c r="C118" s="22"/>
      <c r="D118" s="23"/>
      <c r="E118" s="22"/>
      <c r="F118" s="22"/>
      <c r="G118" s="22"/>
      <c r="H118" s="22"/>
      <c r="I118" s="22"/>
      <c r="J118" s="22"/>
      <c r="K118" s="22"/>
    </row>
    <row r="119" spans="1:11">
      <c r="A119" s="22"/>
      <c r="B119" s="22"/>
      <c r="C119" s="22"/>
      <c r="D119" s="23"/>
      <c r="E119" s="22"/>
      <c r="F119" s="22"/>
      <c r="G119" s="22"/>
      <c r="H119" s="22"/>
      <c r="I119" s="22"/>
      <c r="J119" s="22"/>
      <c r="K119" s="22"/>
    </row>
    <row r="120" spans="1:11">
      <c r="A120" s="22"/>
      <c r="B120" s="22"/>
      <c r="C120" s="22"/>
      <c r="D120" s="23"/>
      <c r="E120" s="22"/>
      <c r="F120" s="22"/>
      <c r="G120" s="22"/>
      <c r="H120" s="22"/>
      <c r="I120" s="22"/>
      <c r="J120" s="22"/>
      <c r="K120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2025-03-11T01:05:51Z</dcterms:created>
  <dcterms:modified xsi:type="dcterms:W3CDTF">2026-06-07T22:33:53Z</dcterms:modified>
</cp:coreProperties>
</file>