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D50A6BC5-7363-406C-8215-4A5BE04A8D44}" xr6:coauthVersionLast="47" xr6:coauthVersionMax="47" xr10:uidLastSave="{00000000-0000-0000-0000-000000000000}"/>
  <bookViews>
    <workbookView xWindow="0" yWindow="0" windowWidth="16457" windowHeight="17914" xr2:uid="{FFF8744C-F0B4-428F-8CA7-718350CADE02}"/>
  </bookViews>
  <sheets>
    <sheet name="Corrosion" sheetId="6" r:id="rId1"/>
    <sheet name="Original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6" l="1"/>
  <c r="C30" i="6" l="1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20" i="7"/>
  <c r="A21" i="7" s="1"/>
  <c r="A22" i="7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59" i="6" l="1"/>
  <c r="A60" i="6" s="1"/>
  <c r="C52" i="6"/>
  <c r="A23" i="7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</calcChain>
</file>

<file path=xl/sharedStrings.xml><?xml version="1.0" encoding="utf-8"?>
<sst xmlns="http://schemas.openxmlformats.org/spreadsheetml/2006/main" count="230" uniqueCount="149">
  <si>
    <t>Address</t>
  </si>
  <si>
    <t>Hex</t>
  </si>
  <si>
    <t>instruction</t>
  </si>
  <si>
    <t>get current Type (1/2 from phase 4E/4F)</t>
  </si>
  <si>
    <t>Check that that Type is Steel</t>
  </si>
  <si>
    <t>Check that Move Type is Poison</t>
  </si>
  <si>
    <t>Check Attacking</t>
  </si>
  <si>
    <t>Ignore Immunity</t>
  </si>
  <si>
    <t>000D71D4</t>
  </si>
  <si>
    <t>push {r4, r5, r6, r7, r8, lr}</t>
  </si>
  <si>
    <t>mov r4, r0</t>
  </si>
  <si>
    <t>mov r5, r2</t>
  </si>
  <si>
    <t>mov r7, r3</t>
  </si>
  <si>
    <t>mov r6, r1</t>
  </si>
  <si>
    <t>mov r0, r1</t>
  </si>
  <si>
    <t>bl #0x61538</t>
  </si>
  <si>
    <t>cmp r0, #0</t>
  </si>
  <si>
    <t>bne #0xd7254</t>
  </si>
  <si>
    <t>mov r3, r7</t>
  </si>
  <si>
    <t>mov r2, r5</t>
  </si>
  <si>
    <t>mov r1, r6</t>
  </si>
  <si>
    <t>mov r0, r4</t>
  </si>
  <si>
    <t>bl #0x60034</t>
  </si>
  <si>
    <t>movs r4, r0</t>
  </si>
  <si>
    <t>beq #0xd7254</t>
  </si>
  <si>
    <t>mov r1, #0xd</t>
  </si>
  <si>
    <t>mov r0, r6</t>
  </si>
  <si>
    <t>bl #0x876f8</t>
  </si>
  <si>
    <t>mov r1, r0</t>
  </si>
  <si>
    <t>ldr r0, [r0]</t>
  </si>
  <si>
    <t>mov r2, #1</t>
  </si>
  <si>
    <t>strb r5, [r1, #0xc]</t>
  </si>
  <si>
    <t>orr r0, r0, #0x800000</t>
  </si>
  <si>
    <t>strb r2, [r1, #0x10]</t>
  </si>
  <si>
    <t>str r0, [r1]</t>
  </si>
  <si>
    <t>strb r2, [r1, #4]</t>
  </si>
  <si>
    <t>strb r4, [r1, #0x11]</t>
  </si>
  <si>
    <t>pop {r4, r5, r6, r7, r8, lr}</t>
  </si>
  <si>
    <t>b #0x7ccf4</t>
  </si>
  <si>
    <t>pop {r4, r5, r6, r7, r8, pc}</t>
  </si>
  <si>
    <t>Moxie 0x9E</t>
  </si>
  <si>
    <t>F0412DE9</t>
  </si>
  <si>
    <t>0040A0E1</t>
  </si>
  <si>
    <t>0250A0E1</t>
  </si>
  <si>
    <t>0370A0E1</t>
  </si>
  <si>
    <t>0160A0E1</t>
  </si>
  <si>
    <t>0100A0E1</t>
  </si>
  <si>
    <t>D128FEEB</t>
  </si>
  <si>
    <t>000050E3</t>
  </si>
  <si>
    <t>1600001A</t>
  </si>
  <si>
    <t>0730A0E1</t>
  </si>
  <si>
    <t>0520A0E1</t>
  </si>
  <si>
    <t>0610A0E1</t>
  </si>
  <si>
    <t>0400A0E1</t>
  </si>
  <si>
    <t>8923FEEB</t>
  </si>
  <si>
    <t>0040B0E1</t>
  </si>
  <si>
    <t>0F00000A</t>
  </si>
  <si>
    <t>0D10A0E3</t>
  </si>
  <si>
    <t>0600A0E1</t>
  </si>
  <si>
    <t>34C1FEEB</t>
  </si>
  <si>
    <t>0010A0E1</t>
  </si>
  <si>
    <t>000090E5</t>
  </si>
  <si>
    <t>0120A0E3</t>
  </si>
  <si>
    <t>0C50C1E5</t>
  </si>
  <si>
    <t>020580E3</t>
  </si>
  <si>
    <t>1020C1E5</t>
  </si>
  <si>
    <t>000081E5</t>
  </si>
  <si>
    <t>0420C1E5</t>
  </si>
  <si>
    <t>1140C1E5</t>
  </si>
  <si>
    <t>F041BDE8</t>
  </si>
  <si>
    <t>A796FEEA</t>
  </si>
  <si>
    <t>F081BDE8</t>
  </si>
  <si>
    <t>000D71D8</t>
  </si>
  <si>
    <t>000D71DC</t>
  </si>
  <si>
    <t>000D71E0</t>
  </si>
  <si>
    <t>000D71E4</t>
  </si>
  <si>
    <t>000D71E8</t>
  </si>
  <si>
    <t>000D71EC</t>
  </si>
  <si>
    <t>000D71F0</t>
  </si>
  <si>
    <t>000D71F4</t>
  </si>
  <si>
    <t>000D71F8</t>
  </si>
  <si>
    <t>000D71FC</t>
  </si>
  <si>
    <t>000D7200</t>
  </si>
  <si>
    <t>000D7204</t>
  </si>
  <si>
    <t>000D7208</t>
  </si>
  <si>
    <t>000D720C</t>
  </si>
  <si>
    <t>000D7210</t>
  </si>
  <si>
    <t>000D7214</t>
  </si>
  <si>
    <t>000D7218</t>
  </si>
  <si>
    <t>000D721C</t>
  </si>
  <si>
    <t>000D7220</t>
  </si>
  <si>
    <t>000D7224</t>
  </si>
  <si>
    <t>000D7228</t>
  </si>
  <si>
    <t>000D722C</t>
  </si>
  <si>
    <t>000D7230</t>
  </si>
  <si>
    <t>000D7234</t>
  </si>
  <si>
    <t>000D7238</t>
  </si>
  <si>
    <t>000D723C</t>
  </si>
  <si>
    <t>000D7240</t>
  </si>
  <si>
    <t>000D7244</t>
  </si>
  <si>
    <t>000D7248</t>
  </si>
  <si>
    <t>000D724C</t>
  </si>
  <si>
    <t>000D7250</t>
  </si>
  <si>
    <t>000D7254</t>
  </si>
  <si>
    <t>push {r1, r4, r5, lr}</t>
  </si>
  <si>
    <t>get pointer</t>
  </si>
  <si>
    <t>mov r1, r5</t>
  </si>
  <si>
    <t>bl 0x00092298</t>
  </si>
  <si>
    <t>mov r1, 0x8</t>
  </si>
  <si>
    <t>Attack</t>
  </si>
  <si>
    <t>bl 0x00092628</t>
  </si>
  <si>
    <t>mov r5, r0</t>
  </si>
  <si>
    <t>mov r1, 0xA</t>
  </si>
  <si>
    <t>SpA</t>
  </si>
  <si>
    <t>cmp r5, r0</t>
  </si>
  <si>
    <t>compare attack vs spA</t>
  </si>
  <si>
    <t>movhi r2, 0x1</t>
  </si>
  <si>
    <t>movlo r2, 0x3</t>
  </si>
  <si>
    <t>mov r0, 0x2</t>
  </si>
  <si>
    <t>bl 0x00084D70</t>
  </si>
  <si>
    <t>Attack greater</t>
  </si>
  <si>
    <t>SpA greater</t>
  </si>
  <si>
    <t>equal, random choice</t>
  </si>
  <si>
    <t>cmp r0, 0x0</t>
  </si>
  <si>
    <t>moveq r2, 0x1</t>
  </si>
  <si>
    <t>movne r2, 0x3</t>
  </si>
  <si>
    <t>bx lr</t>
  </si>
  <si>
    <t>store stat to boost</t>
  </si>
  <si>
    <t>return</t>
  </si>
  <si>
    <t>00101358</t>
  </si>
  <si>
    <t>Extension for Moxie</t>
  </si>
  <si>
    <t>32402DE9</t>
  </si>
  <si>
    <t>0510A0E1</t>
  </si>
  <si>
    <t>CB43FEEB</t>
  </si>
  <si>
    <t>0810A0E3</t>
  </si>
  <si>
    <t>AC44FEEB</t>
  </si>
  <si>
    <t>0050A0E1</t>
  </si>
  <si>
    <t>0A10A0E3</t>
  </si>
  <si>
    <t>A844FEEB</t>
  </si>
  <si>
    <t>000055E1</t>
  </si>
  <si>
    <t>0120A083</t>
  </si>
  <si>
    <t>0320A033</t>
  </si>
  <si>
    <t>0400001A</t>
  </si>
  <si>
    <t>0200A0E3</t>
  </si>
  <si>
    <t>740EFEEB</t>
  </si>
  <si>
    <t>0120A003</t>
  </si>
  <si>
    <t>0320A013</t>
  </si>
  <si>
    <t>3240BDE8</t>
  </si>
  <si>
    <t>1EFF2FE1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</si>
</sst>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quotePrefix="1" applyFont="1"/>
    <xf numFmtId="0" fontId="3" fillId="0" borderId="0" xfId="0" applyFont="1"/>
    <xf numFmtId="0" fontId="1" fillId="0" borderId="0" xfId="0" applyFont="1" applyFill="1"/>
    <xf numFmtId="0" fontId="2" fillId="0" borderId="0" xfId="0" quotePrefix="1" applyFont="1" applyFill="1"/>
    <xf numFmtId="0" fontId="2" fillId="0" borderId="0" xfId="0" applyFont="1" applyFill="1"/>
    <xf numFmtId="0" fontId="3" fillId="0" borderId="0" xfId="0" quotePrefix="1" applyFont="1" applyFill="1"/>
    <xf numFmtId="0" fontId="3" fillId="0" borderId="0" xfId="0" applyFont="1" applyFill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3" fillId="4" borderId="0" xfId="0" quotePrefix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H127"/>
  <sheetViews>
    <sheetView tabSelected="1" zoomScale="85" zoomScaleNormal="85" workbookViewId="0">
      <pane ySplit="1" topLeftCell="A17" activePane="bottomLeft" state="frozen"/>
      <selection pane="bottomLeft" activeCell="B38" sqref="B38:B60"/>
    </sheetView>
  </sheetViews>
  <sheetFormatPr defaultRowHeight="15.9"/>
  <cols>
    <col min="1" max="1" width="9.42578125" style="2" customWidth="1"/>
    <col min="2" max="2" width="9.7109375" style="2" bestFit="1" customWidth="1"/>
    <col min="3" max="3" width="19.78515625" style="2" customWidth="1"/>
    <col min="4" max="4" width="47.28515625" style="2" customWidth="1"/>
    <col min="5" max="6" width="12.7109375" style="2" customWidth="1"/>
    <col min="7" max="7" width="13.5703125" style="2" customWidth="1"/>
    <col min="8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/>
    </row>
    <row r="2" spans="1:4">
      <c r="A2" s="1" t="s">
        <v>40</v>
      </c>
      <c r="B2" s="3"/>
      <c r="D2" s="1"/>
    </row>
    <row r="3" spans="1:4">
      <c r="A3" s="3" t="s">
        <v>8</v>
      </c>
      <c r="B3" s="2" t="s">
        <v>41</v>
      </c>
      <c r="C3" s="2" t="s">
        <v>9</v>
      </c>
      <c r="D3" s="1"/>
    </row>
    <row r="4" spans="1:4">
      <c r="A4" s="8" t="s">
        <v>72</v>
      </c>
      <c r="B4" s="8" t="s">
        <v>42</v>
      </c>
      <c r="C4" s="8" t="s">
        <v>10</v>
      </c>
      <c r="D4" s="8"/>
    </row>
    <row r="5" spans="1:4">
      <c r="A5" s="8" t="s">
        <v>73</v>
      </c>
      <c r="B5" s="8" t="s">
        <v>43</v>
      </c>
      <c r="C5" s="8" t="s">
        <v>11</v>
      </c>
      <c r="D5" s="8"/>
    </row>
    <row r="6" spans="1:4">
      <c r="A6" s="8" t="s">
        <v>74</v>
      </c>
      <c r="B6" s="8" t="s">
        <v>44</v>
      </c>
      <c r="C6" s="8" t="s">
        <v>12</v>
      </c>
      <c r="D6" s="8"/>
    </row>
    <row r="7" spans="1:4">
      <c r="A7" s="8" t="s">
        <v>75</v>
      </c>
      <c r="B7" s="7" t="s">
        <v>45</v>
      </c>
      <c r="C7" s="8" t="s">
        <v>13</v>
      </c>
      <c r="D7" s="8"/>
    </row>
    <row r="8" spans="1:4">
      <c r="A8" s="8" t="s">
        <v>76</v>
      </c>
      <c r="B8" s="7" t="s">
        <v>46</v>
      </c>
      <c r="C8" s="8" t="s">
        <v>14</v>
      </c>
      <c r="D8" s="8"/>
    </row>
    <row r="9" spans="1:4">
      <c r="A9" s="8" t="s">
        <v>77</v>
      </c>
      <c r="B9" s="8" t="s">
        <v>47</v>
      </c>
      <c r="C9" s="8" t="s">
        <v>15</v>
      </c>
      <c r="D9" s="8"/>
    </row>
    <row r="10" spans="1:4">
      <c r="A10" s="8" t="s">
        <v>78</v>
      </c>
      <c r="B10" s="8" t="s">
        <v>48</v>
      </c>
      <c r="C10" s="8" t="s">
        <v>16</v>
      </c>
      <c r="D10" s="8"/>
    </row>
    <row r="11" spans="1:4">
      <c r="A11" s="8" t="s">
        <v>79</v>
      </c>
      <c r="B11" s="7" t="s">
        <v>49</v>
      </c>
      <c r="C11" s="8" t="s">
        <v>17</v>
      </c>
      <c r="D11" s="8"/>
    </row>
    <row r="12" spans="1:4">
      <c r="A12" s="8" t="s">
        <v>80</v>
      </c>
      <c r="B12" s="9" t="s">
        <v>50</v>
      </c>
      <c r="C12" s="10" t="s">
        <v>18</v>
      </c>
      <c r="D12" s="8"/>
    </row>
    <row r="13" spans="1:4">
      <c r="A13" s="8" t="s">
        <v>81</v>
      </c>
      <c r="B13" s="9" t="s">
        <v>51</v>
      </c>
      <c r="C13" s="8" t="s">
        <v>19</v>
      </c>
      <c r="D13" s="8"/>
    </row>
    <row r="14" spans="1:4">
      <c r="A14" s="8" t="s">
        <v>82</v>
      </c>
      <c r="B14" s="9" t="s">
        <v>52</v>
      </c>
      <c r="C14" s="8" t="s">
        <v>20</v>
      </c>
      <c r="D14" s="8"/>
    </row>
    <row r="15" spans="1:4">
      <c r="A15" s="8" t="s">
        <v>83</v>
      </c>
      <c r="B15" s="9" t="s">
        <v>53</v>
      </c>
      <c r="C15" s="8" t="s">
        <v>21</v>
      </c>
      <c r="D15" s="8"/>
    </row>
    <row r="16" spans="1:4">
      <c r="A16" s="8" t="s">
        <v>84</v>
      </c>
      <c r="B16" s="9" t="s">
        <v>54</v>
      </c>
      <c r="C16" s="8" t="s">
        <v>22</v>
      </c>
      <c r="D16" s="8"/>
    </row>
    <row r="17" spans="1:8">
      <c r="A17" s="8" t="s">
        <v>85</v>
      </c>
      <c r="B17" s="9" t="s">
        <v>55</v>
      </c>
      <c r="C17" s="8" t="s">
        <v>23</v>
      </c>
      <c r="D17" s="8"/>
    </row>
    <row r="18" spans="1:8">
      <c r="A18" s="8" t="s">
        <v>86</v>
      </c>
      <c r="B18" s="9" t="s">
        <v>56</v>
      </c>
      <c r="C18" s="10" t="s">
        <v>24</v>
      </c>
      <c r="D18" s="8"/>
    </row>
    <row r="19" spans="1:8">
      <c r="A19" s="8" t="s">
        <v>87</v>
      </c>
      <c r="B19" s="9" t="s">
        <v>51</v>
      </c>
      <c r="C19" s="10" t="s">
        <v>19</v>
      </c>
      <c r="D19" s="8"/>
    </row>
    <row r="20" spans="1:8">
      <c r="A20" s="8" t="s">
        <v>88</v>
      </c>
      <c r="B20" s="9" t="s">
        <v>57</v>
      </c>
      <c r="C20" s="10" t="s">
        <v>25</v>
      </c>
      <c r="D20" s="8"/>
    </row>
    <row r="21" spans="1:8">
      <c r="A21" s="8" t="s">
        <v>89</v>
      </c>
      <c r="B21" s="9" t="s">
        <v>58</v>
      </c>
      <c r="C21" s="8" t="s">
        <v>26</v>
      </c>
      <c r="D21" s="8"/>
      <c r="G21" s="4"/>
    </row>
    <row r="22" spans="1:8">
      <c r="A22" s="8" t="s">
        <v>90</v>
      </c>
      <c r="B22" s="8" t="s">
        <v>59</v>
      </c>
      <c r="C22" s="8" t="s">
        <v>27</v>
      </c>
      <c r="D22" s="8"/>
      <c r="G22" s="5"/>
    </row>
    <row r="23" spans="1:8">
      <c r="A23" s="8" t="s">
        <v>91</v>
      </c>
      <c r="B23" s="7" t="s">
        <v>60</v>
      </c>
      <c r="C23" s="10" t="s">
        <v>28</v>
      </c>
      <c r="D23" s="8"/>
      <c r="G23" s="4"/>
    </row>
    <row r="24" spans="1:8">
      <c r="A24" s="8" t="s">
        <v>92</v>
      </c>
      <c r="B24" s="7" t="s">
        <v>61</v>
      </c>
      <c r="C24" s="10" t="s">
        <v>29</v>
      </c>
      <c r="D24" s="8"/>
      <c r="G24" s="5"/>
    </row>
    <row r="25" spans="1:8">
      <c r="A25" s="8" t="s">
        <v>93</v>
      </c>
      <c r="B25" s="7" t="s">
        <v>62</v>
      </c>
      <c r="C25" s="10" t="s">
        <v>30</v>
      </c>
      <c r="D25" s="8"/>
      <c r="G25" s="4"/>
    </row>
    <row r="26" spans="1:8">
      <c r="A26" s="8" t="s">
        <v>94</v>
      </c>
      <c r="B26" s="8" t="s">
        <v>63</v>
      </c>
      <c r="C26" s="10" t="s">
        <v>31</v>
      </c>
      <c r="D26" s="8"/>
      <c r="G26" s="4"/>
      <c r="H26" s="4"/>
    </row>
    <row r="27" spans="1:8">
      <c r="A27" s="8" t="s">
        <v>95</v>
      </c>
      <c r="B27" s="9" t="s">
        <v>64</v>
      </c>
      <c r="C27" s="8" t="s">
        <v>32</v>
      </c>
      <c r="D27" s="8"/>
      <c r="G27" s="4"/>
    </row>
    <row r="28" spans="1:8">
      <c r="A28" s="8" t="s">
        <v>96</v>
      </c>
      <c r="B28" s="9" t="s">
        <v>65</v>
      </c>
      <c r="C28" s="9" t="s">
        <v>33</v>
      </c>
      <c r="D28" s="8"/>
      <c r="G28" s="4"/>
    </row>
    <row r="29" spans="1:8">
      <c r="A29" s="8" t="s">
        <v>97</v>
      </c>
      <c r="B29" s="9" t="s">
        <v>66</v>
      </c>
      <c r="C29" s="9" t="s">
        <v>34</v>
      </c>
      <c r="D29" s="8"/>
      <c r="G29" s="3"/>
    </row>
    <row r="30" spans="1:8">
      <c r="A30" s="2" t="s">
        <v>98</v>
      </c>
      <c r="B30" s="4" t="s">
        <v>67</v>
      </c>
      <c r="C30" s="2" t="str">
        <f>_xlfn.CONCAT("bl 0x",A38)</f>
        <v>bl 0x00101358</v>
      </c>
      <c r="G30" s="3"/>
    </row>
    <row r="31" spans="1:8">
      <c r="A31" s="2" t="s">
        <v>99</v>
      </c>
      <c r="B31" s="4" t="s">
        <v>58</v>
      </c>
      <c r="C31" s="4" t="s">
        <v>26</v>
      </c>
      <c r="G31" s="3"/>
    </row>
    <row r="32" spans="1:8">
      <c r="A32" s="2" t="s">
        <v>100</v>
      </c>
      <c r="B32" s="4" t="s">
        <v>68</v>
      </c>
      <c r="C32" s="4" t="s">
        <v>36</v>
      </c>
      <c r="G32" s="3"/>
    </row>
    <row r="33" spans="1:7">
      <c r="A33" s="2" t="s">
        <v>101</v>
      </c>
      <c r="B33" s="4" t="s">
        <v>69</v>
      </c>
      <c r="C33" s="4" t="s">
        <v>37</v>
      </c>
      <c r="G33" s="3"/>
    </row>
    <row r="34" spans="1:7">
      <c r="A34" s="2" t="s">
        <v>102</v>
      </c>
      <c r="B34" s="4" t="s">
        <v>70</v>
      </c>
      <c r="C34" s="4" t="s">
        <v>38</v>
      </c>
      <c r="G34" s="3"/>
    </row>
    <row r="35" spans="1:7">
      <c r="A35" s="2" t="s">
        <v>103</v>
      </c>
      <c r="B35" s="4" t="s">
        <v>71</v>
      </c>
      <c r="C35" s="5" t="s">
        <v>39</v>
      </c>
      <c r="G35" s="3"/>
    </row>
    <row r="36" spans="1:7">
      <c r="B36" s="4"/>
      <c r="C36" s="5"/>
    </row>
    <row r="37" spans="1:7">
      <c r="A37" s="1" t="s">
        <v>130</v>
      </c>
      <c r="B37" s="3"/>
      <c r="D37" s="1"/>
    </row>
    <row r="38" spans="1:7">
      <c r="A38" s="3" t="s">
        <v>129</v>
      </c>
      <c r="B38" s="2" t="s">
        <v>131</v>
      </c>
      <c r="C38" s="2" t="s">
        <v>104</v>
      </c>
      <c r="D38" s="1"/>
    </row>
    <row r="39" spans="1:7">
      <c r="A39" s="11" t="str">
        <f t="shared" ref="A39:A61" si="0">DEC2HEX(HEX2DEC(A38)+4,8)</f>
        <v>0010135C</v>
      </c>
      <c r="B39" s="11" t="s">
        <v>132</v>
      </c>
      <c r="C39" s="11" t="s">
        <v>106</v>
      </c>
      <c r="D39" s="11" t="s">
        <v>105</v>
      </c>
    </row>
    <row r="40" spans="1:7">
      <c r="A40" s="11" t="str">
        <f t="shared" si="0"/>
        <v>00101360</v>
      </c>
      <c r="B40" s="11" t="s">
        <v>58</v>
      </c>
      <c r="C40" s="11" t="s">
        <v>26</v>
      </c>
      <c r="D40" s="11"/>
    </row>
    <row r="41" spans="1:7">
      <c r="A41" s="11" t="str">
        <f t="shared" si="0"/>
        <v>00101364</v>
      </c>
      <c r="B41" s="11" t="s">
        <v>133</v>
      </c>
      <c r="C41" s="11" t="s">
        <v>107</v>
      </c>
      <c r="D41" s="11"/>
    </row>
    <row r="42" spans="1:7">
      <c r="A42" s="11" t="str">
        <f t="shared" si="0"/>
        <v>00101368</v>
      </c>
      <c r="B42" s="12" t="s">
        <v>42</v>
      </c>
      <c r="C42" s="11" t="s">
        <v>10</v>
      </c>
      <c r="D42" s="11"/>
    </row>
    <row r="43" spans="1:7">
      <c r="A43" s="13" t="str">
        <f t="shared" si="0"/>
        <v>0010136C</v>
      </c>
      <c r="B43" s="14" t="s">
        <v>134</v>
      </c>
      <c r="C43" s="13" t="s">
        <v>108</v>
      </c>
      <c r="D43" s="13" t="s">
        <v>109</v>
      </c>
    </row>
    <row r="44" spans="1:7">
      <c r="A44" s="13" t="str">
        <f t="shared" si="0"/>
        <v>00101370</v>
      </c>
      <c r="B44" s="13" t="s">
        <v>135</v>
      </c>
      <c r="C44" s="13" t="s">
        <v>110</v>
      </c>
      <c r="D44" s="13"/>
    </row>
    <row r="45" spans="1:7">
      <c r="A45" s="13" t="str">
        <f t="shared" si="0"/>
        <v>00101374</v>
      </c>
      <c r="B45" s="13" t="s">
        <v>136</v>
      </c>
      <c r="C45" s="13" t="s">
        <v>111</v>
      </c>
      <c r="D45" s="13"/>
    </row>
    <row r="46" spans="1:7">
      <c r="A46" s="15" t="str">
        <f t="shared" si="0"/>
        <v>00101378</v>
      </c>
      <c r="B46" s="16" t="s">
        <v>53</v>
      </c>
      <c r="C46" s="15" t="s">
        <v>21</v>
      </c>
      <c r="D46" s="15" t="s">
        <v>113</v>
      </c>
    </row>
    <row r="47" spans="1:7">
      <c r="A47" s="15" t="str">
        <f t="shared" si="0"/>
        <v>0010137C</v>
      </c>
      <c r="B47" s="17" t="s">
        <v>137</v>
      </c>
      <c r="C47" s="18" t="s">
        <v>112</v>
      </c>
      <c r="D47" s="15"/>
    </row>
    <row r="48" spans="1:7">
      <c r="A48" s="15" t="str">
        <f t="shared" si="0"/>
        <v>00101380</v>
      </c>
      <c r="B48" s="17" t="s">
        <v>138</v>
      </c>
      <c r="C48" s="15" t="s">
        <v>110</v>
      </c>
      <c r="D48" s="15"/>
    </row>
    <row r="49" spans="1:4">
      <c r="A49" s="8" t="str">
        <f t="shared" si="0"/>
        <v>00101384</v>
      </c>
      <c r="B49" s="9" t="s">
        <v>139</v>
      </c>
      <c r="C49" s="8" t="s">
        <v>114</v>
      </c>
      <c r="D49" s="8" t="s">
        <v>115</v>
      </c>
    </row>
    <row r="50" spans="1:4">
      <c r="A50" s="8" t="str">
        <f t="shared" si="0"/>
        <v>00101388</v>
      </c>
      <c r="B50" s="2" t="s">
        <v>140</v>
      </c>
      <c r="C50" s="2" t="s">
        <v>116</v>
      </c>
      <c r="D50" s="5" t="s">
        <v>120</v>
      </c>
    </row>
    <row r="51" spans="1:4">
      <c r="A51" s="8" t="str">
        <f t="shared" si="0"/>
        <v>0010138C</v>
      </c>
      <c r="B51" s="3" t="s">
        <v>141</v>
      </c>
      <c r="C51" s="2" t="s">
        <v>117</v>
      </c>
      <c r="D51" s="5" t="s">
        <v>121</v>
      </c>
    </row>
    <row r="52" spans="1:4">
      <c r="A52" s="8" t="str">
        <f t="shared" si="0"/>
        <v>00101390</v>
      </c>
      <c r="B52" s="2" t="s">
        <v>142</v>
      </c>
      <c r="C52" s="2" t="str">
        <f>_xlfn.CONCAT("bne 0x",A58)</f>
        <v>bne 0x001013A8</v>
      </c>
      <c r="D52" s="5"/>
    </row>
    <row r="53" spans="1:4">
      <c r="A53" s="8" t="str">
        <f t="shared" si="0"/>
        <v>00101394</v>
      </c>
      <c r="B53" s="2" t="s">
        <v>143</v>
      </c>
      <c r="C53" s="2" t="s">
        <v>118</v>
      </c>
      <c r="D53" s="5" t="s">
        <v>122</v>
      </c>
    </row>
    <row r="54" spans="1:4">
      <c r="A54" s="8" t="str">
        <f t="shared" si="0"/>
        <v>00101398</v>
      </c>
      <c r="B54" s="2" t="s">
        <v>144</v>
      </c>
      <c r="C54" s="2" t="s">
        <v>119</v>
      </c>
      <c r="D54" s="5"/>
    </row>
    <row r="55" spans="1:4">
      <c r="A55" s="8" t="str">
        <f t="shared" si="0"/>
        <v>0010139C</v>
      </c>
      <c r="B55" s="3" t="s">
        <v>48</v>
      </c>
      <c r="C55" s="2" t="s">
        <v>123</v>
      </c>
      <c r="D55" s="5"/>
    </row>
    <row r="56" spans="1:4">
      <c r="A56" s="8" t="str">
        <f t="shared" si="0"/>
        <v>001013A0</v>
      </c>
      <c r="B56" s="4" t="s">
        <v>145</v>
      </c>
      <c r="C56" s="5" t="s">
        <v>124</v>
      </c>
      <c r="D56" s="5"/>
    </row>
    <row r="57" spans="1:4">
      <c r="A57" s="8" t="str">
        <f t="shared" si="0"/>
        <v>001013A4</v>
      </c>
      <c r="B57" s="4" t="s">
        <v>146</v>
      </c>
      <c r="C57" s="5" t="s">
        <v>125</v>
      </c>
      <c r="D57" s="5"/>
    </row>
    <row r="58" spans="1:4">
      <c r="A58" s="8" t="str">
        <f t="shared" si="0"/>
        <v>001013A8</v>
      </c>
      <c r="B58" s="4" t="s">
        <v>147</v>
      </c>
      <c r="C58" s="2" t="str">
        <f>SUBSTITUTE(C38,"push","pop")</f>
        <v>pop {r1, r4, r5, lr}</v>
      </c>
      <c r="D58" s="5"/>
    </row>
    <row r="59" spans="1:4">
      <c r="A59" s="8" t="str">
        <f t="shared" si="0"/>
        <v>001013AC</v>
      </c>
      <c r="B59" s="4" t="s">
        <v>67</v>
      </c>
      <c r="C59" s="4" t="s">
        <v>35</v>
      </c>
      <c r="D59" s="5" t="s">
        <v>127</v>
      </c>
    </row>
    <row r="60" spans="1:4">
      <c r="A60" s="8" t="str">
        <f t="shared" si="0"/>
        <v>001013B0</v>
      </c>
      <c r="B60" s="4" t="s">
        <v>148</v>
      </c>
      <c r="C60" s="5" t="s">
        <v>126</v>
      </c>
      <c r="D60" s="5" t="s">
        <v>128</v>
      </c>
    </row>
    <row r="61" spans="1:4">
      <c r="A61" s="8"/>
      <c r="B61" s="4"/>
      <c r="D61" s="5"/>
    </row>
    <row r="62" spans="1:4">
      <c r="D62" s="5"/>
    </row>
    <row r="63" spans="1:4">
      <c r="B63" s="3"/>
      <c r="D63" s="5"/>
    </row>
    <row r="64" spans="1:4">
      <c r="B64" s="3"/>
      <c r="C64" s="5"/>
      <c r="D64" s="5"/>
    </row>
    <row r="65" spans="2:5">
      <c r="B65" s="3"/>
      <c r="C65" s="5"/>
    </row>
    <row r="66" spans="2:5">
      <c r="C66" s="5"/>
      <c r="D66" s="5"/>
    </row>
    <row r="67" spans="2:5">
      <c r="B67" s="4"/>
      <c r="D67" s="5"/>
    </row>
    <row r="68" spans="2:5">
      <c r="B68" s="4"/>
      <c r="C68" s="5"/>
      <c r="D68" s="5"/>
    </row>
    <row r="69" spans="2:5">
      <c r="B69" s="4"/>
      <c r="C69" s="5"/>
      <c r="D69" s="5"/>
    </row>
    <row r="70" spans="2:5">
      <c r="B70" s="4"/>
      <c r="C70" s="5"/>
      <c r="D70" s="5"/>
    </row>
    <row r="71" spans="2:5">
      <c r="B71" s="4"/>
      <c r="D71" s="5"/>
    </row>
    <row r="72" spans="2:5">
      <c r="B72" s="4"/>
      <c r="C72" s="5"/>
      <c r="D72" s="5"/>
    </row>
    <row r="73" spans="2:5">
      <c r="B73" s="4"/>
      <c r="C73" s="5"/>
      <c r="D73" s="5"/>
    </row>
    <row r="74" spans="2:5">
      <c r="B74" s="4"/>
      <c r="C74" s="5"/>
    </row>
    <row r="75" spans="2:5">
      <c r="B75" s="4"/>
      <c r="D75" s="3"/>
    </row>
    <row r="76" spans="2:5">
      <c r="B76" s="4"/>
      <c r="C76" s="5"/>
      <c r="E76" s="3"/>
    </row>
    <row r="77" spans="2:5">
      <c r="B77" s="4"/>
      <c r="D77" s="3"/>
      <c r="E77" s="3"/>
    </row>
    <row r="78" spans="2:5">
      <c r="B78" s="4"/>
      <c r="D78" s="4"/>
      <c r="E78" s="3"/>
    </row>
    <row r="79" spans="2:5">
      <c r="B79" s="4"/>
      <c r="E79" s="3"/>
    </row>
    <row r="80" spans="2:5">
      <c r="B80" s="4"/>
      <c r="C80" s="5"/>
      <c r="D80" s="3"/>
      <c r="E80" s="3"/>
    </row>
    <row r="81" spans="2:5">
      <c r="B81" s="4"/>
      <c r="C81" s="5"/>
      <c r="D81" s="3"/>
      <c r="E81" s="3"/>
    </row>
    <row r="82" spans="2:5">
      <c r="B82" s="5"/>
      <c r="C82" s="4"/>
      <c r="D82" s="3"/>
      <c r="E82" s="3"/>
    </row>
    <row r="83" spans="2:5">
      <c r="D83" s="3"/>
      <c r="E83" s="3"/>
    </row>
    <row r="88" spans="2:5">
      <c r="B88" s="3"/>
    </row>
    <row r="90" spans="2:5">
      <c r="B90" s="3"/>
    </row>
    <row r="93" spans="2:5">
      <c r="B93" s="3"/>
    </row>
    <row r="94" spans="2:5">
      <c r="B94" s="3"/>
    </row>
    <row r="95" spans="2:5">
      <c r="B95" s="3"/>
    </row>
    <row r="100" spans="1:2">
      <c r="B100" s="3"/>
    </row>
    <row r="104" spans="1:2">
      <c r="B104" s="3"/>
    </row>
    <row r="108" spans="1:2">
      <c r="B108" s="3"/>
    </row>
    <row r="109" spans="1:2">
      <c r="A109" s="1"/>
      <c r="B109" s="3"/>
    </row>
    <row r="114" spans="2:4">
      <c r="D114" s="5"/>
    </row>
    <row r="122" spans="2:4">
      <c r="B122" s="3"/>
    </row>
    <row r="127" spans="2:4">
      <c r="B12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E9FEB-0852-46B5-8AF1-46C154721816}">
  <dimension ref="A1:D34"/>
  <sheetViews>
    <sheetView workbookViewId="0">
      <selection activeCell="A23" sqref="A23"/>
    </sheetView>
  </sheetViews>
  <sheetFormatPr defaultRowHeight="15.9"/>
  <cols>
    <col min="1" max="1" width="11.5" style="8" bestFit="1" customWidth="1"/>
    <col min="2" max="2" width="9.35546875" style="8" bestFit="1" customWidth="1"/>
    <col min="3" max="3" width="32.2109375" style="8" bestFit="1" customWidth="1"/>
    <col min="4" max="4" width="43.140625" style="8" bestFit="1" customWidth="1"/>
    <col min="5" max="16384" width="9.140625" style="8"/>
  </cols>
  <sheetData>
    <row r="1" spans="1:4">
      <c r="A1" s="6" t="s">
        <v>40</v>
      </c>
      <c r="B1" s="7"/>
      <c r="D1" s="6"/>
    </row>
    <row r="2" spans="1:4">
      <c r="A2" s="7" t="s">
        <v>8</v>
      </c>
      <c r="B2" s="8" t="s">
        <v>41</v>
      </c>
      <c r="C2" s="8" t="s">
        <v>9</v>
      </c>
      <c r="D2" s="6"/>
    </row>
    <row r="3" spans="1:4">
      <c r="A3" s="8" t="str">
        <f t="shared" ref="A3:A34" si="0">DEC2HEX(HEX2DEC(A2)+4,8)</f>
        <v>000D71D8</v>
      </c>
      <c r="B3" s="8" t="s">
        <v>42</v>
      </c>
      <c r="C3" s="8" t="s">
        <v>10</v>
      </c>
    </row>
    <row r="4" spans="1:4">
      <c r="A4" s="8" t="str">
        <f t="shared" si="0"/>
        <v>000D71DC</v>
      </c>
      <c r="B4" s="8" t="s">
        <v>43</v>
      </c>
      <c r="C4" s="8" t="s">
        <v>11</v>
      </c>
    </row>
    <row r="5" spans="1:4">
      <c r="A5" s="8" t="str">
        <f t="shared" si="0"/>
        <v>000D71E0</v>
      </c>
      <c r="B5" s="8" t="s">
        <v>44</v>
      </c>
      <c r="C5" s="8" t="s">
        <v>12</v>
      </c>
      <c r="D5" s="8" t="s">
        <v>6</v>
      </c>
    </row>
    <row r="6" spans="1:4">
      <c r="A6" s="8" t="str">
        <f t="shared" si="0"/>
        <v>000D71E4</v>
      </c>
      <c r="B6" s="7" t="s">
        <v>45</v>
      </c>
      <c r="C6" s="8" t="s">
        <v>13</v>
      </c>
    </row>
    <row r="7" spans="1:4">
      <c r="A7" s="8" t="str">
        <f t="shared" si="0"/>
        <v>000D71E8</v>
      </c>
      <c r="B7" s="7" t="s">
        <v>46</v>
      </c>
      <c r="C7" s="8" t="s">
        <v>14</v>
      </c>
    </row>
    <row r="8" spans="1:4">
      <c r="A8" s="8" t="str">
        <f t="shared" si="0"/>
        <v>000D71EC</v>
      </c>
      <c r="B8" s="8" t="s">
        <v>47</v>
      </c>
      <c r="C8" s="8" t="s">
        <v>15</v>
      </c>
    </row>
    <row r="9" spans="1:4">
      <c r="A9" s="8" t="str">
        <f t="shared" si="0"/>
        <v>000D71F0</v>
      </c>
      <c r="B9" s="7" t="s">
        <v>48</v>
      </c>
      <c r="C9" s="8" t="s">
        <v>16</v>
      </c>
      <c r="D9" s="8" t="s">
        <v>5</v>
      </c>
    </row>
    <row r="10" spans="1:4">
      <c r="A10" s="8" t="str">
        <f t="shared" si="0"/>
        <v>000D71F4</v>
      </c>
      <c r="B10" s="7" t="s">
        <v>49</v>
      </c>
      <c r="C10" s="8" t="s">
        <v>17</v>
      </c>
    </row>
    <row r="11" spans="1:4">
      <c r="A11" s="8" t="str">
        <f t="shared" si="0"/>
        <v>000D71F8</v>
      </c>
      <c r="B11" s="9" t="s">
        <v>50</v>
      </c>
      <c r="C11" s="10" t="s">
        <v>18</v>
      </c>
    </row>
    <row r="12" spans="1:4">
      <c r="A12" s="8" t="str">
        <f t="shared" si="0"/>
        <v>000D71FC</v>
      </c>
      <c r="B12" s="9" t="s">
        <v>51</v>
      </c>
      <c r="C12" s="8" t="s">
        <v>19</v>
      </c>
    </row>
    <row r="13" spans="1:4">
      <c r="A13" s="8" t="str">
        <f t="shared" si="0"/>
        <v>000D7200</v>
      </c>
      <c r="B13" s="9" t="s">
        <v>52</v>
      </c>
      <c r="C13" s="8" t="s">
        <v>20</v>
      </c>
      <c r="D13" s="8" t="s">
        <v>3</v>
      </c>
    </row>
    <row r="14" spans="1:4">
      <c r="A14" s="8" t="str">
        <f t="shared" si="0"/>
        <v>000D7204</v>
      </c>
      <c r="B14" s="9" t="s">
        <v>53</v>
      </c>
      <c r="C14" s="8" t="s">
        <v>21</v>
      </c>
    </row>
    <row r="15" spans="1:4">
      <c r="A15" s="8" t="str">
        <f t="shared" si="0"/>
        <v>000D7208</v>
      </c>
      <c r="B15" s="9" t="s">
        <v>54</v>
      </c>
      <c r="C15" s="8" t="s">
        <v>22</v>
      </c>
      <c r="D15" s="8" t="s">
        <v>4</v>
      </c>
    </row>
    <row r="16" spans="1:4">
      <c r="A16" s="8" t="str">
        <f t="shared" si="0"/>
        <v>000D720C</v>
      </c>
      <c r="B16" s="9" t="s">
        <v>55</v>
      </c>
      <c r="C16" s="8" t="s">
        <v>23</v>
      </c>
    </row>
    <row r="17" spans="1:4">
      <c r="A17" s="8" t="str">
        <f t="shared" si="0"/>
        <v>000D7210</v>
      </c>
      <c r="B17" s="9" t="s">
        <v>56</v>
      </c>
      <c r="C17" s="10" t="s">
        <v>24</v>
      </c>
    </row>
    <row r="18" spans="1:4">
      <c r="A18" s="8" t="str">
        <f t="shared" si="0"/>
        <v>000D7214</v>
      </c>
      <c r="B18" s="9" t="s">
        <v>51</v>
      </c>
      <c r="C18" s="10" t="s">
        <v>19</v>
      </c>
      <c r="D18" s="8" t="s">
        <v>7</v>
      </c>
    </row>
    <row r="19" spans="1:4">
      <c r="A19" s="8" t="str">
        <f t="shared" si="0"/>
        <v>000D7218</v>
      </c>
      <c r="B19" s="9" t="s">
        <v>57</v>
      </c>
      <c r="C19" s="10" t="s">
        <v>25</v>
      </c>
    </row>
    <row r="20" spans="1:4">
      <c r="A20" s="8" t="str">
        <f t="shared" si="0"/>
        <v>000D721C</v>
      </c>
      <c r="B20" s="9" t="s">
        <v>58</v>
      </c>
      <c r="C20" s="8" t="s">
        <v>26</v>
      </c>
    </row>
    <row r="21" spans="1:4">
      <c r="A21" s="8" t="str">
        <f t="shared" si="0"/>
        <v>000D7220</v>
      </c>
      <c r="B21" s="8" t="s">
        <v>59</v>
      </c>
      <c r="C21" s="8" t="s">
        <v>27</v>
      </c>
    </row>
    <row r="22" spans="1:4">
      <c r="A22" s="8" t="str">
        <f t="shared" si="0"/>
        <v>000D7224</v>
      </c>
      <c r="B22" s="8" t="s">
        <v>60</v>
      </c>
      <c r="C22" s="8" t="s">
        <v>28</v>
      </c>
    </row>
    <row r="23" spans="1:4">
      <c r="A23" s="8" t="str">
        <f t="shared" si="0"/>
        <v>000D7228</v>
      </c>
      <c r="B23" s="7" t="s">
        <v>61</v>
      </c>
      <c r="C23" s="8" t="s">
        <v>29</v>
      </c>
    </row>
    <row r="24" spans="1:4">
      <c r="A24" s="8" t="str">
        <f t="shared" si="0"/>
        <v>000D722C</v>
      </c>
      <c r="B24" s="8" t="s">
        <v>62</v>
      </c>
      <c r="C24" s="8" t="s">
        <v>30</v>
      </c>
    </row>
    <row r="25" spans="1:4">
      <c r="A25" s="8" t="str">
        <f t="shared" si="0"/>
        <v>000D7230</v>
      </c>
      <c r="B25" s="8" t="s">
        <v>63</v>
      </c>
      <c r="C25" s="8" t="s">
        <v>31</v>
      </c>
    </row>
    <row r="26" spans="1:4">
      <c r="A26" s="8" t="str">
        <f t="shared" si="0"/>
        <v>000D7234</v>
      </c>
      <c r="B26" s="7" t="s">
        <v>64</v>
      </c>
      <c r="C26" s="8" t="s">
        <v>32</v>
      </c>
    </row>
    <row r="27" spans="1:4">
      <c r="A27" s="8" t="str">
        <f t="shared" si="0"/>
        <v>000D7238</v>
      </c>
      <c r="B27" s="8" t="s">
        <v>65</v>
      </c>
      <c r="C27" s="8" t="s">
        <v>33</v>
      </c>
    </row>
    <row r="28" spans="1:4">
      <c r="A28" s="8" t="str">
        <f t="shared" si="0"/>
        <v>000D723C</v>
      </c>
      <c r="B28" s="7" t="s">
        <v>66</v>
      </c>
      <c r="C28" s="8" t="s">
        <v>34</v>
      </c>
    </row>
    <row r="29" spans="1:4">
      <c r="A29" s="8" t="str">
        <f t="shared" si="0"/>
        <v>000D7240</v>
      </c>
      <c r="B29" s="8" t="s">
        <v>67</v>
      </c>
      <c r="C29" s="8" t="s">
        <v>35</v>
      </c>
    </row>
    <row r="30" spans="1:4">
      <c r="A30" s="8" t="str">
        <f t="shared" si="0"/>
        <v>000D7244</v>
      </c>
      <c r="B30" s="8" t="s">
        <v>58</v>
      </c>
      <c r="C30" s="8" t="s">
        <v>26</v>
      </c>
    </row>
    <row r="31" spans="1:4">
      <c r="A31" s="8" t="str">
        <f t="shared" si="0"/>
        <v>000D7248</v>
      </c>
      <c r="B31" s="8" t="s">
        <v>68</v>
      </c>
      <c r="C31" s="8" t="s">
        <v>36</v>
      </c>
    </row>
    <row r="32" spans="1:4">
      <c r="A32" s="8" t="str">
        <f t="shared" si="0"/>
        <v>000D724C</v>
      </c>
      <c r="B32" s="8" t="s">
        <v>69</v>
      </c>
      <c r="C32" s="8" t="s">
        <v>37</v>
      </c>
    </row>
    <row r="33" spans="1:3">
      <c r="A33" s="8" t="str">
        <f t="shared" si="0"/>
        <v>000D7250</v>
      </c>
      <c r="B33" s="8" t="s">
        <v>70</v>
      </c>
      <c r="C33" s="8" t="s">
        <v>38</v>
      </c>
    </row>
    <row r="34" spans="1:3">
      <c r="A34" s="8" t="str">
        <f t="shared" si="0"/>
        <v>000D7254</v>
      </c>
      <c r="B34" s="8" t="s">
        <v>71</v>
      </c>
      <c r="C34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Corrosion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2026-06-18T07:56:54Z</dcterms:modified>
</cp:coreProperties>
</file>