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AC12E08D-3806-451A-97D7-1DD444F1FB28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ed" sheetId="13" r:id="rId1"/>
    <sheet name="original" sheetId="6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3" l="1"/>
  <c r="A23" i="13" s="1"/>
  <c r="A24" i="13" s="1"/>
  <c r="A25" i="13" s="1"/>
  <c r="A26" i="13" s="1"/>
  <c r="A27" i="13" s="1"/>
  <c r="A28" i="13" s="1"/>
  <c r="A29" i="13" s="1"/>
  <c r="C31" i="13"/>
  <c r="C27" i="13"/>
  <c r="A11" i="13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4" i="13"/>
  <c r="A5" i="13" s="1"/>
  <c r="A6" i="13" s="1"/>
  <c r="A7" i="13" s="1"/>
  <c r="B3" i="13"/>
  <c r="E1" i="13"/>
  <c r="C27" i="6"/>
  <c r="A26" i="6"/>
  <c r="A27" i="6" s="1"/>
  <c r="A28" i="6" s="1"/>
  <c r="A29" i="6" s="1"/>
  <c r="A30" i="6" s="1"/>
  <c r="A31" i="6" s="1"/>
  <c r="A32" i="6" s="1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30" i="13" l="1"/>
  <c r="A31" i="13" s="1"/>
  <c r="C23" i="6"/>
  <c r="C16" i="13" l="1"/>
  <c r="C23" i="13"/>
  <c r="C28" i="6"/>
  <c r="C32" i="6" s="1"/>
  <c r="C16" i="6" l="1"/>
  <c r="B3" i="6" l="1"/>
  <c r="A4" i="6" l="1"/>
  <c r="A5" i="6" s="1"/>
  <c r="A6" i="6" s="1"/>
  <c r="A7" i="6" s="1"/>
  <c r="E1" i="6"/>
</calcChain>
</file>

<file path=xl/sharedStrings.xml><?xml version="1.0" encoding="utf-8"?>
<sst xmlns="http://schemas.openxmlformats.org/spreadsheetml/2006/main" count="130" uniqueCount="82">
  <si>
    <t>Address</t>
  </si>
  <si>
    <t>Hex</t>
  </si>
  <si>
    <t>instruction</t>
  </si>
  <si>
    <t>mov r4, r2</t>
  </si>
  <si>
    <t>mov r5, r1</t>
  </si>
  <si>
    <t>push {r4, r5, r6, lr}</t>
  </si>
  <si>
    <t>00000000</t>
  </si>
  <si>
    <t>mov r0, r5</t>
  </si>
  <si>
    <t>mov r1, r4</t>
  </si>
  <si>
    <t>001080E5</t>
  </si>
  <si>
    <t>str r1, [r0]</t>
  </si>
  <si>
    <t>00009FE5</t>
  </si>
  <si>
    <t>ldr r0, [pc]</t>
  </si>
  <si>
    <t>1EFF2FE1</t>
  </si>
  <si>
    <t>bx lr</t>
  </si>
  <si>
    <t>andeq r0, r0, r0</t>
  </si>
  <si>
    <t>cmp r0, r4</t>
  </si>
  <si>
    <t>70402DE9</t>
  </si>
  <si>
    <t>0240A0E1</t>
  </si>
  <si>
    <t>0300A0E3</t>
  </si>
  <si>
    <t>040050E1</t>
  </si>
  <si>
    <t>000050E3</t>
  </si>
  <si>
    <t>7080BDE8</t>
  </si>
  <si>
    <t>0150A0E1</t>
  </si>
  <si>
    <t>0410A0E1</t>
  </si>
  <si>
    <t>0500A0E1</t>
  </si>
  <si>
    <t>020050E3</t>
  </si>
  <si>
    <t>007b4f18</t>
  </si>
  <si>
    <t>cmp r0, 0x0</t>
  </si>
  <si>
    <t>mov r1, 0x1</t>
  </si>
  <si>
    <t xml:space="preserve">bl 0x00087B58 </t>
  </si>
  <si>
    <t>061BA0E3</t>
  </si>
  <si>
    <t>mov r1, 0x1800</t>
  </si>
  <si>
    <t>Get type</t>
  </si>
  <si>
    <t>branching to previous pop from nearly-identical function to fit</t>
  </si>
  <si>
    <t>7040BDE8</t>
  </si>
  <si>
    <t>0E00001A</t>
  </si>
  <si>
    <t>Flare Boost Call function</t>
  </si>
  <si>
    <t>000DA060</t>
  </si>
  <si>
    <t>Flare Boost 0x47</t>
  </si>
  <si>
    <t>000D733C</t>
  </si>
  <si>
    <t>mov r0, 0x35</t>
  </si>
  <si>
    <t>b 0x00083108</t>
  </si>
  <si>
    <t>check self attacker</t>
  </si>
  <si>
    <t>mov r0, 0x3</t>
  </si>
  <si>
    <t>bl 0x00092298</t>
  </si>
  <si>
    <t>Get pointer</t>
  </si>
  <si>
    <t>mov r1, 0x4</t>
  </si>
  <si>
    <t>bl 0x00092A60</t>
  </si>
  <si>
    <t>Check Burned</t>
  </si>
  <si>
    <t>mov r0, 0x1E</t>
  </si>
  <si>
    <t>Check Physical</t>
  </si>
  <si>
    <t>cmp r0, 0x2</t>
  </si>
  <si>
    <t>1.5x boost</t>
  </si>
  <si>
    <t>01C2FEEB</t>
  </si>
  <si>
    <t>CCEBFEEB</t>
  </si>
  <si>
    <t>0410A0E3</t>
  </si>
  <si>
    <t>BCEDFEEB</t>
  </si>
  <si>
    <t>0700000A</t>
  </si>
  <si>
    <t>1E00A0E3</t>
  </si>
  <si>
    <t>F6C1FEEB</t>
  </si>
  <si>
    <t>0300001A</t>
  </si>
  <si>
    <t>3500A0E3</t>
  </si>
  <si>
    <t>5CAFFEEA</t>
  </si>
  <si>
    <t>mov r0, 0x58</t>
  </si>
  <si>
    <t>bl 0x00082D44</t>
  </si>
  <si>
    <t>Ignore Burn debuff</t>
  </si>
  <si>
    <t>bl 0x0008205C</t>
  </si>
  <si>
    <t>get major status</t>
  </si>
  <si>
    <t>cmp r0, 0x4</t>
  </si>
  <si>
    <t>cmpne r0, 0x3</t>
  </si>
  <si>
    <t>burn</t>
  </si>
  <si>
    <t>frostbite</t>
  </si>
  <si>
    <t>0D00001A</t>
  </si>
  <si>
    <t>3CABFEEB</t>
  </si>
  <si>
    <t>040050E3</t>
  </si>
  <si>
    <t>03005013</t>
  </si>
  <si>
    <t>0600001A</t>
  </si>
  <si>
    <t>0110A0E3</t>
  </si>
  <si>
    <t>5800A0E3</t>
  </si>
  <si>
    <t>70AEFEEB</t>
  </si>
  <si>
    <t>5DAFFEEA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</si>
</sst>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5" borderId="0" xfId="0" quotePrefix="1" applyFont="1" applyFill="1"/>
    <xf numFmtId="0" fontId="3" fillId="5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6" borderId="0" xfId="0" applyFont="1" applyFill="1"/>
    <xf numFmtId="0" fontId="3" fillId="6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41AD-85E6-4581-9A40-28AA9A84B66C}">
  <dimension ref="A1:F31"/>
  <sheetViews>
    <sheetView tabSelected="1" zoomScale="85" zoomScaleNormal="85" workbookViewId="0">
      <pane ySplit="1" topLeftCell="A2" activePane="bottomLeft" state="frozen"/>
      <selection pane="bottomLeft" activeCell="B10" sqref="B10:B31"/>
    </sheetView>
  </sheetViews>
  <sheetFormatPr defaultColWidth="9.0703125" defaultRowHeight="15.9"/>
  <cols>
    <col min="1" max="1" width="9.42578125" style="2" customWidth="1"/>
    <col min="2" max="2" width="9.7109375" style="2" bestFit="1" customWidth="1"/>
    <col min="3" max="3" width="37.5" style="2" bestFit="1" customWidth="1"/>
    <col min="4" max="4" width="88" style="2" customWidth="1"/>
    <col min="5" max="6" width="12.7109375" style="2" customWidth="1"/>
    <col min="7" max="7" width="13.5703125" style="2" customWidth="1"/>
    <col min="8" max="16384" width="9.0703125" style="2"/>
  </cols>
  <sheetData>
    <row r="1" spans="1:6">
      <c r="A1" s="1" t="s">
        <v>0</v>
      </c>
      <c r="B1" s="1" t="s">
        <v>1</v>
      </c>
      <c r="C1" s="1" t="s">
        <v>2</v>
      </c>
      <c r="D1" s="1"/>
      <c r="E1" s="2" t="str">
        <f>DEC2HEX(HEX2DEC(F1)-HEX2DEC("6dd000"),8)</f>
        <v>000D7F18</v>
      </c>
      <c r="F1" s="2" t="s">
        <v>27</v>
      </c>
    </row>
    <row r="2" spans="1:6">
      <c r="A2" s="1" t="s">
        <v>37</v>
      </c>
      <c r="B2" s="3"/>
      <c r="D2" s="1"/>
    </row>
    <row r="3" spans="1:6">
      <c r="A3" s="3" t="s">
        <v>38</v>
      </c>
      <c r="B3" s="2" t="str">
        <f>_xlfn.CONCAT("0",RIGHT(C3,1),"10A0E3")</f>
        <v>0110A0E3</v>
      </c>
      <c r="C3" s="2" t="s">
        <v>29</v>
      </c>
    </row>
    <row r="4" spans="1:6">
      <c r="A4" s="2" t="str">
        <f t="shared" ref="A4:A7" si="0">DEC2HEX(HEX2DEC(A3)+4,8)</f>
        <v>000DA064</v>
      </c>
      <c r="B4" s="3" t="s">
        <v>9</v>
      </c>
      <c r="C4" s="2" t="s">
        <v>10</v>
      </c>
    </row>
    <row r="5" spans="1:6">
      <c r="A5" s="2" t="str">
        <f t="shared" si="0"/>
        <v>000DA068</v>
      </c>
      <c r="B5" s="2" t="s">
        <v>11</v>
      </c>
      <c r="C5" s="2" t="s">
        <v>12</v>
      </c>
    </row>
    <row r="6" spans="1:6">
      <c r="A6" s="2" t="str">
        <f t="shared" si="0"/>
        <v>000DA06C</v>
      </c>
      <c r="B6" s="2" t="s">
        <v>13</v>
      </c>
      <c r="C6" s="2" t="s">
        <v>14</v>
      </c>
    </row>
    <row r="7" spans="1:6">
      <c r="A7" s="2" t="str">
        <f t="shared" si="0"/>
        <v>000DA070</v>
      </c>
      <c r="B7" s="3" t="s">
        <v>6</v>
      </c>
      <c r="C7" s="2" t="s">
        <v>15</v>
      </c>
    </row>
    <row r="9" spans="1:6">
      <c r="A9" s="1" t="s">
        <v>39</v>
      </c>
    </row>
    <row r="10" spans="1:6">
      <c r="A10" s="2" t="s">
        <v>40</v>
      </c>
      <c r="B10" s="2" t="s">
        <v>17</v>
      </c>
      <c r="C10" s="2" t="s">
        <v>5</v>
      </c>
    </row>
    <row r="11" spans="1:6">
      <c r="A11" s="2" t="str">
        <f t="shared" ref="A11:A31" si="1">DEC2HEX(HEX2DEC(A10)+4,8)</f>
        <v>000D7340</v>
      </c>
      <c r="B11" s="2" t="s">
        <v>23</v>
      </c>
      <c r="C11" s="2" t="s">
        <v>4</v>
      </c>
    </row>
    <row r="12" spans="1:6">
      <c r="A12" s="2" t="str">
        <f t="shared" si="1"/>
        <v>000D7344</v>
      </c>
      <c r="B12" s="2" t="s">
        <v>18</v>
      </c>
      <c r="C12" s="2" t="s">
        <v>3</v>
      </c>
    </row>
    <row r="13" spans="1:6">
      <c r="A13" s="4" t="str">
        <f t="shared" si="1"/>
        <v>000D7348</v>
      </c>
      <c r="B13" s="4" t="s">
        <v>19</v>
      </c>
      <c r="C13" s="4" t="s">
        <v>44</v>
      </c>
      <c r="D13" s="4" t="s">
        <v>43</v>
      </c>
    </row>
    <row r="14" spans="1:6">
      <c r="A14" s="4" t="str">
        <f t="shared" si="1"/>
        <v>000D734C</v>
      </c>
      <c r="B14" s="4" t="s">
        <v>54</v>
      </c>
      <c r="C14" s="4" t="s">
        <v>30</v>
      </c>
      <c r="D14" s="4"/>
    </row>
    <row r="15" spans="1:6">
      <c r="A15" s="4" t="str">
        <f t="shared" si="1"/>
        <v>000D7350</v>
      </c>
      <c r="B15" s="5" t="s">
        <v>20</v>
      </c>
      <c r="C15" s="4" t="s">
        <v>16</v>
      </c>
      <c r="D15" s="4"/>
    </row>
    <row r="16" spans="1:6">
      <c r="A16" s="4" t="str">
        <f t="shared" si="1"/>
        <v>000D7354</v>
      </c>
      <c r="B16" s="4" t="s">
        <v>73</v>
      </c>
      <c r="C16" s="4" t="str">
        <f>_xlfn.CONCAT("bne 0x",A31)</f>
        <v>bne 0x000D7390</v>
      </c>
      <c r="D16" s="4" t="s">
        <v>34</v>
      </c>
    </row>
    <row r="17" spans="1:4">
      <c r="A17" s="6" t="str">
        <f t="shared" si="1"/>
        <v>000D7358</v>
      </c>
      <c r="B17" s="6" t="s">
        <v>24</v>
      </c>
      <c r="C17" s="6" t="s">
        <v>8</v>
      </c>
      <c r="D17" s="6" t="s">
        <v>46</v>
      </c>
    </row>
    <row r="18" spans="1:4">
      <c r="A18" s="6" t="str">
        <f t="shared" si="1"/>
        <v>000D735C</v>
      </c>
      <c r="B18" s="6" t="s">
        <v>25</v>
      </c>
      <c r="C18" s="6" t="s">
        <v>7</v>
      </c>
      <c r="D18" s="6"/>
    </row>
    <row r="19" spans="1:4">
      <c r="A19" s="6" t="str">
        <f t="shared" si="1"/>
        <v>000D7360</v>
      </c>
      <c r="B19" s="7" t="s">
        <v>55</v>
      </c>
      <c r="C19" s="6" t="s">
        <v>45</v>
      </c>
      <c r="D19" s="6"/>
    </row>
    <row r="20" spans="1:4">
      <c r="A20" s="8" t="str">
        <f t="shared" si="1"/>
        <v>000D7364</v>
      </c>
      <c r="B20" s="8" t="s">
        <v>74</v>
      </c>
      <c r="C20" s="9" t="s">
        <v>67</v>
      </c>
      <c r="D20" s="8" t="s">
        <v>68</v>
      </c>
    </row>
    <row r="21" spans="1:4">
      <c r="A21" s="8" t="str">
        <f t="shared" si="1"/>
        <v>000D7368</v>
      </c>
      <c r="B21" s="9" t="s">
        <v>75</v>
      </c>
      <c r="C21" s="9" t="s">
        <v>69</v>
      </c>
      <c r="D21" s="8" t="s">
        <v>71</v>
      </c>
    </row>
    <row r="22" spans="1:4">
      <c r="A22" s="8" t="str">
        <f t="shared" si="1"/>
        <v>000D736C</v>
      </c>
      <c r="B22" s="10" t="s">
        <v>76</v>
      </c>
      <c r="C22" s="8" t="s">
        <v>70</v>
      </c>
      <c r="D22" s="8" t="s">
        <v>72</v>
      </c>
    </row>
    <row r="23" spans="1:4">
      <c r="A23" s="8" t="str">
        <f t="shared" si="1"/>
        <v>000D7370</v>
      </c>
      <c r="B23" s="10" t="s">
        <v>77</v>
      </c>
      <c r="C23" s="8" t="str">
        <f>_xlfn.CONCAT("bne 0x",A31)</f>
        <v>bne 0x000D7390</v>
      </c>
      <c r="D23" s="8"/>
    </row>
    <row r="24" spans="1:4">
      <c r="A24" s="13" t="str">
        <f t="shared" si="1"/>
        <v>000D7374</v>
      </c>
      <c r="B24" s="14" t="s">
        <v>78</v>
      </c>
      <c r="C24" s="13" t="s">
        <v>29</v>
      </c>
      <c r="D24" s="13" t="s">
        <v>66</v>
      </c>
    </row>
    <row r="25" spans="1:4">
      <c r="A25" s="13" t="str">
        <f t="shared" si="1"/>
        <v>000D7378</v>
      </c>
      <c r="B25" s="14" t="s">
        <v>79</v>
      </c>
      <c r="C25" s="13" t="s">
        <v>64</v>
      </c>
      <c r="D25" s="13"/>
    </row>
    <row r="26" spans="1:4">
      <c r="A26" s="13" t="str">
        <f t="shared" si="1"/>
        <v>000D737C</v>
      </c>
      <c r="B26" s="14" t="s">
        <v>80</v>
      </c>
      <c r="C26" s="13" t="s">
        <v>65</v>
      </c>
      <c r="D26" s="13"/>
    </row>
    <row r="27" spans="1:4">
      <c r="A27" s="2" t="str">
        <f t="shared" si="1"/>
        <v>000D7380</v>
      </c>
      <c r="B27" s="2" t="s">
        <v>35</v>
      </c>
      <c r="C27" s="2" t="str">
        <f>SUBSTITUTE(C10,"push","pop")</f>
        <v>pop {r4, r5, r6, lr}</v>
      </c>
    </row>
    <row r="28" spans="1:4">
      <c r="A28" s="2" t="str">
        <f t="shared" si="1"/>
        <v>000D7384</v>
      </c>
      <c r="B28" s="2" t="s">
        <v>31</v>
      </c>
      <c r="C28" s="2" t="s">
        <v>32</v>
      </c>
      <c r="D28" s="2" t="s">
        <v>53</v>
      </c>
    </row>
    <row r="29" spans="1:4">
      <c r="A29" s="2" t="str">
        <f t="shared" si="1"/>
        <v>000D7388</v>
      </c>
      <c r="B29" s="2" t="s">
        <v>62</v>
      </c>
      <c r="C29" s="2" t="s">
        <v>41</v>
      </c>
    </row>
    <row r="30" spans="1:4">
      <c r="A30" s="2" t="str">
        <f t="shared" si="1"/>
        <v>000D738C</v>
      </c>
      <c r="B30" s="2" t="s">
        <v>81</v>
      </c>
      <c r="C30" s="2" t="s">
        <v>42</v>
      </c>
    </row>
    <row r="31" spans="1:4">
      <c r="A31" s="2" t="str">
        <f t="shared" si="1"/>
        <v>000D7390</v>
      </c>
      <c r="B31" s="2" t="s">
        <v>22</v>
      </c>
      <c r="C31" s="2" t="str">
        <f>SUBSTITUTE(C27,"lr","pc")</f>
        <v>pop {r4, r5, r6, pc}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F32"/>
  <sheetViews>
    <sheetView zoomScale="85" zoomScaleNormal="85" workbookViewId="0">
      <pane ySplit="1" topLeftCell="A2" activePane="bottomLeft" state="frozen"/>
      <selection pane="bottomLeft" activeCell="B10" sqref="B10:B32"/>
    </sheetView>
  </sheetViews>
  <sheetFormatPr defaultColWidth="9.0703125" defaultRowHeight="15.9"/>
  <cols>
    <col min="1" max="1" width="9.42578125" style="2" customWidth="1"/>
    <col min="2" max="2" width="9.7109375" style="2" bestFit="1" customWidth="1"/>
    <col min="3" max="3" width="37.5" style="2" bestFit="1" customWidth="1"/>
    <col min="4" max="4" width="88" style="2" customWidth="1"/>
    <col min="5" max="6" width="12.7109375" style="2" customWidth="1"/>
    <col min="7" max="7" width="13.5703125" style="2" customWidth="1"/>
    <col min="8" max="16384" width="9.0703125" style="2"/>
  </cols>
  <sheetData>
    <row r="1" spans="1:6">
      <c r="A1" s="1" t="s">
        <v>0</v>
      </c>
      <c r="B1" s="1" t="s">
        <v>1</v>
      </c>
      <c r="C1" s="1" t="s">
        <v>2</v>
      </c>
      <c r="D1" s="1"/>
      <c r="E1" s="2" t="str">
        <f>DEC2HEX(HEX2DEC(F1)-HEX2DEC("6dd000"),8)</f>
        <v>000D7F18</v>
      </c>
      <c r="F1" s="2" t="s">
        <v>27</v>
      </c>
    </row>
    <row r="2" spans="1:6">
      <c r="A2" s="1" t="s">
        <v>37</v>
      </c>
      <c r="B2" s="3"/>
      <c r="D2" s="1"/>
    </row>
    <row r="3" spans="1:6">
      <c r="A3" s="3" t="s">
        <v>38</v>
      </c>
      <c r="B3" s="2" t="str">
        <f>_xlfn.CONCAT("0",RIGHT(C3,1),"10A0E3")</f>
        <v>0110A0E3</v>
      </c>
      <c r="C3" s="2" t="s">
        <v>29</v>
      </c>
    </row>
    <row r="4" spans="1:6">
      <c r="A4" s="2" t="str">
        <f t="shared" ref="A4:A7" si="0">DEC2HEX(HEX2DEC(A3)+4,8)</f>
        <v>000DA064</v>
      </c>
      <c r="B4" s="3" t="s">
        <v>9</v>
      </c>
      <c r="C4" s="2" t="s">
        <v>10</v>
      </c>
    </row>
    <row r="5" spans="1:6">
      <c r="A5" s="2" t="str">
        <f t="shared" si="0"/>
        <v>000DA068</v>
      </c>
      <c r="B5" s="2" t="s">
        <v>11</v>
      </c>
      <c r="C5" s="2" t="s">
        <v>12</v>
      </c>
    </row>
    <row r="6" spans="1:6">
      <c r="A6" s="2" t="str">
        <f t="shared" si="0"/>
        <v>000DA06C</v>
      </c>
      <c r="B6" s="2" t="s">
        <v>13</v>
      </c>
      <c r="C6" s="2" t="s">
        <v>14</v>
      </c>
    </row>
    <row r="7" spans="1:6">
      <c r="A7" s="2" t="str">
        <f t="shared" si="0"/>
        <v>000DA070</v>
      </c>
      <c r="B7" s="3" t="s">
        <v>6</v>
      </c>
      <c r="C7" s="2" t="s">
        <v>15</v>
      </c>
    </row>
    <row r="9" spans="1:6">
      <c r="A9" s="1" t="s">
        <v>39</v>
      </c>
    </row>
    <row r="10" spans="1:6">
      <c r="A10" s="2" t="s">
        <v>40</v>
      </c>
      <c r="B10" s="2" t="s">
        <v>17</v>
      </c>
      <c r="C10" s="2" t="s">
        <v>5</v>
      </c>
    </row>
    <row r="11" spans="1:6">
      <c r="A11" s="2" t="str">
        <f t="shared" ref="A11:A32" si="1">DEC2HEX(HEX2DEC(A10)+4,8)</f>
        <v>000D7340</v>
      </c>
      <c r="B11" s="2" t="s">
        <v>23</v>
      </c>
      <c r="C11" s="2" t="s">
        <v>4</v>
      </c>
    </row>
    <row r="12" spans="1:6">
      <c r="A12" s="2" t="str">
        <f t="shared" si="1"/>
        <v>000D7344</v>
      </c>
      <c r="B12" s="2" t="s">
        <v>18</v>
      </c>
      <c r="C12" s="2" t="s">
        <v>3</v>
      </c>
    </row>
    <row r="13" spans="1:6">
      <c r="A13" s="4" t="str">
        <f t="shared" si="1"/>
        <v>000D7348</v>
      </c>
      <c r="B13" s="4" t="s">
        <v>19</v>
      </c>
      <c r="C13" s="4" t="s">
        <v>44</v>
      </c>
      <c r="D13" s="4" t="s">
        <v>43</v>
      </c>
    </row>
    <row r="14" spans="1:6">
      <c r="A14" s="4" t="str">
        <f t="shared" si="1"/>
        <v>000D734C</v>
      </c>
      <c r="B14" s="4" t="s">
        <v>54</v>
      </c>
      <c r="C14" s="4" t="s">
        <v>30</v>
      </c>
      <c r="D14" s="4"/>
    </row>
    <row r="15" spans="1:6">
      <c r="A15" s="4" t="str">
        <f t="shared" si="1"/>
        <v>000D7350</v>
      </c>
      <c r="B15" s="5" t="s">
        <v>20</v>
      </c>
      <c r="C15" s="4" t="s">
        <v>16</v>
      </c>
      <c r="D15" s="4"/>
    </row>
    <row r="16" spans="1:6">
      <c r="A16" s="4" t="str">
        <f t="shared" si="1"/>
        <v>000D7354</v>
      </c>
      <c r="B16" s="4" t="s">
        <v>36</v>
      </c>
      <c r="C16" s="4" t="str">
        <f>_xlfn.CONCAT("bne 0x",A32)</f>
        <v>bne 0x000D7394</v>
      </c>
      <c r="D16" s="4" t="s">
        <v>34</v>
      </c>
    </row>
    <row r="17" spans="1:4">
      <c r="A17" s="6" t="str">
        <f t="shared" si="1"/>
        <v>000D7358</v>
      </c>
      <c r="B17" s="6" t="s">
        <v>24</v>
      </c>
      <c r="C17" s="6" t="s">
        <v>8</v>
      </c>
      <c r="D17" s="6" t="s">
        <v>46</v>
      </c>
    </row>
    <row r="18" spans="1:4">
      <c r="A18" s="6" t="str">
        <f t="shared" si="1"/>
        <v>000D735C</v>
      </c>
      <c r="B18" s="6" t="s">
        <v>25</v>
      </c>
      <c r="C18" s="6" t="s">
        <v>7</v>
      </c>
      <c r="D18" s="6"/>
    </row>
    <row r="19" spans="1:4">
      <c r="A19" s="6" t="str">
        <f t="shared" si="1"/>
        <v>000D7360</v>
      </c>
      <c r="B19" s="7" t="s">
        <v>55</v>
      </c>
      <c r="C19" s="6" t="s">
        <v>45</v>
      </c>
      <c r="D19" s="6"/>
    </row>
    <row r="20" spans="1:4">
      <c r="A20" s="8" t="str">
        <f t="shared" si="1"/>
        <v>000D7364</v>
      </c>
      <c r="B20" s="8" t="s">
        <v>56</v>
      </c>
      <c r="C20" s="8" t="s">
        <v>47</v>
      </c>
      <c r="D20" s="8" t="s">
        <v>49</v>
      </c>
    </row>
    <row r="21" spans="1:4">
      <c r="A21" s="8" t="str">
        <f t="shared" si="1"/>
        <v>000D7368</v>
      </c>
      <c r="B21" s="9" t="s">
        <v>57</v>
      </c>
      <c r="C21" s="9" t="s">
        <v>48</v>
      </c>
      <c r="D21" s="8" t="s">
        <v>33</v>
      </c>
    </row>
    <row r="22" spans="1:4">
      <c r="A22" s="8" t="str">
        <f t="shared" si="1"/>
        <v>000D736C</v>
      </c>
      <c r="B22" s="10" t="s">
        <v>21</v>
      </c>
      <c r="C22" s="8" t="s">
        <v>28</v>
      </c>
      <c r="D22" s="8"/>
    </row>
    <row r="23" spans="1:4">
      <c r="A23" s="8" t="str">
        <f t="shared" si="1"/>
        <v>000D7370</v>
      </c>
      <c r="B23" s="10" t="s">
        <v>58</v>
      </c>
      <c r="C23" s="8" t="str">
        <f>_xlfn.CONCAT("beq 0x",A32)</f>
        <v>beq 0x000D7394</v>
      </c>
      <c r="D23" s="8"/>
    </row>
    <row r="24" spans="1:4">
      <c r="A24" s="11" t="str">
        <f t="shared" si="1"/>
        <v>000D7374</v>
      </c>
      <c r="B24" s="12" t="s">
        <v>59</v>
      </c>
      <c r="C24" s="11" t="s">
        <v>50</v>
      </c>
      <c r="D24" s="11" t="s">
        <v>51</v>
      </c>
    </row>
    <row r="25" spans="1:4">
      <c r="A25" s="11" t="str">
        <f t="shared" si="1"/>
        <v>000D7378</v>
      </c>
      <c r="B25" s="12" t="s">
        <v>60</v>
      </c>
      <c r="C25" s="11" t="s">
        <v>30</v>
      </c>
      <c r="D25" s="11"/>
    </row>
    <row r="26" spans="1:4">
      <c r="A26" s="11" t="str">
        <f t="shared" si="1"/>
        <v>000D737C</v>
      </c>
      <c r="B26" s="12" t="s">
        <v>26</v>
      </c>
      <c r="C26" s="11" t="s">
        <v>52</v>
      </c>
      <c r="D26" s="11"/>
    </row>
    <row r="27" spans="1:4">
      <c r="A27" s="11" t="str">
        <f t="shared" si="1"/>
        <v>000D7380</v>
      </c>
      <c r="B27" s="11" t="s">
        <v>61</v>
      </c>
      <c r="C27" s="11" t="str">
        <f>_xlfn.CONCAT("bne 0x",A32)</f>
        <v>bne 0x000D7394</v>
      </c>
      <c r="D27" s="11"/>
    </row>
    <row r="28" spans="1:4">
      <c r="A28" s="2" t="str">
        <f t="shared" si="1"/>
        <v>000D7384</v>
      </c>
      <c r="B28" s="2" t="s">
        <v>35</v>
      </c>
      <c r="C28" s="2" t="str">
        <f>SUBSTITUTE(C10,"push","pop")</f>
        <v>pop {r4, r5, r6, lr}</v>
      </c>
    </row>
    <row r="29" spans="1:4">
      <c r="A29" s="2" t="str">
        <f t="shared" si="1"/>
        <v>000D7388</v>
      </c>
      <c r="B29" s="2" t="s">
        <v>31</v>
      </c>
      <c r="C29" s="2" t="s">
        <v>32</v>
      </c>
      <c r="D29" s="2" t="s">
        <v>53</v>
      </c>
    </row>
    <row r="30" spans="1:4">
      <c r="A30" s="2" t="str">
        <f t="shared" si="1"/>
        <v>000D738C</v>
      </c>
      <c r="B30" s="2" t="s">
        <v>62</v>
      </c>
      <c r="C30" s="2" t="s">
        <v>41</v>
      </c>
    </row>
    <row r="31" spans="1:4">
      <c r="A31" s="2" t="str">
        <f t="shared" si="1"/>
        <v>000D7390</v>
      </c>
      <c r="B31" s="2" t="s">
        <v>63</v>
      </c>
      <c r="C31" s="2" t="s">
        <v>42</v>
      </c>
    </row>
    <row r="32" spans="1:4">
      <c r="A32" s="2" t="str">
        <f t="shared" si="1"/>
        <v>000D7394</v>
      </c>
      <c r="B32" s="2" t="s">
        <v>22</v>
      </c>
      <c r="C32" s="2" t="str">
        <f>SUBSTITUTE(C28,"lr","pc")</f>
        <v>pop {r4, r5, r6, pc}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2026-05-11T15:54:54Z</dcterms:modified>
</cp:coreProperties>
</file>