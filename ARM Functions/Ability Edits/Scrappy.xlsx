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026"/>
  <workbookPr defaultThemeVersion="202300"/>
  <mc:AlternateContent xmlns:mc="http://schemas.openxmlformats.org/markup-compatibility/2006">
    <mc:Choice Requires="x15">
      <x15ac:absPath xmlns:x15ac="http://schemas.microsoft.com/office/spreadsheetml/2010/11/ac" url="D:\Dropbox\ROM\3ds\USUM ARM research\Ability Edits\"/>
    </mc:Choice>
  </mc:AlternateContent>
  <xr:revisionPtr revIDLastSave="0" documentId="13_ncr:1_{05A5FFAC-A492-4DD3-98C3-77A4F6B40656}" xr6:coauthVersionLast="47" xr6:coauthVersionMax="47" xr10:uidLastSave="{00000000-0000-0000-0000-000000000000}"/>
  <bookViews>
    <workbookView xWindow="0" yWindow="0" windowWidth="16457" windowHeight="17914" xr2:uid="{FFF8744C-F0B4-428F-8CA7-718350CADE02}"/>
  </bookViews>
  <sheets>
    <sheet name="Corrosion" sheetId="6" r:id="rId1"/>
    <sheet name="Original" sheetId="7" r:id="rId2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C12" i="6" l="1"/>
  <c r="C13" i="6"/>
  <c r="C17" i="6" s="1"/>
  <c r="A4" i="6"/>
  <c r="A5" i="6" s="1"/>
  <c r="A6" i="6" s="1"/>
  <c r="A7" i="6" s="1"/>
  <c r="A8" i="6" s="1"/>
  <c r="A9" i="6" s="1"/>
  <c r="A10" i="6" s="1"/>
  <c r="A11" i="6" s="1"/>
  <c r="A12" i="6" s="1"/>
  <c r="A13" i="6" s="1"/>
  <c r="A14" i="6" s="1"/>
  <c r="A15" i="6" s="1"/>
  <c r="A16" i="6" s="1"/>
  <c r="A17" i="6" s="1"/>
  <c r="C12" i="7"/>
  <c r="C16" i="7" s="1"/>
  <c r="A3" i="7"/>
  <c r="A4" i="7" s="1"/>
  <c r="A5" i="7" s="1"/>
  <c r="A6" i="7" s="1"/>
  <c r="A7" i="7" s="1"/>
  <c r="A8" i="7" s="1"/>
  <c r="A9" i="7" s="1"/>
  <c r="A10" i="7" s="1"/>
  <c r="A11" i="7" s="1"/>
  <c r="A12" i="7" s="1"/>
  <c r="A13" i="7" s="1"/>
  <c r="A14" i="7" s="1"/>
  <c r="A15" i="7" s="1"/>
  <c r="A16" i="7" s="1"/>
  <c r="C8" i="6" l="1"/>
  <c r="C11" i="7"/>
  <c r="C7" i="7"/>
</calcChain>
</file>

<file path=xl/sharedStrings.xml><?xml version="1.0" encoding="utf-8"?>
<sst xmlns="http://schemas.openxmlformats.org/spreadsheetml/2006/main" count="66" uniqueCount="40">
  <si>
    <t>Address</t>
  </si>
  <si>
    <t>Hex</t>
  </si>
  <si>
    <t>instruction</t>
  </si>
  <si>
    <t>Ignore Immunity</t>
  </si>
  <si>
    <t>000D686C</t>
  </si>
  <si>
    <t>push {r4, lr}</t>
  </si>
  <si>
    <t>mov r4, r2</t>
  </si>
  <si>
    <t>cmp r0, r4</t>
  </si>
  <si>
    <t>10402DE9</t>
  </si>
  <si>
    <t>0240A0E1</t>
  </si>
  <si>
    <t>0300A0E3</t>
  </si>
  <si>
    <t>B6C4FEEB</t>
  </si>
  <si>
    <t>040050E1</t>
  </si>
  <si>
    <t>0700001A</t>
  </si>
  <si>
    <t>1800A0E3</t>
  </si>
  <si>
    <t>B2C4FEEB</t>
  </si>
  <si>
    <t>070050E3</t>
  </si>
  <si>
    <t>0300001A</t>
  </si>
  <si>
    <t>1040BDE8</t>
  </si>
  <si>
    <t>0110A0E3</t>
  </si>
  <si>
    <t>5000A0E3</t>
  </si>
  <si>
    <t>27B1FEEA</t>
  </si>
  <si>
    <t>Scrappy 0x4E/0x4F</t>
  </si>
  <si>
    <t>mov r0, 0x3</t>
  </si>
  <si>
    <t>bl 0x00087B58</t>
  </si>
  <si>
    <t>1080BDE8</t>
  </si>
  <si>
    <t>mov r0, 0x18</t>
  </si>
  <si>
    <t>cmp r0, 0x7</t>
  </si>
  <si>
    <t>Check self attacker</t>
  </si>
  <si>
    <t>Check target type Ghost</t>
  </si>
  <si>
    <t>mov r1, 0x1</t>
  </si>
  <si>
    <t>mov r0, 0x50</t>
  </si>
  <si>
    <t>b 0x00082D44</t>
  </si>
  <si>
    <t>mov r0, 0x19</t>
  </si>
  <si>
    <t>check move used Type Normal or Fighting</t>
  </si>
  <si>
    <t>cmp r0, 0x1</t>
  </si>
  <si>
    <t>0 and 1 are Normal and Fighting</t>
  </si>
  <si>
    <t>1900A0E3</t>
  </si>
  <si>
    <t>010050E3</t>
  </si>
  <si>
    <t>0300008A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</si>
</sst>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>
    <font>
      <sz val="11"/>
      <color theme="1"/>
      <name val="Aptos Narrow"/>
      <family val="2"/>
      <scheme val="minor"/>
    </font>
    <font>
      <b/>
      <sz val="11"/>
      <color theme="1"/>
      <name val="Cascadia Code"/>
      <family val="3"/>
    </font>
    <font>
      <sz val="11"/>
      <color theme="1"/>
      <name val="Cascadia Code"/>
      <family val="3"/>
    </font>
    <font>
      <sz val="11"/>
      <name val="Cascadia Code"/>
      <family val="3"/>
    </font>
  </fonts>
  <fills count="5">
    <fill>
      <patternFill patternType="none"/>
    </fill>
    <fill>
      <patternFill patternType="gray125"/>
    </fill>
    <fill>
      <patternFill patternType="solid">
        <fgColor theme="8" tint="0.79998168889431442"/>
        <bgColor indexed="64"/>
      </patternFill>
    </fill>
    <fill>
      <patternFill patternType="solid">
        <fgColor rgb="FFFFC000"/>
        <bgColor indexed="64"/>
      </patternFill>
    </fill>
    <fill>
      <patternFill patternType="solid">
        <fgColor theme="9" tint="0.79998168889431442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4">
    <xf numFmtId="0" fontId="0" fillId="0" borderId="0" xfId="0"/>
    <xf numFmtId="0" fontId="1" fillId="0" borderId="0" xfId="0" applyFont="1"/>
    <xf numFmtId="0" fontId="2" fillId="0" borderId="0" xfId="0" applyFont="1"/>
    <xf numFmtId="0" fontId="2" fillId="0" borderId="0" xfId="0" quotePrefix="1" applyFont="1"/>
    <xf numFmtId="0" fontId="3" fillId="0" borderId="0" xfId="0" quotePrefix="1" applyFont="1"/>
    <xf numFmtId="0" fontId="3" fillId="0" borderId="0" xfId="0" applyFont="1"/>
    <xf numFmtId="0" fontId="2" fillId="2" borderId="0" xfId="0" applyFont="1" applyFill="1"/>
    <xf numFmtId="0" fontId="2" fillId="2" borderId="0" xfId="0" quotePrefix="1" applyFont="1" applyFill="1"/>
    <xf numFmtId="0" fontId="2" fillId="3" borderId="0" xfId="0" applyFont="1" applyFill="1"/>
    <xf numFmtId="0" fontId="2" fillId="3" borderId="0" xfId="0" quotePrefix="1" applyFont="1" applyFill="1"/>
    <xf numFmtId="0" fontId="3" fillId="2" borderId="0" xfId="0" quotePrefix="1" applyFont="1" applyFill="1"/>
    <xf numFmtId="0" fontId="3" fillId="2" borderId="0" xfId="0" applyFont="1" applyFill="1"/>
    <xf numFmtId="0" fontId="2" fillId="4" borderId="0" xfId="0" applyFont="1" applyFill="1"/>
    <xf numFmtId="0" fontId="3" fillId="4" borderId="0" xfId="0" quotePrefix="1" applyFont="1" applyFill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D17F403-0334-4F0F-BD62-1976F89E9C58}">
  <dimension ref="A1:E81"/>
  <sheetViews>
    <sheetView tabSelected="1" zoomScale="85" zoomScaleNormal="85" workbookViewId="0">
      <pane ySplit="1" topLeftCell="A2" activePane="bottomLeft" state="frozen"/>
      <selection pane="bottomLeft" activeCell="B3" sqref="B3:B17"/>
    </sheetView>
  </sheetViews>
  <sheetFormatPr defaultRowHeight="15.9"/>
  <cols>
    <col min="1" max="1" width="9.42578125" style="2" customWidth="1"/>
    <col min="2" max="2" width="9.7109375" style="2" bestFit="1" customWidth="1"/>
    <col min="3" max="3" width="19.78515625" style="2" customWidth="1"/>
    <col min="4" max="4" width="47.28515625" style="2" customWidth="1"/>
    <col min="5" max="6" width="12.7109375" style="2" customWidth="1"/>
    <col min="7" max="7" width="13.5703125" style="2" customWidth="1"/>
    <col min="8" max="16384" width="9.140625" style="2"/>
  </cols>
  <sheetData>
    <row r="1" spans="1:4">
      <c r="A1" s="1" t="s">
        <v>0</v>
      </c>
      <c r="B1" s="1" t="s">
        <v>1</v>
      </c>
      <c r="C1" s="1" t="s">
        <v>2</v>
      </c>
      <c r="D1" s="1"/>
    </row>
    <row r="2" spans="1:4">
      <c r="A2" s="1" t="s">
        <v>22</v>
      </c>
      <c r="B2" s="3"/>
      <c r="D2" s="1"/>
    </row>
    <row r="3" spans="1:4">
      <c r="A3" s="3" t="s">
        <v>4</v>
      </c>
      <c r="B3" s="2" t="s">
        <v>8</v>
      </c>
      <c r="C3" s="2" t="s">
        <v>5</v>
      </c>
      <c r="D3" s="1"/>
    </row>
    <row r="4" spans="1:4">
      <c r="A4" s="2" t="str">
        <f t="shared" ref="A4:A17" si="0">DEC2HEX(HEX2DEC(A3)+4,8)</f>
        <v>000D6870</v>
      </c>
      <c r="B4" s="2" t="s">
        <v>9</v>
      </c>
      <c r="C4" s="2" t="s">
        <v>6</v>
      </c>
    </row>
    <row r="5" spans="1:4">
      <c r="A5" s="8" t="str">
        <f t="shared" si="0"/>
        <v>000D6874</v>
      </c>
      <c r="B5" s="8" t="s">
        <v>10</v>
      </c>
      <c r="C5" s="8" t="s">
        <v>23</v>
      </c>
      <c r="D5" s="8" t="s">
        <v>28</v>
      </c>
    </row>
    <row r="6" spans="1:4">
      <c r="A6" s="8" t="str">
        <f t="shared" si="0"/>
        <v>000D6878</v>
      </c>
      <c r="B6" s="8" t="s">
        <v>11</v>
      </c>
      <c r="C6" s="8" t="s">
        <v>24</v>
      </c>
      <c r="D6" s="8"/>
    </row>
    <row r="7" spans="1:4">
      <c r="A7" s="8" t="str">
        <f t="shared" si="0"/>
        <v>000D687C</v>
      </c>
      <c r="B7" s="9" t="s">
        <v>12</v>
      </c>
      <c r="C7" s="8" t="s">
        <v>7</v>
      </c>
      <c r="D7" s="8"/>
    </row>
    <row r="8" spans="1:4">
      <c r="A8" s="8" t="str">
        <f t="shared" si="0"/>
        <v>000D6880</v>
      </c>
      <c r="B8" s="9" t="s">
        <v>13</v>
      </c>
      <c r="C8" s="8" t="str">
        <f>_xlfn.CONCAT("bne 0x",A17)</f>
        <v>bne 0x000D68A4</v>
      </c>
      <c r="D8" s="8"/>
    </row>
    <row r="9" spans="1:4">
      <c r="A9" s="6" t="str">
        <f t="shared" si="0"/>
        <v>000D6884</v>
      </c>
      <c r="B9" s="6" t="s">
        <v>37</v>
      </c>
      <c r="C9" s="6" t="s">
        <v>33</v>
      </c>
      <c r="D9" s="6" t="s">
        <v>34</v>
      </c>
    </row>
    <row r="10" spans="1:4">
      <c r="A10" s="6" t="str">
        <f t="shared" si="0"/>
        <v>000D6888</v>
      </c>
      <c r="B10" s="6" t="s">
        <v>15</v>
      </c>
      <c r="C10" s="6" t="s">
        <v>24</v>
      </c>
      <c r="D10" s="6"/>
    </row>
    <row r="11" spans="1:4">
      <c r="A11" s="6" t="str">
        <f t="shared" si="0"/>
        <v>000D688C</v>
      </c>
      <c r="B11" s="7" t="s">
        <v>38</v>
      </c>
      <c r="C11" s="6" t="s">
        <v>35</v>
      </c>
      <c r="D11" s="6" t="s">
        <v>36</v>
      </c>
    </row>
    <row r="12" spans="1:4">
      <c r="A12" s="6" t="str">
        <f t="shared" si="0"/>
        <v>000D6890</v>
      </c>
      <c r="B12" s="10" t="s">
        <v>39</v>
      </c>
      <c r="C12" s="11" t="str">
        <f>_xlfn.CONCAT("bhi 0x",A17)</f>
        <v>bhi 0x000D68A4</v>
      </c>
      <c r="D12" s="6"/>
    </row>
    <row r="13" spans="1:4">
      <c r="A13" s="2" t="str">
        <f t="shared" si="0"/>
        <v>000D6894</v>
      </c>
      <c r="B13" s="4" t="s">
        <v>18</v>
      </c>
      <c r="C13" s="2" t="str">
        <f>SUBSTITUTE(C3,"push","pop")</f>
        <v>pop {r4, lr}</v>
      </c>
    </row>
    <row r="14" spans="1:4">
      <c r="A14" s="12" t="str">
        <f t="shared" si="0"/>
        <v>000D6898</v>
      </c>
      <c r="B14" s="13" t="s">
        <v>19</v>
      </c>
      <c r="C14" s="12" t="s">
        <v>30</v>
      </c>
      <c r="D14" s="12" t="s">
        <v>3</v>
      </c>
    </row>
    <row r="15" spans="1:4">
      <c r="A15" s="12" t="str">
        <f t="shared" si="0"/>
        <v>000D689C</v>
      </c>
      <c r="B15" s="13" t="s">
        <v>20</v>
      </c>
      <c r="C15" s="12" t="s">
        <v>31</v>
      </c>
      <c r="D15" s="12"/>
    </row>
    <row r="16" spans="1:4">
      <c r="A16" s="12" t="str">
        <f t="shared" si="0"/>
        <v>000D68A0</v>
      </c>
      <c r="B16" s="13" t="s">
        <v>21</v>
      </c>
      <c r="C16" s="12" t="s">
        <v>32</v>
      </c>
      <c r="D16" s="12"/>
    </row>
    <row r="17" spans="1:5">
      <c r="A17" s="2" t="str">
        <f t="shared" si="0"/>
        <v>000D68A4</v>
      </c>
      <c r="B17" s="4" t="s">
        <v>25</v>
      </c>
      <c r="C17" s="2" t="str">
        <f>SUBSTITUTE(C13,"lr","pc")</f>
        <v>pop {r4, pc}</v>
      </c>
      <c r="D17" s="5"/>
    </row>
    <row r="18" spans="1:5">
      <c r="B18" s="3"/>
      <c r="C18" s="5"/>
      <c r="D18" s="5"/>
    </row>
    <row r="19" spans="1:5">
      <c r="B19" s="3"/>
      <c r="C19" s="5"/>
    </row>
    <row r="20" spans="1:5">
      <c r="C20" s="5"/>
      <c r="D20" s="5"/>
    </row>
    <row r="21" spans="1:5">
      <c r="B21" s="4"/>
      <c r="D21" s="5"/>
    </row>
    <row r="22" spans="1:5">
      <c r="B22" s="4"/>
      <c r="C22" s="5"/>
      <c r="D22" s="5"/>
    </row>
    <row r="23" spans="1:5">
      <c r="B23" s="4"/>
      <c r="C23" s="5"/>
      <c r="D23" s="5"/>
    </row>
    <row r="24" spans="1:5">
      <c r="B24" s="4"/>
      <c r="C24" s="5"/>
      <c r="D24" s="5"/>
    </row>
    <row r="25" spans="1:5">
      <c r="B25" s="4"/>
      <c r="D25" s="5"/>
    </row>
    <row r="26" spans="1:5">
      <c r="B26" s="4"/>
      <c r="C26" s="5"/>
      <c r="D26" s="5"/>
    </row>
    <row r="27" spans="1:5">
      <c r="B27" s="4"/>
      <c r="C27" s="5"/>
      <c r="D27" s="5"/>
    </row>
    <row r="28" spans="1:5">
      <c r="B28" s="4"/>
      <c r="C28" s="5"/>
    </row>
    <row r="29" spans="1:5">
      <c r="B29" s="4"/>
      <c r="D29" s="3"/>
    </row>
    <row r="30" spans="1:5">
      <c r="B30" s="4"/>
      <c r="C30" s="5"/>
      <c r="E30" s="3"/>
    </row>
    <row r="31" spans="1:5">
      <c r="B31" s="4"/>
      <c r="D31" s="3"/>
      <c r="E31" s="3"/>
    </row>
    <row r="32" spans="1:5">
      <c r="B32" s="4"/>
      <c r="D32" s="4"/>
      <c r="E32" s="3"/>
    </row>
    <row r="33" spans="2:5">
      <c r="B33" s="4"/>
      <c r="E33" s="3"/>
    </row>
    <row r="34" spans="2:5">
      <c r="B34" s="4"/>
      <c r="C34" s="5"/>
      <c r="D34" s="3"/>
      <c r="E34" s="3"/>
    </row>
    <row r="35" spans="2:5">
      <c r="B35" s="4"/>
      <c r="C35" s="5"/>
      <c r="D35" s="3"/>
      <c r="E35" s="3"/>
    </row>
    <row r="36" spans="2:5">
      <c r="B36" s="5"/>
      <c r="C36" s="4"/>
      <c r="D36" s="3"/>
      <c r="E36" s="3"/>
    </row>
    <row r="37" spans="2:5">
      <c r="D37" s="3"/>
      <c r="E37" s="3"/>
    </row>
    <row r="42" spans="2:5">
      <c r="B42" s="3"/>
    </row>
    <row r="44" spans="2:5">
      <c r="B44" s="3"/>
    </row>
    <row r="47" spans="2:5">
      <c r="B47" s="3"/>
    </row>
    <row r="48" spans="2:5">
      <c r="B48" s="3"/>
    </row>
    <row r="49" spans="1:2">
      <c r="B49" s="3"/>
    </row>
    <row r="54" spans="1:2">
      <c r="B54" s="3"/>
    </row>
    <row r="58" spans="1:2">
      <c r="B58" s="3"/>
    </row>
    <row r="62" spans="1:2">
      <c r="B62" s="3"/>
    </row>
    <row r="63" spans="1:2">
      <c r="A63" s="1"/>
      <c r="B63" s="3"/>
    </row>
    <row r="68" spans="2:4">
      <c r="D68" s="5"/>
    </row>
    <row r="76" spans="2:4">
      <c r="B76" s="3"/>
    </row>
    <row r="81" spans="2:2">
      <c r="B81" s="3"/>
    </row>
  </sheetData>
  <pageMargins left="0.7" right="0.7" top="0.75" bottom="0.75" header="0.3" footer="0.3"/>
  <pageSetup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73E9FEB-0852-46B5-8AF1-46C154721816}">
  <dimension ref="A1:D28"/>
  <sheetViews>
    <sheetView workbookViewId="0">
      <selection activeCell="D1" sqref="A1:D16"/>
    </sheetView>
  </sheetViews>
  <sheetFormatPr defaultRowHeight="15.9"/>
  <cols>
    <col min="1" max="1" width="11.5" style="2" bestFit="1" customWidth="1"/>
    <col min="2" max="2" width="9.35546875" style="2" bestFit="1" customWidth="1"/>
    <col min="3" max="3" width="32.2109375" style="2" bestFit="1" customWidth="1"/>
    <col min="4" max="4" width="43.140625" style="2" bestFit="1" customWidth="1"/>
    <col min="5" max="16384" width="9.140625" style="2"/>
  </cols>
  <sheetData>
    <row r="1" spans="1:4">
      <c r="A1" s="1" t="s">
        <v>22</v>
      </c>
      <c r="B1" s="3"/>
      <c r="D1" s="1"/>
    </row>
    <row r="2" spans="1:4">
      <c r="A2" s="3" t="s">
        <v>4</v>
      </c>
      <c r="B2" s="2" t="s">
        <v>8</v>
      </c>
      <c r="C2" s="2" t="s">
        <v>5</v>
      </c>
      <c r="D2" s="1"/>
    </row>
    <row r="3" spans="1:4">
      <c r="A3" s="2" t="str">
        <f t="shared" ref="A3:A16" si="0">DEC2HEX(HEX2DEC(A2)+4,8)</f>
        <v>000D6870</v>
      </c>
      <c r="B3" s="2" t="s">
        <v>9</v>
      </c>
      <c r="C3" s="2" t="s">
        <v>6</v>
      </c>
    </row>
    <row r="4" spans="1:4">
      <c r="A4" s="8" t="str">
        <f t="shared" si="0"/>
        <v>000D6874</v>
      </c>
      <c r="B4" s="8" t="s">
        <v>10</v>
      </c>
      <c r="C4" s="8" t="s">
        <v>23</v>
      </c>
      <c r="D4" s="8" t="s">
        <v>28</v>
      </c>
    </row>
    <row r="5" spans="1:4">
      <c r="A5" s="8" t="str">
        <f t="shared" si="0"/>
        <v>000D6878</v>
      </c>
      <c r="B5" s="8" t="s">
        <v>11</v>
      </c>
      <c r="C5" s="8" t="s">
        <v>24</v>
      </c>
      <c r="D5" s="8"/>
    </row>
    <row r="6" spans="1:4">
      <c r="A6" s="8" t="str">
        <f t="shared" si="0"/>
        <v>000D687C</v>
      </c>
      <c r="B6" s="9" t="s">
        <v>12</v>
      </c>
      <c r="C6" s="8" t="s">
        <v>7</v>
      </c>
      <c r="D6" s="8"/>
    </row>
    <row r="7" spans="1:4">
      <c r="A7" s="8" t="str">
        <f t="shared" si="0"/>
        <v>000D6880</v>
      </c>
      <c r="B7" s="9" t="s">
        <v>13</v>
      </c>
      <c r="C7" s="8" t="str">
        <f>_xlfn.CONCAT("bne 0x",A16)</f>
        <v>bne 0x000D68A4</v>
      </c>
      <c r="D7" s="8"/>
    </row>
    <row r="8" spans="1:4">
      <c r="A8" s="6" t="str">
        <f t="shared" si="0"/>
        <v>000D6884</v>
      </c>
      <c r="B8" s="6" t="s">
        <v>14</v>
      </c>
      <c r="C8" s="6" t="s">
        <v>26</v>
      </c>
      <c r="D8" s="6" t="s">
        <v>29</v>
      </c>
    </row>
    <row r="9" spans="1:4">
      <c r="A9" s="6" t="str">
        <f t="shared" si="0"/>
        <v>000D6888</v>
      </c>
      <c r="B9" s="6" t="s">
        <v>15</v>
      </c>
      <c r="C9" s="6" t="s">
        <v>24</v>
      </c>
      <c r="D9" s="6"/>
    </row>
    <row r="10" spans="1:4">
      <c r="A10" s="6" t="str">
        <f t="shared" si="0"/>
        <v>000D688C</v>
      </c>
      <c r="B10" s="7" t="s">
        <v>16</v>
      </c>
      <c r="C10" s="6" t="s">
        <v>27</v>
      </c>
      <c r="D10" s="6"/>
    </row>
    <row r="11" spans="1:4">
      <c r="A11" s="6" t="str">
        <f t="shared" si="0"/>
        <v>000D6890</v>
      </c>
      <c r="B11" s="10" t="s">
        <v>17</v>
      </c>
      <c r="C11" s="11" t="str">
        <f>_xlfn.CONCAT("bne 0x",A16)</f>
        <v>bne 0x000D68A4</v>
      </c>
      <c r="D11" s="6"/>
    </row>
    <row r="12" spans="1:4">
      <c r="A12" s="2" t="str">
        <f t="shared" si="0"/>
        <v>000D6894</v>
      </c>
      <c r="B12" s="4" t="s">
        <v>18</v>
      </c>
      <c r="C12" s="2" t="str">
        <f>SUBSTITUTE(C2,"push","pop")</f>
        <v>pop {r4, lr}</v>
      </c>
    </row>
    <row r="13" spans="1:4">
      <c r="A13" s="12" t="str">
        <f t="shared" si="0"/>
        <v>000D6898</v>
      </c>
      <c r="B13" s="13" t="s">
        <v>19</v>
      </c>
      <c r="C13" s="12" t="s">
        <v>30</v>
      </c>
      <c r="D13" s="12" t="s">
        <v>3</v>
      </c>
    </row>
    <row r="14" spans="1:4">
      <c r="A14" s="12" t="str">
        <f t="shared" si="0"/>
        <v>000D689C</v>
      </c>
      <c r="B14" s="13" t="s">
        <v>20</v>
      </c>
      <c r="C14" s="12" t="s">
        <v>31</v>
      </c>
      <c r="D14" s="12"/>
    </row>
    <row r="15" spans="1:4">
      <c r="A15" s="12" t="str">
        <f t="shared" si="0"/>
        <v>000D68A0</v>
      </c>
      <c r="B15" s="13" t="s">
        <v>21</v>
      </c>
      <c r="C15" s="12" t="s">
        <v>32</v>
      </c>
      <c r="D15" s="12"/>
    </row>
    <row r="16" spans="1:4">
      <c r="A16" s="2" t="str">
        <f t="shared" si="0"/>
        <v>000D68A4</v>
      </c>
      <c r="B16" s="4" t="s">
        <v>25</v>
      </c>
      <c r="C16" s="2" t="str">
        <f>SUBSTITUTE(C12,"lr","pc")</f>
        <v>pop {r4, pc}</v>
      </c>
      <c r="D16" s="5"/>
    </row>
    <row r="17" spans="2:3">
      <c r="B17" s="4"/>
      <c r="C17" s="5"/>
    </row>
    <row r="18" spans="2:3">
      <c r="B18" s="4"/>
      <c r="C18" s="5"/>
    </row>
    <row r="19" spans="2:3">
      <c r="B19" s="4"/>
      <c r="C19" s="5"/>
    </row>
    <row r="20" spans="2:3">
      <c r="B20" s="4"/>
    </row>
    <row r="23" spans="2:3">
      <c r="B23" s="3"/>
    </row>
    <row r="26" spans="2:3">
      <c r="B26" s="3"/>
    </row>
    <row r="28" spans="2:3">
      <c r="B28" s="3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Corrosion</vt:lpstr>
      <vt:lpstr>Original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Aryeh Baruch</dc:creator>
  <cp:lastModifiedBy>Andrew Baruch</cp:lastModifiedBy>
  <dcterms:created xsi:type="dcterms:W3CDTF">2024-11-26T03:26:41Z</dcterms:created>
  <dcterms:modified xsi:type="dcterms:W3CDTF">2026-06-18T18:37:20Z</dcterms:modified>
</cp:coreProperties>
</file>