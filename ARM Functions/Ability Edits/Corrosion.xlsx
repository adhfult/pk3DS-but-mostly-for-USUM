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C515AC98-4933-426E-9B3C-0227A0976D54}" xr6:coauthVersionLast="47" xr6:coauthVersionMax="47" xr10:uidLastSave="{00000000-0000-0000-0000-000000000000}"/>
  <bookViews>
    <workbookView xWindow="16457" yWindow="0" windowWidth="16457" windowHeight="17914" xr2:uid="{FFF8744C-F0B4-428F-8CA7-718350CADE02}"/>
  </bookViews>
  <sheets>
    <sheet name="Corrosio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6" l="1"/>
  <c r="C22" i="6" s="1"/>
  <c r="A4" i="6" l="1"/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C17" i="6" l="1"/>
  <c r="C9" i="6"/>
  <c r="C13" i="6"/>
</calcChain>
</file>

<file path=xl/sharedStrings.xml><?xml version="1.0" encoding="utf-8"?>
<sst xmlns="http://schemas.openxmlformats.org/spreadsheetml/2006/main" count="45" uniqueCount="43">
  <si>
    <t>Address</t>
  </si>
  <si>
    <t>Hex</t>
  </si>
  <si>
    <t>instruction</t>
  </si>
  <si>
    <t>0300A0E3</t>
  </si>
  <si>
    <t>mov r4, r2</t>
  </si>
  <si>
    <t>cmp r0, r4</t>
  </si>
  <si>
    <t>0240A0E1</t>
  </si>
  <si>
    <t>040050E1</t>
  </si>
  <si>
    <t xml:space="preserve">bl 0x00087B58 </t>
  </si>
  <si>
    <t>b 0x00082D44</t>
  </si>
  <si>
    <t>mov r0, 0x18</t>
  </si>
  <si>
    <t>mov r0, 0x03</t>
  </si>
  <si>
    <t>1800A0E3</t>
  </si>
  <si>
    <t>cmp r0, 0x3</t>
  </si>
  <si>
    <t>mov r5, r1</t>
  </si>
  <si>
    <t>push {r4, r5, r6, lr}</t>
  </si>
  <si>
    <t>cmp r0, 0x8</t>
  </si>
  <si>
    <t>70402DE9</t>
  </si>
  <si>
    <t>0150A0E1</t>
  </si>
  <si>
    <t>E327FEEB</t>
  </si>
  <si>
    <t>DF27FEEB</t>
  </si>
  <si>
    <t>030050E3</t>
  </si>
  <si>
    <t>DB27FEEB</t>
  </si>
  <si>
    <t>080050E3</t>
  </si>
  <si>
    <t>7040BDE8</t>
  </si>
  <si>
    <t>7080BDE8</t>
  </si>
  <si>
    <t>000FDBB4</t>
  </si>
  <si>
    <t>mov r0, 0x19</t>
  </si>
  <si>
    <t>1900A0E3</t>
  </si>
  <si>
    <t>0B00001A</t>
  </si>
  <si>
    <t>0700001A</t>
  </si>
  <si>
    <t>0300001A</t>
  </si>
  <si>
    <t>5014FEEA</t>
  </si>
  <si>
    <t>Neutral on Steel 0x4E/0x4F</t>
  </si>
  <si>
    <t>get current Type (1/2 from phase 4E/4F)</t>
  </si>
  <si>
    <t>Check that that Type is Steel</t>
  </si>
  <si>
    <t>Check that Move Type is Poison</t>
  </si>
  <si>
    <t>Check Attacking</t>
  </si>
  <si>
    <t>mov r0, 0x50</t>
  </si>
  <si>
    <t>mov r1, 0x1</t>
  </si>
  <si>
    <t>Ignore Immunity</t>
  </si>
  <si>
    <t>0110A0E3</t>
  </si>
  <si>
    <t>5000A0E3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</si>
</sst>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6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3" fillId="3" borderId="0" xfId="0" quotePrefix="1" applyFont="1" applyFill="1"/>
    <xf numFmtId="0" fontId="3" fillId="3" borderId="0" xfId="0" applyFont="1" applyFill="1"/>
    <xf numFmtId="0" fontId="2" fillId="4" borderId="0" xfId="0" applyFont="1" applyFill="1"/>
    <xf numFmtId="0" fontId="3" fillId="4" borderId="0" xfId="0" quotePrefix="1" applyFont="1" applyFill="1"/>
    <xf numFmtId="0" fontId="2" fillId="5" borderId="0" xfId="0" applyFont="1" applyFill="1"/>
    <xf numFmtId="0" fontId="3" fillId="5" borderId="0" xfId="0" quotePrefix="1" applyFont="1" applyFill="1"/>
    <xf numFmtId="0" fontId="3" fillId="0" borderId="0" xfId="0" quotePrefix="1" applyFont="1"/>
    <xf numFmtId="0" fontId="3" fillId="0" borderId="0" xfId="0" applyFont="1"/>
    <xf numFmtId="0" fontId="2" fillId="6" borderId="0" xfId="0" applyFont="1" applyFill="1"/>
    <xf numFmtId="0" fontId="3" fillId="6" borderId="0" xfId="0" quotePrefix="1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H127"/>
  <sheetViews>
    <sheetView tabSelected="1" zoomScale="85" zoomScaleNormal="85" workbookViewId="0">
      <pane ySplit="1" topLeftCell="A2" activePane="bottomLeft" state="frozen"/>
      <selection pane="bottomLeft" activeCell="C2" sqref="C2"/>
    </sheetView>
  </sheetViews>
  <sheetFormatPr defaultRowHeight="15.9"/>
  <cols>
    <col min="1" max="1" width="9.42578125" style="2" customWidth="1"/>
    <col min="2" max="2" width="9.7109375" style="2" bestFit="1" customWidth="1"/>
    <col min="3" max="3" width="19.78515625" style="2" customWidth="1"/>
    <col min="4" max="4" width="47.28515625" style="2" customWidth="1"/>
    <col min="5" max="6" width="12.7109375" style="2" customWidth="1"/>
    <col min="7" max="7" width="13.5703125" style="2" customWidth="1"/>
    <col min="8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33</v>
      </c>
      <c r="B2" s="3"/>
      <c r="D2" s="1"/>
    </row>
    <row r="3" spans="1:4">
      <c r="A3" s="3" t="s">
        <v>26</v>
      </c>
      <c r="B3" s="2" t="s">
        <v>17</v>
      </c>
      <c r="C3" s="2" t="s">
        <v>15</v>
      </c>
      <c r="D3" s="1"/>
    </row>
    <row r="4" spans="1:4">
      <c r="A4" s="2" t="str">
        <f t="shared" ref="A4:A22" si="0">DEC2HEX(HEX2DEC(A3)+4,8)</f>
        <v>000FDBB8</v>
      </c>
      <c r="B4" s="2" t="s">
        <v>6</v>
      </c>
      <c r="C4" s="2" t="s">
        <v>4</v>
      </c>
    </row>
    <row r="5" spans="1:4">
      <c r="A5" s="2" t="str">
        <f t="shared" si="0"/>
        <v>000FDBBC</v>
      </c>
      <c r="B5" s="2" t="s">
        <v>18</v>
      </c>
      <c r="C5" s="2" t="s">
        <v>14</v>
      </c>
    </row>
    <row r="6" spans="1:4">
      <c r="A6" s="4" t="str">
        <f t="shared" si="0"/>
        <v>000FDBC0</v>
      </c>
      <c r="B6" s="4" t="s">
        <v>3</v>
      </c>
      <c r="C6" s="4" t="s">
        <v>11</v>
      </c>
      <c r="D6" s="4" t="s">
        <v>37</v>
      </c>
    </row>
    <row r="7" spans="1:4">
      <c r="A7" s="4" t="str">
        <f t="shared" si="0"/>
        <v>000FDBC4</v>
      </c>
      <c r="B7" s="5" t="s">
        <v>19</v>
      </c>
      <c r="C7" s="4" t="s">
        <v>8</v>
      </c>
      <c r="D7" s="4"/>
    </row>
    <row r="8" spans="1:4">
      <c r="A8" s="4" t="str">
        <f t="shared" si="0"/>
        <v>000FDBC8</v>
      </c>
      <c r="B8" s="5" t="s">
        <v>7</v>
      </c>
      <c r="C8" s="4" t="s">
        <v>5</v>
      </c>
      <c r="D8" s="4"/>
    </row>
    <row r="9" spans="1:4">
      <c r="A9" s="4" t="str">
        <f t="shared" si="0"/>
        <v>000FDBCC</v>
      </c>
      <c r="B9" s="4" t="s">
        <v>29</v>
      </c>
      <c r="C9" s="4" t="str">
        <f>_xlfn.CONCAT("bne 0x",A$22)</f>
        <v>bne 0x000FDC00</v>
      </c>
      <c r="D9" s="4"/>
    </row>
    <row r="10" spans="1:4">
      <c r="A10" s="6" t="str">
        <f t="shared" si="0"/>
        <v>000FDBD0</v>
      </c>
      <c r="B10" s="6" t="s">
        <v>28</v>
      </c>
      <c r="C10" s="6" t="s">
        <v>27</v>
      </c>
      <c r="D10" s="6" t="s">
        <v>36</v>
      </c>
    </row>
    <row r="11" spans="1:4">
      <c r="A11" s="6" t="str">
        <f t="shared" si="0"/>
        <v>000FDBD4</v>
      </c>
      <c r="B11" s="7" t="s">
        <v>20</v>
      </c>
      <c r="C11" s="6" t="s">
        <v>8</v>
      </c>
      <c r="D11" s="6"/>
    </row>
    <row r="12" spans="1:4">
      <c r="A12" s="6" t="str">
        <f t="shared" si="0"/>
        <v>000FDBD8</v>
      </c>
      <c r="B12" s="8" t="s">
        <v>21</v>
      </c>
      <c r="C12" s="9" t="s">
        <v>13</v>
      </c>
      <c r="D12" s="6"/>
    </row>
    <row r="13" spans="1:4">
      <c r="A13" s="6" t="str">
        <f t="shared" si="0"/>
        <v>000FDBDC</v>
      </c>
      <c r="B13" s="8" t="s">
        <v>30</v>
      </c>
      <c r="C13" s="6" t="str">
        <f>_xlfn.CONCAT("bne 0x",A$22)</f>
        <v>bne 0x000FDC00</v>
      </c>
      <c r="D13" s="6"/>
    </row>
    <row r="14" spans="1:4">
      <c r="A14" s="10" t="str">
        <f t="shared" si="0"/>
        <v>000FDBE0</v>
      </c>
      <c r="B14" s="11" t="s">
        <v>12</v>
      </c>
      <c r="C14" s="10" t="s">
        <v>10</v>
      </c>
      <c r="D14" s="10" t="s">
        <v>34</v>
      </c>
    </row>
    <row r="15" spans="1:4">
      <c r="A15" s="10" t="str">
        <f t="shared" si="0"/>
        <v>000FDBE4</v>
      </c>
      <c r="B15" s="11" t="s">
        <v>22</v>
      </c>
      <c r="C15" s="10" t="s">
        <v>8</v>
      </c>
      <c r="D15" s="10"/>
    </row>
    <row r="16" spans="1:4">
      <c r="A16" s="12" t="str">
        <f t="shared" si="0"/>
        <v>000FDBE8</v>
      </c>
      <c r="B16" s="13" t="s">
        <v>23</v>
      </c>
      <c r="C16" s="12" t="s">
        <v>16</v>
      </c>
      <c r="D16" s="12" t="s">
        <v>35</v>
      </c>
    </row>
    <row r="17" spans="1:8">
      <c r="A17" s="12" t="str">
        <f t="shared" si="0"/>
        <v>000FDBEC</v>
      </c>
      <c r="B17" s="13" t="s">
        <v>31</v>
      </c>
      <c r="C17" s="12" t="str">
        <f>_xlfn.CONCAT("bne 0x",A$22)</f>
        <v>bne 0x000FDC00</v>
      </c>
      <c r="D17" s="12"/>
    </row>
    <row r="18" spans="1:8">
      <c r="A18" s="2" t="str">
        <f t="shared" si="0"/>
        <v>000FDBF0</v>
      </c>
      <c r="B18" s="14" t="s">
        <v>24</v>
      </c>
      <c r="C18" s="15" t="str">
        <f>SUBSTITUTE(C3,"push","pop")</f>
        <v>pop {r4, r5, r6, lr}</v>
      </c>
    </row>
    <row r="19" spans="1:8">
      <c r="A19" s="16" t="str">
        <f t="shared" si="0"/>
        <v>000FDBF4</v>
      </c>
      <c r="B19" s="17" t="s">
        <v>41</v>
      </c>
      <c r="C19" s="18" t="s">
        <v>39</v>
      </c>
      <c r="D19" s="16" t="s">
        <v>40</v>
      </c>
    </row>
    <row r="20" spans="1:8">
      <c r="A20" s="16" t="str">
        <f t="shared" si="0"/>
        <v>000FDBF8</v>
      </c>
      <c r="B20" s="17" t="s">
        <v>42</v>
      </c>
      <c r="C20" s="18" t="s">
        <v>38</v>
      </c>
      <c r="D20" s="16"/>
    </row>
    <row r="21" spans="1:8">
      <c r="A21" s="16" t="str">
        <f t="shared" si="0"/>
        <v>000FDBFC</v>
      </c>
      <c r="B21" s="17" t="s">
        <v>32</v>
      </c>
      <c r="C21" s="16" t="s">
        <v>9</v>
      </c>
      <c r="D21" s="16"/>
      <c r="G21" s="14"/>
    </row>
    <row r="22" spans="1:8">
      <c r="A22" s="2" t="str">
        <f t="shared" si="0"/>
        <v>000FDC00</v>
      </c>
      <c r="B22" s="2" t="s">
        <v>25</v>
      </c>
      <c r="C22" s="2" t="str">
        <f>SUBSTITUTE(C18,"lr","pc")</f>
        <v>pop {r4, r5, r6, pc}</v>
      </c>
      <c r="G22" s="15"/>
    </row>
    <row r="23" spans="1:8">
      <c r="B23" s="3"/>
      <c r="C23" s="15"/>
      <c r="G23" s="14"/>
    </row>
    <row r="24" spans="1:8">
      <c r="B24" s="3"/>
      <c r="C24" s="15"/>
      <c r="G24" s="15"/>
    </row>
    <row r="25" spans="1:8">
      <c r="B25" s="3"/>
      <c r="C25" s="15"/>
      <c r="G25" s="14"/>
    </row>
    <row r="26" spans="1:8">
      <c r="C26" s="15"/>
      <c r="G26" s="14"/>
      <c r="H26" s="14"/>
    </row>
    <row r="27" spans="1:8">
      <c r="B27" s="14"/>
      <c r="G27" s="14"/>
    </row>
    <row r="28" spans="1:8">
      <c r="B28" s="14"/>
      <c r="C28" s="14"/>
      <c r="G28" s="14"/>
    </row>
    <row r="29" spans="1:8">
      <c r="B29" s="14"/>
      <c r="C29" s="14"/>
      <c r="G29" s="3"/>
    </row>
    <row r="30" spans="1:8">
      <c r="B30" s="14"/>
      <c r="C30" s="14"/>
      <c r="G30" s="3"/>
    </row>
    <row r="31" spans="1:8">
      <c r="B31" s="14"/>
      <c r="C31" s="14"/>
      <c r="G31" s="3"/>
    </row>
    <row r="32" spans="1:8">
      <c r="B32" s="14"/>
      <c r="C32" s="14"/>
      <c r="G32" s="3"/>
    </row>
    <row r="33" spans="2:7">
      <c r="B33" s="14"/>
      <c r="C33" s="14"/>
      <c r="G33" s="3"/>
    </row>
    <row r="34" spans="2:7">
      <c r="B34" s="14"/>
      <c r="C34" s="14"/>
      <c r="G34" s="3"/>
    </row>
    <row r="35" spans="2:7">
      <c r="B35" s="14"/>
      <c r="C35" s="15"/>
      <c r="G35" s="3"/>
    </row>
    <row r="36" spans="2:7">
      <c r="B36" s="14"/>
      <c r="C36" s="15"/>
    </row>
    <row r="37" spans="2:7">
      <c r="B37" s="14"/>
    </row>
    <row r="38" spans="2:7">
      <c r="B38" s="14"/>
    </row>
    <row r="39" spans="2:7">
      <c r="B39" s="14"/>
    </row>
    <row r="40" spans="2:7">
      <c r="B40" s="14"/>
      <c r="C40" s="15"/>
    </row>
    <row r="41" spans="2:7">
      <c r="B41" s="14"/>
      <c r="C41" s="15"/>
    </row>
    <row r="42" spans="2:7">
      <c r="B42" s="14"/>
      <c r="C42" s="15"/>
    </row>
    <row r="43" spans="2:7">
      <c r="B43" s="14"/>
    </row>
    <row r="44" spans="2:7">
      <c r="B44" s="3"/>
    </row>
    <row r="45" spans="2:7">
      <c r="B45" s="15"/>
    </row>
    <row r="46" spans="2:7">
      <c r="B46" s="15"/>
      <c r="C46" s="14"/>
    </row>
    <row r="49" spans="1:4">
      <c r="B49" s="14"/>
      <c r="D49" s="15"/>
    </row>
    <row r="50" spans="1:4">
      <c r="A50" s="1"/>
      <c r="B50" s="1"/>
      <c r="C50" s="1"/>
      <c r="D50" s="15"/>
    </row>
    <row r="51" spans="1:4">
      <c r="B51" s="3"/>
      <c r="D51" s="15"/>
    </row>
    <row r="52" spans="1:4">
      <c r="D52" s="15"/>
    </row>
    <row r="53" spans="1:4">
      <c r="D53" s="15"/>
    </row>
    <row r="54" spans="1:4">
      <c r="D54" s="15"/>
    </row>
    <row r="55" spans="1:4">
      <c r="B55" s="3"/>
      <c r="D55" s="15"/>
    </row>
    <row r="56" spans="1:4">
      <c r="B56" s="14"/>
      <c r="C56" s="15"/>
      <c r="D56" s="15"/>
    </row>
    <row r="57" spans="1:4">
      <c r="B57" s="14"/>
      <c r="C57" s="15"/>
      <c r="D57" s="15"/>
    </row>
    <row r="58" spans="1:4">
      <c r="B58" s="14"/>
      <c r="C58" s="15"/>
      <c r="D58" s="15"/>
    </row>
    <row r="59" spans="1:4">
      <c r="B59" s="14"/>
      <c r="D59" s="15"/>
    </row>
    <row r="60" spans="1:4">
      <c r="B60" s="14"/>
      <c r="C60" s="15"/>
      <c r="D60" s="15"/>
    </row>
    <row r="61" spans="1:4">
      <c r="B61" s="14"/>
      <c r="D61" s="15"/>
    </row>
    <row r="62" spans="1:4">
      <c r="D62" s="15"/>
    </row>
    <row r="63" spans="1:4">
      <c r="B63" s="3"/>
      <c r="D63" s="15"/>
    </row>
    <row r="64" spans="1:4">
      <c r="B64" s="3"/>
      <c r="C64" s="15"/>
      <c r="D64" s="15"/>
    </row>
    <row r="65" spans="2:5">
      <c r="B65" s="3"/>
      <c r="C65" s="15"/>
    </row>
    <row r="66" spans="2:5">
      <c r="C66" s="15"/>
      <c r="D66" s="15"/>
    </row>
    <row r="67" spans="2:5">
      <c r="B67" s="14"/>
      <c r="D67" s="15"/>
    </row>
    <row r="68" spans="2:5">
      <c r="B68" s="14"/>
      <c r="C68" s="15"/>
      <c r="D68" s="15"/>
    </row>
    <row r="69" spans="2:5">
      <c r="B69" s="14"/>
      <c r="C69" s="15"/>
      <c r="D69" s="15"/>
    </row>
    <row r="70" spans="2:5">
      <c r="B70" s="14"/>
      <c r="C70" s="15"/>
      <c r="D70" s="15"/>
    </row>
    <row r="71" spans="2:5">
      <c r="B71" s="14"/>
      <c r="D71" s="15"/>
    </row>
    <row r="72" spans="2:5">
      <c r="B72" s="14"/>
      <c r="C72" s="15"/>
      <c r="D72" s="15"/>
    </row>
    <row r="73" spans="2:5">
      <c r="B73" s="14"/>
      <c r="C73" s="15"/>
      <c r="D73" s="15"/>
    </row>
    <row r="74" spans="2:5">
      <c r="B74" s="14"/>
      <c r="C74" s="15"/>
    </row>
    <row r="75" spans="2:5">
      <c r="B75" s="14"/>
      <c r="D75" s="3"/>
    </row>
    <row r="76" spans="2:5">
      <c r="B76" s="14"/>
      <c r="C76" s="15"/>
      <c r="E76" s="3"/>
    </row>
    <row r="77" spans="2:5">
      <c r="B77" s="14"/>
      <c r="D77" s="3"/>
      <c r="E77" s="3"/>
    </row>
    <row r="78" spans="2:5">
      <c r="B78" s="14"/>
      <c r="D78" s="14"/>
      <c r="E78" s="3"/>
    </row>
    <row r="79" spans="2:5">
      <c r="B79" s="14"/>
      <c r="E79" s="3"/>
    </row>
    <row r="80" spans="2:5">
      <c r="B80" s="14"/>
      <c r="C80" s="15"/>
      <c r="D80" s="3"/>
      <c r="E80" s="3"/>
    </row>
    <row r="81" spans="2:5">
      <c r="B81" s="14"/>
      <c r="C81" s="15"/>
      <c r="D81" s="3"/>
      <c r="E81" s="3"/>
    </row>
    <row r="82" spans="2:5">
      <c r="B82" s="15"/>
      <c r="C82" s="14"/>
      <c r="D82" s="3"/>
      <c r="E82" s="3"/>
    </row>
    <row r="83" spans="2:5">
      <c r="D83" s="3"/>
      <c r="E83" s="3"/>
    </row>
    <row r="88" spans="2:5">
      <c r="B88" s="3"/>
    </row>
    <row r="90" spans="2:5">
      <c r="B90" s="3"/>
    </row>
    <row r="93" spans="2:5">
      <c r="B93" s="3"/>
    </row>
    <row r="94" spans="2:5">
      <c r="B94" s="3"/>
    </row>
    <row r="95" spans="2:5">
      <c r="B95" s="3"/>
    </row>
    <row r="100" spans="1:2">
      <c r="B100" s="3"/>
    </row>
    <row r="104" spans="1:2">
      <c r="B104" s="3"/>
    </row>
    <row r="108" spans="1:2">
      <c r="B108" s="3"/>
    </row>
    <row r="109" spans="1:2">
      <c r="A109" s="1"/>
      <c r="B109" s="3"/>
    </row>
    <row r="114" spans="2:4">
      <c r="D114" s="15"/>
    </row>
    <row r="122" spans="2:4">
      <c r="B122" s="3"/>
    </row>
    <row r="127" spans="2:4">
      <c r="B12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Corrosion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2026-06-11T07:00:08Z</dcterms:modified>
</cp:coreProperties>
</file>