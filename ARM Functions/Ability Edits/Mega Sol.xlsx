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48CE2064-97B7-47B7-AF1B-17D50354B0A7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edit" sheetId="13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3" l="1"/>
  <c r="A13" i="13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C40" i="13" l="1"/>
  <c r="A4" i="13" l="1"/>
  <c r="A5" i="13" s="1"/>
  <c r="A6" i="13" s="1"/>
  <c r="A7" i="13" s="1"/>
  <c r="B3" i="13"/>
  <c r="A43" i="13" l="1"/>
  <c r="C18" i="13" s="1"/>
</calcChain>
</file>

<file path=xl/sharedStrings.xml><?xml version="1.0" encoding="utf-8"?>
<sst xmlns="http://schemas.openxmlformats.org/spreadsheetml/2006/main" count="86" uniqueCount="73">
  <si>
    <t>Address</t>
  </si>
  <si>
    <t>Hex</t>
  </si>
  <si>
    <t>instruction</t>
  </si>
  <si>
    <t>00000000</t>
  </si>
  <si>
    <t>str r1, [r0]</t>
  </si>
  <si>
    <t>bx lr</t>
  </si>
  <si>
    <t>ldr r0, [pc]</t>
  </si>
  <si>
    <t>andeq r0, r0, r0</t>
  </si>
  <si>
    <t>001080E5</t>
  </si>
  <si>
    <t>00009FE5</t>
  </si>
  <si>
    <t>1EFF2FE1</t>
  </si>
  <si>
    <t>Comment</t>
  </si>
  <si>
    <t>mov r1, 0x2</t>
  </si>
  <si>
    <t>All effects other than entry text are attached to the respective functions</t>
  </si>
  <si>
    <t>mov r5, r0</t>
  </si>
  <si>
    <t>mov r2, r4</t>
  </si>
  <si>
    <t>mov r1, r5</t>
  </si>
  <si>
    <t>mov r0, 0x2</t>
  </si>
  <si>
    <t>mov r1, 0x1</t>
  </si>
  <si>
    <t>mov r1, 0x3</t>
  </si>
  <si>
    <t>add r0, r0, 0x4</t>
  </si>
  <si>
    <t>add r0, r5, 0x4</t>
  </si>
  <si>
    <t>bl 0x00087B58</t>
  </si>
  <si>
    <t>Check self</t>
  </si>
  <si>
    <t>bl 0x00089E28</t>
  </si>
  <si>
    <t>bl 0x000876F8</t>
  </si>
  <si>
    <t>Set text string</t>
  </si>
  <si>
    <t>bl 0x0007F804</t>
  </si>
  <si>
    <t>b 0x00089E28</t>
  </si>
  <si>
    <t>Display Ability banner</t>
  </si>
  <si>
    <t>Stop displaying Ability banner</t>
  </si>
  <si>
    <t>Get text pointer</t>
  </si>
  <si>
    <t>bl 0x00089C6C</t>
  </si>
  <si>
    <t>Set own name for variable</t>
  </si>
  <si>
    <t>Print text</t>
  </si>
  <si>
    <t>mov r2, 0x820</t>
  </si>
  <si>
    <t>Mega Sol display text on entry 0x6D/0xA7</t>
  </si>
  <si>
    <t>mov r4, r2</t>
  </si>
  <si>
    <t>cmp r0, r4</t>
  </si>
  <si>
    <t>mov r1, r4</t>
  </si>
  <si>
    <t>mov r6, r1</t>
  </si>
  <si>
    <t>mov r0, r6</t>
  </si>
  <si>
    <t>push {r4, r5, r6, lr}</t>
  </si>
  <si>
    <t>0010351C</t>
  </si>
  <si>
    <t>70402DE9</t>
  </si>
  <si>
    <t>0160A0E1</t>
  </si>
  <si>
    <t>0240A0E1</t>
  </si>
  <si>
    <t>0200A0E3</t>
  </si>
  <si>
    <t>8911FEEB</t>
  </si>
  <si>
    <t>040050E1</t>
  </si>
  <si>
    <t>1700001A</t>
  </si>
  <si>
    <t>0420A0E1</t>
  </si>
  <si>
    <t>0110A0E3</t>
  </si>
  <si>
    <t>0600A0E1</t>
  </si>
  <si>
    <t>371AFEEB</t>
  </si>
  <si>
    <t>0310A0E3</t>
  </si>
  <si>
    <t>6710FEEB</t>
  </si>
  <si>
    <t>0050A0E1</t>
  </si>
  <si>
    <t>822EA0E3</t>
  </si>
  <si>
    <t>0210A0E3</t>
  </si>
  <si>
    <t>040080E2</t>
  </si>
  <si>
    <t>BF19FEEB</t>
  </si>
  <si>
    <t>0410A0E1</t>
  </si>
  <si>
    <t>040085E2</t>
  </si>
  <si>
    <t>A2F0FDEB</t>
  </si>
  <si>
    <t>0510A0E1</t>
  </si>
  <si>
    <t>DBE5FDEB</t>
  </si>
  <si>
    <t>7040BDE8</t>
  </si>
  <si>
    <t>231AFEEA</t>
  </si>
  <si>
    <t>000FDE14</t>
  </si>
  <si>
    <t>Mega Sol Call Function</t>
  </si>
  <si>
    <t>7080BDE8</t>
  </si>
  <si>
    <t>bl 0x0007CCF4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</si>
</sst>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6" borderId="0" xfId="0" quotePrefix="1" applyFont="1" applyFill="1"/>
    <xf numFmtId="0" fontId="2" fillId="7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E9E0-357D-4159-9AD8-09B8F8CC188E}">
  <dimension ref="A1:D43"/>
  <sheetViews>
    <sheetView tabSelected="1" zoomScaleNormal="100" workbookViewId="0">
      <pane ySplit="1" topLeftCell="A11" activePane="bottomLeft" state="frozen"/>
      <selection pane="bottomLeft" activeCell="C38" sqref="C38"/>
    </sheetView>
  </sheetViews>
  <sheetFormatPr defaultColWidth="9.0703125" defaultRowHeight="15.9"/>
  <cols>
    <col min="1" max="1" width="12" style="2" customWidth="1"/>
    <col min="2" max="2" width="9.35546875" style="2" bestFit="1" customWidth="1"/>
    <col min="3" max="3" width="32.2109375" style="2" bestFit="1" customWidth="1"/>
    <col min="4" max="4" width="33.35546875" style="2" bestFit="1" customWidth="1"/>
    <col min="5" max="5" width="12.7109375" style="2" customWidth="1"/>
    <col min="6" max="6" width="17.140625" style="2" customWidth="1"/>
    <col min="7" max="7" width="13.5703125" style="2" customWidth="1"/>
    <col min="8" max="16384" width="9.0703125" style="2"/>
  </cols>
  <sheetData>
    <row r="1" spans="1:4">
      <c r="A1" s="1" t="s">
        <v>0</v>
      </c>
      <c r="B1" s="1" t="s">
        <v>1</v>
      </c>
      <c r="C1" s="1" t="s">
        <v>2</v>
      </c>
      <c r="D1" s="1" t="s">
        <v>11</v>
      </c>
    </row>
    <row r="2" spans="1:4">
      <c r="A2" s="1" t="s">
        <v>70</v>
      </c>
      <c r="B2" s="1"/>
      <c r="C2" s="1"/>
      <c r="D2" s="1"/>
    </row>
    <row r="3" spans="1:4">
      <c r="A3" s="3" t="s">
        <v>69</v>
      </c>
      <c r="B3" s="2" t="str">
        <f>_xlfn.CONCAT("0",RIGHT(C3,1),"10A0E3")</f>
        <v>0210A0E3</v>
      </c>
      <c r="C3" s="2" t="s">
        <v>12</v>
      </c>
      <c r="D3" s="1"/>
    </row>
    <row r="4" spans="1:4">
      <c r="A4" s="2" t="str">
        <f t="shared" ref="A4:A6" si="0">DEC2HEX(HEX2DEC(A3)+4,8)</f>
        <v>000FDE18</v>
      </c>
      <c r="B4" s="3" t="s">
        <v>8</v>
      </c>
      <c r="C4" s="2" t="s">
        <v>4</v>
      </c>
      <c r="D4" s="1"/>
    </row>
    <row r="5" spans="1:4">
      <c r="A5" s="2" t="str">
        <f t="shared" si="0"/>
        <v>000FDE1C</v>
      </c>
      <c r="B5" s="2" t="s">
        <v>9</v>
      </c>
      <c r="C5" s="2" t="s">
        <v>6</v>
      </c>
      <c r="D5" s="1"/>
    </row>
    <row r="6" spans="1:4">
      <c r="A6" s="2" t="str">
        <f t="shared" si="0"/>
        <v>000FDE20</v>
      </c>
      <c r="B6" s="2" t="s">
        <v>10</v>
      </c>
      <c r="C6" s="2" t="s">
        <v>5</v>
      </c>
      <c r="D6" s="1"/>
    </row>
    <row r="7" spans="1:4">
      <c r="A7" s="2" t="str">
        <f>DEC2HEX(HEX2DEC(A6)+4,8)</f>
        <v>000FDE24</v>
      </c>
      <c r="B7" s="3" t="s">
        <v>3</v>
      </c>
      <c r="C7" s="2" t="s">
        <v>7</v>
      </c>
      <c r="D7" s="1"/>
    </row>
    <row r="9" spans="1:4">
      <c r="A9" s="2" t="s">
        <v>13</v>
      </c>
    </row>
    <row r="11" spans="1:4">
      <c r="A11" s="1" t="s">
        <v>36</v>
      </c>
      <c r="B11" s="1"/>
      <c r="C11" s="1"/>
    </row>
    <row r="12" spans="1:4">
      <c r="A12" s="3" t="s">
        <v>43</v>
      </c>
      <c r="B12" s="2" t="s">
        <v>44</v>
      </c>
      <c r="C12" s="2" t="s">
        <v>42</v>
      </c>
    </row>
    <row r="13" spans="1:4">
      <c r="A13" s="2" t="str">
        <f t="shared" ref="A13:A43" si="1">DEC2HEX(HEX2DEC(A12)+4,8)</f>
        <v>00103520</v>
      </c>
      <c r="B13" s="2" t="s">
        <v>45</v>
      </c>
      <c r="C13" s="2" t="s">
        <v>40</v>
      </c>
    </row>
    <row r="14" spans="1:4">
      <c r="A14" s="2" t="str">
        <f t="shared" si="1"/>
        <v>00103524</v>
      </c>
      <c r="B14" s="2" t="s">
        <v>46</v>
      </c>
      <c r="C14" s="2" t="s">
        <v>37</v>
      </c>
    </row>
    <row r="15" spans="1:4">
      <c r="A15" s="4" t="str">
        <f t="shared" si="1"/>
        <v>00103528</v>
      </c>
      <c r="B15" s="5" t="s">
        <v>47</v>
      </c>
      <c r="C15" s="4" t="s">
        <v>17</v>
      </c>
      <c r="D15" s="4" t="s">
        <v>23</v>
      </c>
    </row>
    <row r="16" spans="1:4">
      <c r="A16" s="4" t="str">
        <f t="shared" si="1"/>
        <v>0010352C</v>
      </c>
      <c r="B16" s="4" t="s">
        <v>48</v>
      </c>
      <c r="C16" s="4" t="s">
        <v>22</v>
      </c>
      <c r="D16" s="4"/>
    </row>
    <row r="17" spans="1:4">
      <c r="A17" s="4" t="str">
        <f t="shared" si="1"/>
        <v>00103530</v>
      </c>
      <c r="B17" s="5" t="s">
        <v>49</v>
      </c>
      <c r="C17" s="4" t="s">
        <v>38</v>
      </c>
      <c r="D17" s="4"/>
    </row>
    <row r="18" spans="1:4">
      <c r="A18" s="4" t="str">
        <f t="shared" si="1"/>
        <v>00103534</v>
      </c>
      <c r="B18" s="4" t="s">
        <v>50</v>
      </c>
      <c r="C18" s="4" t="str">
        <f>_xlfn.CONCAT("bne 0x",A43)</f>
        <v>bne 0x00103598</v>
      </c>
      <c r="D18" s="4"/>
    </row>
    <row r="19" spans="1:4">
      <c r="A19" s="6" t="str">
        <f t="shared" si="1"/>
        <v>00103538</v>
      </c>
      <c r="B19" s="6" t="s">
        <v>51</v>
      </c>
      <c r="C19" s="6" t="s">
        <v>15</v>
      </c>
      <c r="D19" s="6" t="s">
        <v>29</v>
      </c>
    </row>
    <row r="20" spans="1:4">
      <c r="A20" s="6" t="str">
        <f t="shared" si="1"/>
        <v>0010353C</v>
      </c>
      <c r="B20" s="6" t="s">
        <v>52</v>
      </c>
      <c r="C20" s="6" t="s">
        <v>18</v>
      </c>
      <c r="D20" s="6"/>
    </row>
    <row r="21" spans="1:4">
      <c r="A21" s="6" t="str">
        <f t="shared" si="1"/>
        <v>00103540</v>
      </c>
      <c r="B21" s="6" t="s">
        <v>53</v>
      </c>
      <c r="C21" s="6" t="s">
        <v>41</v>
      </c>
      <c r="D21" s="6"/>
    </row>
    <row r="22" spans="1:4">
      <c r="A22" s="6" t="str">
        <f t="shared" si="1"/>
        <v>00103544</v>
      </c>
      <c r="B22" s="6" t="s">
        <v>54</v>
      </c>
      <c r="C22" s="6" t="s">
        <v>24</v>
      </c>
      <c r="D22" s="6"/>
    </row>
    <row r="23" spans="1:4">
      <c r="A23" s="8" t="str">
        <f t="shared" si="1"/>
        <v>00103548</v>
      </c>
      <c r="B23" s="8" t="s">
        <v>51</v>
      </c>
      <c r="C23" s="8" t="s">
        <v>15</v>
      </c>
      <c r="D23" s="8" t="s">
        <v>31</v>
      </c>
    </row>
    <row r="24" spans="1:4">
      <c r="A24" s="8" t="str">
        <f t="shared" si="1"/>
        <v>0010354C</v>
      </c>
      <c r="B24" s="8" t="s">
        <v>55</v>
      </c>
      <c r="C24" s="8" t="s">
        <v>19</v>
      </c>
      <c r="D24" s="8"/>
    </row>
    <row r="25" spans="1:4">
      <c r="A25" s="8" t="str">
        <f t="shared" si="1"/>
        <v>00103550</v>
      </c>
      <c r="B25" s="8" t="s">
        <v>53</v>
      </c>
      <c r="C25" s="8" t="s">
        <v>41</v>
      </c>
      <c r="D25" s="8"/>
    </row>
    <row r="26" spans="1:4">
      <c r="A26" s="8" t="str">
        <f t="shared" si="1"/>
        <v>00103554</v>
      </c>
      <c r="B26" s="8" t="s">
        <v>56</v>
      </c>
      <c r="C26" s="8" t="s">
        <v>25</v>
      </c>
      <c r="D26" s="8"/>
    </row>
    <row r="27" spans="1:4">
      <c r="A27" s="9" t="str">
        <f t="shared" si="1"/>
        <v>00103558</v>
      </c>
      <c r="B27" s="9" t="s">
        <v>57</v>
      </c>
      <c r="C27" s="9" t="s">
        <v>14</v>
      </c>
      <c r="D27" s="9"/>
    </row>
    <row r="28" spans="1:4">
      <c r="A28" s="9" t="str">
        <f t="shared" si="1"/>
        <v>0010355C</v>
      </c>
      <c r="B28" s="9" t="s">
        <v>58</v>
      </c>
      <c r="C28" s="9" t="s">
        <v>35</v>
      </c>
      <c r="D28" s="9" t="s">
        <v>26</v>
      </c>
    </row>
    <row r="29" spans="1:4">
      <c r="A29" s="9" t="str">
        <f t="shared" si="1"/>
        <v>00103560</v>
      </c>
      <c r="B29" s="9" t="s">
        <v>59</v>
      </c>
      <c r="C29" s="9" t="s">
        <v>12</v>
      </c>
      <c r="D29" s="9"/>
    </row>
    <row r="30" spans="1:4">
      <c r="A30" s="9" t="str">
        <f t="shared" si="1"/>
        <v>00103564</v>
      </c>
      <c r="B30" s="12" t="s">
        <v>60</v>
      </c>
      <c r="C30" s="9" t="s">
        <v>20</v>
      </c>
      <c r="D30" s="9"/>
    </row>
    <row r="31" spans="1:4">
      <c r="A31" s="9" t="str">
        <f t="shared" si="1"/>
        <v>00103568</v>
      </c>
      <c r="B31" s="9" t="s">
        <v>61</v>
      </c>
      <c r="C31" s="9" t="s">
        <v>32</v>
      </c>
      <c r="D31" s="9"/>
    </row>
    <row r="32" spans="1:4">
      <c r="A32" s="10" t="str">
        <f t="shared" si="1"/>
        <v>0010356C</v>
      </c>
      <c r="B32" s="10" t="s">
        <v>62</v>
      </c>
      <c r="C32" s="10" t="s">
        <v>39</v>
      </c>
      <c r="D32" s="10" t="s">
        <v>33</v>
      </c>
    </row>
    <row r="33" spans="1:4">
      <c r="A33" s="10" t="str">
        <f t="shared" si="1"/>
        <v>00103570</v>
      </c>
      <c r="B33" s="13" t="s">
        <v>63</v>
      </c>
      <c r="C33" s="10" t="s">
        <v>21</v>
      </c>
      <c r="D33" s="10"/>
    </row>
    <row r="34" spans="1:4">
      <c r="A34" s="10" t="str">
        <f t="shared" si="1"/>
        <v>00103574</v>
      </c>
      <c r="B34" s="10" t="s">
        <v>64</v>
      </c>
      <c r="C34" s="10" t="s">
        <v>27</v>
      </c>
      <c r="D34" s="10"/>
    </row>
    <row r="35" spans="1:4">
      <c r="A35" s="11" t="str">
        <f t="shared" si="1"/>
        <v>00103578</v>
      </c>
      <c r="B35" s="11" t="s">
        <v>65</v>
      </c>
      <c r="C35" s="11" t="s">
        <v>16</v>
      </c>
      <c r="D35" s="11" t="s">
        <v>34</v>
      </c>
    </row>
    <row r="36" spans="1:4">
      <c r="A36" s="11" t="str">
        <f t="shared" si="1"/>
        <v>0010357C</v>
      </c>
      <c r="B36" s="11" t="s">
        <v>53</v>
      </c>
      <c r="C36" s="11" t="s">
        <v>41</v>
      </c>
      <c r="D36" s="11"/>
    </row>
    <row r="37" spans="1:4">
      <c r="A37" s="11" t="str">
        <f t="shared" si="1"/>
        <v>00103580</v>
      </c>
      <c r="B37" s="11" t="s">
        <v>66</v>
      </c>
      <c r="C37" s="11" t="s">
        <v>72</v>
      </c>
      <c r="D37" s="11"/>
    </row>
    <row r="38" spans="1:4">
      <c r="A38" s="7" t="str">
        <f t="shared" si="1"/>
        <v>00103584</v>
      </c>
      <c r="B38" s="7" t="s">
        <v>51</v>
      </c>
      <c r="C38" s="7" t="s">
        <v>15</v>
      </c>
      <c r="D38" s="7"/>
    </row>
    <row r="39" spans="1:4">
      <c r="A39" s="7" t="str">
        <f t="shared" si="1"/>
        <v>00103588</v>
      </c>
      <c r="B39" s="7" t="s">
        <v>53</v>
      </c>
      <c r="C39" s="7" t="s">
        <v>41</v>
      </c>
      <c r="D39" s="7"/>
    </row>
    <row r="40" spans="1:4">
      <c r="A40" s="2" t="str">
        <f t="shared" si="1"/>
        <v>0010358C</v>
      </c>
      <c r="B40" s="2" t="s">
        <v>67</v>
      </c>
      <c r="C40" s="2" t="str">
        <f>SUBSTITUTE(C12,"push","pop")</f>
        <v>pop {r4, r5, r6, lr}</v>
      </c>
    </row>
    <row r="41" spans="1:4">
      <c r="A41" s="7" t="str">
        <f t="shared" si="1"/>
        <v>00103590</v>
      </c>
      <c r="B41" s="7" t="s">
        <v>59</v>
      </c>
      <c r="C41" s="7" t="s">
        <v>12</v>
      </c>
      <c r="D41" s="7" t="s">
        <v>30</v>
      </c>
    </row>
    <row r="42" spans="1:4">
      <c r="A42" s="7" t="str">
        <f t="shared" si="1"/>
        <v>00103594</v>
      </c>
      <c r="B42" s="7" t="s">
        <v>68</v>
      </c>
      <c r="C42" s="7" t="s">
        <v>28</v>
      </c>
      <c r="D42" s="7"/>
    </row>
    <row r="43" spans="1:4">
      <c r="A43" s="2" t="str">
        <f t="shared" si="1"/>
        <v>00103598</v>
      </c>
      <c r="B43" s="2" t="s">
        <v>71</v>
      </c>
      <c r="C43" s="2" t="str">
        <f>SUBSTITUTE(C40,"lr","pc")</f>
        <v>pop {r4, r5, r6, pc}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2026-05-21T03:59:45Z</dcterms:modified>
</cp:coreProperties>
</file>