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78AC1734-3A72-4446-93A7-6AA2654EEF1C}" xr6:coauthVersionLast="47" xr6:coauthVersionMax="47" xr10:uidLastSave="{00000000-0000-0000-0000-000000000000}"/>
  <bookViews>
    <workbookView xWindow="-103" yWindow="-103" windowWidth="33120" windowHeight="18120" xr2:uid="{FFF8744C-F0B4-428F-8CA7-718350CADE02}"/>
  </bookViews>
  <sheets>
    <sheet name="Code" sheetId="6" r:id="rId1"/>
    <sheet name="Table of IDs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6" l="1"/>
  <c r="C50" i="6" s="1"/>
  <c r="C27" i="6"/>
  <c r="C31" i="6" s="1"/>
  <c r="A4" i="6" l="1"/>
  <c r="A5" i="6" s="1"/>
  <c r="A6" i="6" s="1"/>
  <c r="A7" i="6" s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l="1"/>
  <c r="A24" i="6" s="1"/>
  <c r="A25" i="6" s="1"/>
  <c r="A26" i="6" s="1"/>
  <c r="A27" i="6" s="1"/>
  <c r="A28" i="6" s="1"/>
  <c r="A29" i="6" s="1"/>
  <c r="A30" i="6" s="1"/>
  <c r="A31" i="6" s="1"/>
  <c r="C16" i="6" l="1"/>
  <c r="C26" i="6"/>
  <c r="A34" i="6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C20" i="6"/>
  <c r="C43" i="6" l="1"/>
  <c r="C39" i="6"/>
</calcChain>
</file>

<file path=xl/sharedStrings.xml><?xml version="1.0" encoding="utf-8"?>
<sst xmlns="http://schemas.openxmlformats.org/spreadsheetml/2006/main" count="923" uniqueCount="907">
  <si>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</si>
  <si>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</si>
  <si>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</si>
  <si>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</si>
  <si>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</si>
  <si>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</si>
  <si>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</si>
  <si>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</si>
  <si>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</si>
  <si>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</si>
  <si>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</si>
  <si>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</si>
  <si>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</si>
  <si>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</si>
  <si>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</si>
  <si>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</si>
  <si>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</si>
  <si>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</si>
  <si>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</si>
  <si>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</si>
  <si>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</si>
  <si>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</si>
  <si>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</si>
  <si>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</si>
  <si>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</si>
  <si>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</si>
  <si>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</si>
  <si>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</si>
  <si>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</si>
  <si>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</si>
  <si>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</si>
  <si>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</si>
  <si>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</si>
  <si>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</si>
  <si>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</si>
  <si>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</si>
  <si>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</si>
  <si>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</si>
  <si>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</si>
  <si>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</si>
  <si>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</si>
  <si>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</si>
  <si>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</si>
  <si>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</si>
  <si>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</si>
  <si>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</si>
  <si>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</si>
  <si>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</si>
  <si>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</si>
  <si>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</si>
  <si>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</si>
  <si>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</si>
  <si>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</si>
  <si>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</si>
  <si>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</si>
  <si>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</si>
  <si>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</si>
  <si>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</si>
  <si>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</si>
  <si>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</si>
  <si>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</si>
  <si>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</si>
  <si>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</si>
  <si>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</si>
  <si>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</si>
  <si>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</si>
  <si>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</si>
  <si>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</si>
  <si>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</si>
  <si>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</si>
  <si>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</si>
  <si>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</si>
  <si>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</si>
  <si>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</si>
  <si>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</si>
  <si>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</si>
  <si>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</si>
  <si>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</si>
  <si>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</si>
  <si>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</si>
  <si>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</si>
  <si>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</si>
  <si>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</si>
  <si>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</si>
  <si>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</si>
  <si>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</si>
  <si>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</si>
  <si>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</si>
  <si>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</si>
  <si>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</si>
  <si>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</si>
  <si>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</si>
  <si>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</si>
  <si>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</si>
  <si>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</si>
  <si>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</si>
  <si>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</si>
  <si>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</si>
  <si>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</si>
  <si>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</si>
  <si>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</si>
  <si>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</si>
  <si>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</si>
  <si>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</si>
  <si>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</si>
  <si>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</si>
  <si>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</si>
  <si>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</si>
  <si>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</si>
  <si>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</si>
  <si>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</si>
  <si>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</si>
  <si>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</si>
  <si>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</si>
  <si>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</si>
  <si>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</si>
  <si>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</si>
  <si>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</si>
  <si>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</si>
  <si>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</si>
  <si>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</si>
  <si>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</si>
  <si>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</si>
  <si>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</si>
  <si>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</si>
  <si>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</si>
  <si>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</si>
  <si>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</si>
  <si>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</si>
  <si>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</si>
  <si>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</si>
  <si>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</si>
  <si>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</si>
  <si>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</si>
  <si>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</si>
  <si>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</si>
  <si>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</si>
  <si>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</si>
  <si>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</si>
  <si>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</si>
  <si>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</si>
  <si>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</si>
  <si>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</si>
  <si>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</si>
  <si>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</si>
  <si>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</si>
  <si>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</si>
  <si>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</si>
  <si>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</si>
  <si>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</si>
  <si>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</si>
  <si>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</si>
  <si>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</si>
  <si>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</si>
  <si>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</si>
  <si>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</si>
  <si>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</si>
  <si>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</si>
  <si>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</si>
  <si>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</si>
  <si>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</si>
  <si>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</si>
  <si>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</si>
  <si>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</si>
  <si>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</si>
  <si>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</si>
  <si>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</si>
  <si>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</si>
  <si>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</si>
  <si>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</si>
  <si>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</si>
  <si>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</si>
  <si>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</si>
  <si>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</si>
  <si>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</si>
  <si>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</si>
  <si>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</si>
  <si>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</si>
  <si>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</si>
  <si>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</si>
  <si>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</si>
  <si>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</si>
  <si>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</si>
  <si>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</si>
  <si>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</si>
  <si>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</si>
  <si>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</si>
  <si>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</si>
  <si>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</si>
  <si>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</si>
  <si>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</si>
  <si>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</si>
  <si>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</si>
  <si>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</si>
  <si>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</si>
  <si>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</si>
  <si>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</si>
  <si>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</si>
  <si>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</si>
  <si>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</si>
  <si>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</si>
  <si>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</si>
  <si>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</si>
  <si>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</si>
  <si>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</si>
  <si>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</si>
  <si>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</si>
  <si>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</si>
  <si>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</si>
  <si>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</si>
  <si>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</si>
  <si>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</si>
  <si>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</si>
  <si>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</si>
  <si>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</si>
  <si>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</si>
  <si>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</si>
  <si>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</si>
  <si>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</si>
  <si>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</si>
  <si>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</si>
  <si>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</si>
  <si>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</si>
  <si>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</si>
  <si>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</si>
  <si>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</si>
  <si>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</si>
  <si>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</si>
  <si>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</si>
  <si>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</si>
  <si>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</si>
  <si>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</si>
  <si>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</si>
  <si>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</si>
  <si>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</si>
  <si>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</si>
  <si>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</si>
  <si>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</si>
  <si>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</si>
  <si>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</si>
  <si>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</si>
  <si>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</si>
  <si>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</si>
  <si>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</si>
  <si>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</si>
  <si>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</si>
  <si>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</si>
  <si>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</si>
  <si>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</si>
  <si>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</si>
  <si>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</si>
  <si>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</si>
  <si>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</si>
  <si>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</si>
  <si>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</si>
  <si>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</si>
  <si>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</si>
  <si>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</si>
  <si>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</si>
  <si>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</si>
  <si>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</si>
  <si>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</si>
  <si>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</si>
  <si>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</si>
  <si>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</si>
  <si>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</si>
  <si>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</si>
  <si>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</si>
  <si>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</si>
  <si>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</si>
  <si>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</si>
  <si>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</si>
  <si>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</si>
  <si>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</si>
  <si>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</si>
  <si>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</si>
  <si>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</si>
  <si>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</si>
  <si>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</si>
  <si>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</si>
  <si>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</si>
  <si>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</si>
  <si>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</si>
  <si>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</si>
  <si>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</si>
  <si>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</si>
  <si>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</si>
  <si>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</si>
  <si>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</si>
  <si>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</si>
  <si>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</si>
  <si>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</si>
  <si>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</si>
  <si>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</si>
  <si>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</si>
  <si>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</si>
  <si>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</si>
  <si>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</si>
  <si>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</si>
  <si>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</si>
  <si>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</si>
  <si>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</si>
  <si>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</si>
  <si>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</si>
  <si>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</si>
  <si>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</si>
  <si>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</si>
  <si>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</si>
  <si>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</si>
  <si>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</si>
  <si>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</si>
  <si>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</si>
  <si>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</si>
  <si>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</si>
  <si>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</si>
  <si>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</si>
  <si>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</si>
  <si>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</si>
  <si>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</si>
  <si>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</si>
  <si>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</si>
  <si>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</si>
  <si>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</si>
  <si>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</si>
  <si>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</si>
  <si>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</si>
  <si>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</si>
  <si>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</si>
  <si>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</si>
  <si>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</si>
  <si>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</si>
  <si>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</si>
  <si>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</si>
  <si>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</si>
  <si>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</si>
  <si>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</si>
  <si>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</si>
  <si>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</si>
  <si>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</si>
  <si>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</si>
  <si>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</si>
  <si>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</si>
  <si>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</si>
  <si>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</si>
  <si>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</si>
  <si>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</si>
  <si>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</si>
  <si>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</si>
  <si>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</si>
  <si>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</si>
  <si>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</si>
  <si>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</si>
  <si>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</si>
  <si>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</si>
  <si>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</si>
  <si>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</si>
  <si>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</si>
  <si>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</si>
  <si>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</si>
  <si>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</si>
  <si>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</si>
  <si>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</si>
  <si>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</si>
  <si>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</si>
  <si>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</si>
  <si>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</si>
  <si>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</si>
  <si>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</si>
  <si>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</si>
  <si>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</si>
  <si>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</si>
  <si>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</si>
  <si>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</si>
  <si>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</si>
  <si>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</si>
  <si>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</si>
  <si>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</si>
  <si>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</si>
  <si>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</si>
  <si>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</si>
  <si>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</si>
  <si>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</si>
  <si>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</si>
  <si>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</si>
  <si>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</si>
  <si>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</si>
  <si>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</si>
  <si>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</si>
  <si>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</si>
  <si>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</si>
  <si>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</si>
  <si>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</si>
  <si>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</si>
  <si>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</si>
  <si>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</si>
  <si>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</si>
  <si>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</si>
  <si>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</si>
  <si>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</si>
  <si>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</si>
  <si>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</si>
  <si>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</si>
  <si>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</si>
  <si>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</si>
  <si>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</si>
  <si>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</si>
  <si>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</si>
  <si>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</si>
  <si>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</si>
  <si>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</si>
  <si>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</si>
  <si>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</si>
  <si>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</si>
  <si>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</si>
  <si>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</si>
  <si>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</si>
  <si>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</si>
  <si>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</si>
  <si>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</si>
  <si>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</si>
  <si>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</si>
  <si>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</si>
  <si>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</si>
  <si>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</si>
  <si>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</si>
  <si>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</si>
  <si>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</si>
  <si>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</si>
  <si>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</si>
  <si>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</si>
  <si>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</si>
  <si>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</si>
  <si>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</si>
  <si>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</si>
  <si>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</si>
  <si>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</si>
  <si>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</si>
  <si>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</si>
  <si>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</si>
  <si>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</si>
  <si>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</si>
  <si>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</si>
  <si>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</si>
  <si>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</si>
  <si>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</si>
  <si>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</si>
  <si>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</si>
  <si>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</si>
  <si>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</si>
  <si>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</si>
  <si>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</si>
  <si>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</si>
  <si>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</si>
  <si>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</si>
  <si>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</si>
  <si>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</si>
  <si>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</si>
  <si>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</si>
  <si>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</si>
  <si>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</si>
  <si>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</si>
  <si>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</si>
  <si>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</si>
  <si>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</si>
  <si>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</si>
  <si>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</si>
  <si>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</si>
  <si>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</si>
  <si>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</si>
  <si>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</si>
  <si>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</si>
  <si>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</si>
  <si>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</si>
  <si>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</si>
  <si>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</si>
  <si>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</si>
  <si>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</si>
  <si>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</si>
  <si>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</si>
  <si>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</si>
  <si>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</si>
  <si>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</si>
  <si>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</si>
  <si>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</si>
  <si>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</si>
  <si>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</si>
  <si>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</si>
  <si>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</si>
  <si>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</si>
  <si>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</si>
  <si>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</si>
  <si>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</si>
  <si>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</si>
  <si>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</si>
  <si>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</si>
  <si>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</si>
  <si>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</si>
  <si>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</si>
  <si>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</si>
  <si>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</si>
  <si>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</si>
  <si>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</si>
  <si>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</si>
  <si>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</si>
  <si>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</si>
  <si>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</si>
  <si>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</si>
  <si>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</si>
  <si>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</si>
  <si>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</si>
  <si>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</si>
  <si>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</si>
  <si>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</si>
  <si>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</si>
  <si>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</si>
  <si>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</si>
  <si>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</si>
  <si>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</si>
  <si>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</si>
  <si>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</si>
  <si>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</si>
  <si>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</si>
  <si>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</si>
  <si>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</si>
  <si>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</si>
  <si>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</si>
  <si>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</si>
  <si>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</si>
  <si>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</si>
  <si>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</si>
  <si>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</si>
  <si>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</si>
  <si>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</si>
  <si>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</si>
  <si>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</si>
  <si>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</si>
  <si>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</si>
  <si>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</si>
  <si>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</si>
  <si>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</si>
  <si>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</si>
  <si>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</si>
  <si>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</si>
  <si>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</si>
  <si>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</si>
  <si>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</si>
  <si>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</si>
  <si>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</si>
  <si>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</si>
  <si>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</si>
  <si>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</si>
  <si>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</si>
  <si>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</si>
  <si>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</si>
  <si>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</si>
  <si>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</si>
  <si>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</si>
  <si>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</si>
  <si>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</si>
  <si>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</si>
  <si>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</si>
  <si>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</si>
  <si>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</si>
  <si>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</si>
  <si>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</si>
  <si>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</si>
  <si>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</si>
  <si>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</si>
  <si>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</si>
  <si>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</si>
  <si>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</si>
  <si>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</si>
  <si>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</si>
  <si>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</si>
  <si>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</si>
  <si>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</si>
  <si>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</si>
  <si>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</si>
  <si>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</si>
  <si>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</si>
  <si>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</si>
  <si>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</si>
  <si>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</si>
  <si>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</si>
  <si>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</si>
  <si>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</si>
  <si>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</si>
  <si>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</si>
  <si>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</si>
  <si>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</si>
  <si>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</si>
  <si>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</si>
  <si>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</si>
  <si>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</si>
  <si>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</si>
  <si>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</si>
  <si>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</si>
  <si>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</si>
  <si>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</si>
  <si>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</si>
  <si>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</si>
  <si>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</si>
  <si>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</si>
  <si>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</si>
  <si>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</si>
  <si>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</si>
  <si>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</si>
  <si>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</si>
  <si>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</si>
  <si>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</si>
  <si>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</si>
  <si>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</si>
  <si>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</si>
  <si>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</si>
  <si>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</si>
  <si>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</si>
  <si>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</si>
  <si>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</si>
  <si>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</si>
  <si>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</si>
  <si>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</si>
  <si>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</si>
  <si>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</si>
  <si>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</si>
  <si>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</si>
  <si>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</si>
  <si>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</si>
  <si>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</si>
  <si>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</si>
  <si>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</si>
  <si>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</si>
  <si>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</si>
  <si>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</si>
  <si>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</si>
  <si>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</si>
  <si>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</si>
  <si>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</si>
  <si>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</si>
  <si>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</si>
  <si>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</si>
  <si>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</si>
  <si>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</si>
  <si>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</si>
  <si>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</si>
  <si>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</si>
  <si>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</si>
  <si>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</si>
  <si>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</si>
  <si>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</si>
  <si>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</si>
  <si>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</si>
  <si>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</si>
  <si>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</si>
  <si>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</si>
  <si>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</si>
  <si>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</si>
  <si>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</si>
  <si>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</si>
  <si>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</si>
  <si>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</si>
  <si>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</si>
  <si>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</si>
  <si>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</si>
  <si>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</si>
  <si>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</si>
  <si>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</si>
  <si>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</si>
  <si>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</si>
  <si>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</si>
  <si>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</si>
  <si>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</si>
  <si>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</si>
  <si>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</si>
  <si>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</si>
  <si>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</si>
  <si>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</si>
  <si>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</si>
  <si>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</si>
  <si>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</si>
  <si>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</si>
  <si>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</si>
  <si>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</si>
  <si>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</si>
  <si>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</si>
  <si>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</si>
  <si>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</si>
  <si>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</si>
  <si>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</si>
  <si>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</si>
  <si>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</si>
  <si>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</si>
  <si>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</si>
  <si>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</si>
  <si>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</si>
  <si>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</si>
  <si>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</si>
  <si>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</si>
  <si>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</si>
  <si>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</si>
  <si>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</si>
  <si>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</si>
  <si>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</si>
  <si>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</si>
  <si>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</si>
  <si>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</si>
  <si>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</si>
  <si>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</si>
  <si>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</si>
  <si>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</si>
  <si>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</si>
  <si>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</si>
  <si>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</si>
  <si>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</si>
  <si>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</si>
  <si>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</si>
  <si>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</si>
  <si>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</si>
  <si>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</si>
  <si>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</si>
  <si>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</si>
  <si>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</si>
  <si>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</si>
  <si>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</si>
  <si>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</si>
  <si>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</si>
  <si>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</si>
  <si>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</si>
  <si>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</si>
  <si>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</si>
  <si>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</si>
  <si>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</si>
  <si>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</si>
  <si>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</si>
  <si>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</si>
  <si>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</si>
  <si>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</si>
  <si>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</si>
  <si>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</si>
  <si>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</si>
  <si>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</si>
  <si>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</si>
  <si>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</si>
  <si>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</si>
  <si>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</si>
  <si>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</si>
  <si>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</si>
  <si>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</si>
  <si>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</si>
  <si>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</si>
  <si>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</si>
  <si>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</si>
  <si>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</si>
  <si>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</si>
  <si>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</si>
  <si>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</si>
  <si>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</si>
  <si>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</si>
  <si>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</si>
  <si>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</si>
  <si>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</si>
  <si>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</si>
  <si>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</si>
  <si>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</si>
  <si>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</si>
  <si>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</si>
  <si>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</si>
  <si>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</si>
  <si>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</si>
  <si>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</si>
  <si>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</si>
  <si>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</si>
  <si>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</si>
  <si>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</si>
  <si>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</si>
  <si>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</si>
  <si>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</si>
  <si>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</si>
  <si>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</si>
  <si>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</si>
  <si>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</si>
  <si>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</si>
  <si>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</si>
  <si>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</si>
  <si>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</si>
  <si>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</si>
  <si>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</si>
  <si>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</si>
  <si>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</si>
  <si>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</si>
  <si>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</si>
  <si>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</si>
  <si>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</si>
  <si>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</si>
  <si>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</si>
  <si>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</si>
  <si>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</si>
  <si>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</si>
  <si>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</si>
  <si>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</si>
  <si>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</si>
  <si>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</si>
  <si>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</si>
  <si>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</si>
  <si>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</si>
  <si>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</si>
  <si>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</si>
  <si>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</si>
  <si>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</si>
  <si>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</si>
  <si>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</si>
  <si>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</si>
  <si>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</si>
  <si>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</si>
  <si>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</si>
  <si>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</si>
  <si>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</si>
  <si>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</si>
  <si>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</si>
  <si>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</si>
  <si>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</si>
  <si>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</si>
  <si>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</si>
  <si>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</si>
  <si>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</si>
  <si>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</si>
  <si>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</si>
  <si>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</si>
  <si>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</si>
  <si>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</si>
  <si>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</si>
  <si>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cmp r0, r4</t>
  </si>
  <si>
    <t>0240A0E1</t>
  </si>
  <si>
    <t>040050E1</t>
  </si>
  <si>
    <t xml:space="preserve">bl 0x00087B58 </t>
  </si>
  <si>
    <t>b 0x00082D44</t>
  </si>
  <si>
    <t>mov r5, r1</t>
  </si>
  <si>
    <t>push {r4, r5, r6, lr}</t>
  </si>
  <si>
    <t>70402DE9</t>
  </si>
  <si>
    <t>0150A0E1</t>
  </si>
  <si>
    <t>7040BDE8</t>
  </si>
  <si>
    <t>7080BDE8</t>
  </si>
  <si>
    <t>mov r0, 0x19</t>
  </si>
  <si>
    <t>1900A0E3</t>
  </si>
  <si>
    <t>mov r0, 0x04</t>
  </si>
  <si>
    <t>00000000</t>
  </si>
  <si>
    <t>Check Defending</t>
  </si>
  <si>
    <t>Function Call</t>
  </si>
  <si>
    <t>str r1, [r0]</t>
  </si>
  <si>
    <t>bx lr</t>
  </si>
  <si>
    <t>ldr r0, [pc]</t>
  </si>
  <si>
    <t>andeq r0, r0, r0</t>
  </si>
  <si>
    <t>001080E5</t>
  </si>
  <si>
    <t>00009FE5</t>
  </si>
  <si>
    <t>1EFF2FE1</t>
  </si>
  <si>
    <t>0400A0E3</t>
  </si>
  <si>
    <t>0200A0E3</t>
  </si>
  <si>
    <t>0410A0E3</t>
  </si>
  <si>
    <t>mov r1, 0x4</t>
  </si>
  <si>
    <t>000D9FE8</t>
  </si>
  <si>
    <t>mov r1, 0x7</t>
  </si>
  <si>
    <t>set Type Effectiveness to Neutral</t>
  </si>
  <si>
    <t>mov r0, 0x3d</t>
  </si>
  <si>
    <t>Check that Move Type is Ground</t>
  </si>
  <si>
    <t>cmp r0, 0x4</t>
  </si>
  <si>
    <t>040050E3</t>
  </si>
  <si>
    <t>3D00A0E3</t>
  </si>
  <si>
    <t>0710A0E3</t>
  </si>
  <si>
    <t>push {r4, lr}</t>
  </si>
  <si>
    <t>mov r0, 0x2</t>
  </si>
  <si>
    <t>bl 0x00087B58</t>
  </si>
  <si>
    <t>mov r0, 0x23</t>
  </si>
  <si>
    <t>cmp r0, 0x5</t>
  </si>
  <si>
    <t>Check Speed being altered</t>
  </si>
  <si>
    <t>Check correct Pokemon</t>
  </si>
  <si>
    <t>mov r0, 0x24</t>
  </si>
  <si>
    <t>mov r1, r0, lsl #1</t>
  </si>
  <si>
    <t>Get stat change</t>
  </si>
  <si>
    <t>double it</t>
  </si>
  <si>
    <t>10402DE9</t>
  </si>
  <si>
    <t>4C26FEEB</t>
  </si>
  <si>
    <t>0900001A</t>
  </si>
  <si>
    <t>2300A0E3</t>
  </si>
  <si>
    <t>4826FEEB</t>
  </si>
  <si>
    <t>050050E3</t>
  </si>
  <si>
    <t>0500001A</t>
  </si>
  <si>
    <t>2400A0E3</t>
  </si>
  <si>
    <t>4426FEEB</t>
  </si>
  <si>
    <t>8010A0E1</t>
  </si>
  <si>
    <t>1040BDE8</t>
  </si>
  <si>
    <t>BB12FEEA</t>
  </si>
  <si>
    <t>1080BDE8</t>
  </si>
  <si>
    <t>Double Speed Changes 0x71</t>
  </si>
  <si>
    <t>mov r5, r0</t>
  </si>
  <si>
    <t>get defending Type</t>
  </si>
  <si>
    <t>cmp r0, 0x8</t>
  </si>
  <si>
    <t>080050E3</t>
  </si>
  <si>
    <t>0050A0E1</t>
  </si>
  <si>
    <t>cmpne r0, 0x5</t>
  </si>
  <si>
    <t>05005013</t>
  </si>
  <si>
    <t>000BF528</t>
  </si>
  <si>
    <t>Rock &amp; Steel Not Weak to Ground 0x4E/0x4F</t>
  </si>
  <si>
    <t>8621FFEB</t>
  </si>
  <si>
    <t>0D00001A</t>
  </si>
  <si>
    <t>8221FFEB</t>
  </si>
  <si>
    <t>7D21FFEB</t>
  </si>
  <si>
    <t>0300001A</t>
  </si>
  <si>
    <t>F10DFFEA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</si>
</sst>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quotePrefix="1" applyFont="1"/>
    <xf numFmtId="0" fontId="3" fillId="3" borderId="0" xfId="0" applyFont="1" applyFill="1"/>
    <xf numFmtId="0" fontId="3" fillId="3" borderId="0" xfId="0" quotePrefix="1" applyFont="1" applyFill="1"/>
    <xf numFmtId="0" fontId="3" fillId="2" borderId="0" xfId="0" applyFont="1" applyFill="1"/>
    <xf numFmtId="0" fontId="3" fillId="2" borderId="0" xfId="0" quotePrefix="1" applyFont="1" applyFill="1"/>
    <xf numFmtId="0" fontId="3" fillId="4" borderId="0" xfId="0" applyFont="1" applyFill="1"/>
    <xf numFmtId="0" fontId="3" fillId="4" borderId="0" xfId="0" quotePrefix="1" applyFont="1" applyFill="1"/>
    <xf numFmtId="0" fontId="4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3" fillId="2" borderId="0" xfId="0" quotePrefix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4" borderId="0" xfId="0" applyFont="1" applyFill="1"/>
    <xf numFmtId="0" fontId="3" fillId="4" borderId="0" xfId="0" quotePrefix="1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4" fillId="3" borderId="0" xfId="0" applyFont="1" applyFill="1"/>
    <xf numFmtId="0" fontId="3" fillId="3" borderId="0" xfId="0" applyFont="1" applyFill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Fill="1"/>
    <xf numFmtId="0" fontId="3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H51"/>
  <sheetViews>
    <sheetView tabSelected="1" zoomScale="85" zoomScaleNormal="85" workbookViewId="0">
      <pane ySplit="1" topLeftCell="A8" activePane="bottomLeft" state="frozen"/>
      <selection pane="bottomLeft" activeCell="B10" sqref="B10:B31"/>
    </sheetView>
  </sheetViews>
  <sheetFormatPr defaultRowHeight="15.9"/>
  <cols>
    <col min="1" max="2" width="9.640625" style="2" bestFit="1" customWidth="1"/>
    <col min="3" max="3" width="24.0703125" style="2" bestFit="1" customWidth="1"/>
    <col min="4" max="4" width="37.5" style="2" bestFit="1" customWidth="1"/>
    <col min="5" max="6" width="12.7109375" style="2" customWidth="1"/>
    <col min="7" max="7" width="13.5703125" style="2" customWidth="1"/>
    <col min="8" max="16384" width="9.140625" style="2"/>
  </cols>
  <sheetData>
    <row r="1" spans="1:7">
      <c r="A1" s="1" t="s">
        <v>0</v>
      </c>
      <c r="B1" s="1" t="s">
        <v>1</v>
      </c>
      <c r="C1" s="1" t="s">
        <v>2</v>
      </c>
      <c r="D1" s="1"/>
    </row>
    <row r="2" spans="1:7">
      <c r="A2" s="1" t="s">
        <v>846</v>
      </c>
      <c r="B2" s="1"/>
      <c r="C2" s="1"/>
      <c r="D2" s="1"/>
    </row>
    <row r="3" spans="1:7">
      <c r="A3" s="3" t="s">
        <v>858</v>
      </c>
      <c r="B3" s="2" t="s">
        <v>856</v>
      </c>
      <c r="C3" s="2" t="s">
        <v>857</v>
      </c>
      <c r="D3" s="1"/>
    </row>
    <row r="4" spans="1:7">
      <c r="A4" s="2" t="str">
        <f t="shared" ref="A4:A7" si="0">DEC2HEX(HEX2DEC(A3)+4,8)</f>
        <v>000D9FEC</v>
      </c>
      <c r="B4" s="3" t="s">
        <v>851</v>
      </c>
      <c r="C4" s="2" t="s">
        <v>847</v>
      </c>
      <c r="D4" s="1"/>
    </row>
    <row r="5" spans="1:7">
      <c r="A5" s="2" t="str">
        <f t="shared" si="0"/>
        <v>000D9FF0</v>
      </c>
      <c r="B5" s="2" t="s">
        <v>852</v>
      </c>
      <c r="C5" s="2" t="s">
        <v>849</v>
      </c>
      <c r="D5" s="1"/>
    </row>
    <row r="6" spans="1:7">
      <c r="A6" s="2" t="str">
        <f t="shared" si="0"/>
        <v>000D9FF4</v>
      </c>
      <c r="B6" s="2" t="s">
        <v>853</v>
      </c>
      <c r="C6" s="2" t="s">
        <v>848</v>
      </c>
      <c r="D6" s="1"/>
    </row>
    <row r="7" spans="1:7">
      <c r="A7" s="2" t="str">
        <f t="shared" si="0"/>
        <v>000D9FF8</v>
      </c>
      <c r="B7" s="3" t="s">
        <v>844</v>
      </c>
      <c r="C7" s="2" t="s">
        <v>850</v>
      </c>
      <c r="D7" s="1"/>
    </row>
    <row r="8" spans="1:7">
      <c r="D8" s="1"/>
    </row>
    <row r="9" spans="1:7">
      <c r="A9" s="1" t="s">
        <v>900</v>
      </c>
      <c r="B9" s="4"/>
      <c r="C9" s="4"/>
      <c r="G9" s="3"/>
    </row>
    <row r="10" spans="1:7">
      <c r="A10" s="2" t="s">
        <v>899</v>
      </c>
      <c r="B10" s="2" t="s">
        <v>837</v>
      </c>
      <c r="C10" s="2" t="s">
        <v>836</v>
      </c>
    </row>
    <row r="11" spans="1:7">
      <c r="A11" s="2" t="str">
        <f t="shared" ref="A11:A31" si="1">DEC2HEX(HEX2DEC(A10)+4,8)</f>
        <v>000BF52C</v>
      </c>
      <c r="B11" s="2" t="s">
        <v>831</v>
      </c>
      <c r="C11" s="2" t="s">
        <v>829</v>
      </c>
    </row>
    <row r="12" spans="1:7">
      <c r="A12" s="2" t="str">
        <f t="shared" si="1"/>
        <v>000BF530</v>
      </c>
      <c r="B12" s="2" t="s">
        <v>838</v>
      </c>
      <c r="C12" s="2" t="s">
        <v>835</v>
      </c>
    </row>
    <row r="13" spans="1:7">
      <c r="A13" s="5" t="str">
        <f t="shared" si="1"/>
        <v>000BF534</v>
      </c>
      <c r="B13" s="5" t="s">
        <v>854</v>
      </c>
      <c r="C13" s="5" t="s">
        <v>843</v>
      </c>
      <c r="D13" s="5" t="s">
        <v>845</v>
      </c>
    </row>
    <row r="14" spans="1:7">
      <c r="A14" s="5" t="str">
        <f t="shared" si="1"/>
        <v>000BF538</v>
      </c>
      <c r="B14" s="5" t="s">
        <v>901</v>
      </c>
      <c r="C14" s="5" t="s">
        <v>833</v>
      </c>
      <c r="D14" s="5"/>
    </row>
    <row r="15" spans="1:7">
      <c r="A15" s="5" t="str">
        <f t="shared" si="1"/>
        <v>000BF53C</v>
      </c>
      <c r="B15" s="6" t="s">
        <v>832</v>
      </c>
      <c r="C15" s="5" t="s">
        <v>830</v>
      </c>
      <c r="D15" s="5"/>
    </row>
    <row r="16" spans="1:7">
      <c r="A16" s="5" t="str">
        <f t="shared" si="1"/>
        <v>000BF540</v>
      </c>
      <c r="B16" s="5" t="s">
        <v>902</v>
      </c>
      <c r="C16" s="5" t="str">
        <f>_xlfn.CONCAT("bne 0x",A$31)</f>
        <v>bne 0x000BF57C</v>
      </c>
      <c r="D16" s="5"/>
    </row>
    <row r="17" spans="1:8">
      <c r="A17" s="7" t="str">
        <f t="shared" si="1"/>
        <v>000BF544</v>
      </c>
      <c r="B17" s="7" t="s">
        <v>842</v>
      </c>
      <c r="C17" s="7" t="s">
        <v>841</v>
      </c>
      <c r="D17" s="7" t="s">
        <v>862</v>
      </c>
    </row>
    <row r="18" spans="1:8">
      <c r="A18" s="7" t="str">
        <f t="shared" si="1"/>
        <v>000BF548</v>
      </c>
      <c r="B18" s="7" t="s">
        <v>903</v>
      </c>
      <c r="C18" s="7" t="s">
        <v>833</v>
      </c>
      <c r="D18" s="7"/>
      <c r="F18" s="1"/>
      <c r="G18" s="1"/>
      <c r="H18" s="1"/>
    </row>
    <row r="19" spans="1:8">
      <c r="A19" s="7" t="str">
        <f t="shared" si="1"/>
        <v>000BF54C</v>
      </c>
      <c r="B19" s="8" t="s">
        <v>864</v>
      </c>
      <c r="C19" s="7" t="s">
        <v>863</v>
      </c>
      <c r="D19" s="7"/>
    </row>
    <row r="20" spans="1:8">
      <c r="A20" s="7" t="str">
        <f t="shared" si="1"/>
        <v>000BF550</v>
      </c>
      <c r="B20" s="7" t="s">
        <v>880</v>
      </c>
      <c r="C20" s="7" t="str">
        <f>_xlfn.CONCAT("bne 0x",A$31)</f>
        <v>bne 0x000BF57C</v>
      </c>
      <c r="D20" s="7"/>
    </row>
    <row r="21" spans="1:8">
      <c r="A21" s="7" t="str">
        <f t="shared" si="1"/>
        <v>000BF554</v>
      </c>
      <c r="B21" s="7" t="s">
        <v>896</v>
      </c>
      <c r="C21" s="7" t="s">
        <v>892</v>
      </c>
      <c r="D21" s="7"/>
    </row>
    <row r="22" spans="1:8">
      <c r="A22" s="9" t="str">
        <f t="shared" si="1"/>
        <v>000BF558</v>
      </c>
      <c r="B22" s="9" t="s">
        <v>842</v>
      </c>
      <c r="C22" s="9" t="s">
        <v>841</v>
      </c>
      <c r="D22" s="9" t="s">
        <v>893</v>
      </c>
    </row>
    <row r="23" spans="1:8">
      <c r="A23" s="9" t="str">
        <f t="shared" si="1"/>
        <v>000BF55C</v>
      </c>
      <c r="B23" s="10" t="s">
        <v>904</v>
      </c>
      <c r="C23" s="9" t="s">
        <v>833</v>
      </c>
      <c r="D23" s="9"/>
    </row>
    <row r="24" spans="1:8">
      <c r="A24" s="22" t="str">
        <f t="shared" si="1"/>
        <v>000BF560</v>
      </c>
      <c r="B24" s="23" t="s">
        <v>895</v>
      </c>
      <c r="C24" s="22" t="s">
        <v>894</v>
      </c>
      <c r="D24" s="22" t="s">
        <v>11</v>
      </c>
    </row>
    <row r="25" spans="1:8" s="22" customFormat="1">
      <c r="A25" s="22" t="str">
        <f t="shared" si="1"/>
        <v>000BF564</v>
      </c>
      <c r="B25" s="23" t="s">
        <v>898</v>
      </c>
      <c r="C25" s="22" t="s">
        <v>897</v>
      </c>
      <c r="D25" s="22" t="s">
        <v>8</v>
      </c>
    </row>
    <row r="26" spans="1:8" s="22" customFormat="1">
      <c r="A26" s="22" t="str">
        <f t="shared" si="1"/>
        <v>000BF568</v>
      </c>
      <c r="B26" s="23" t="s">
        <v>905</v>
      </c>
      <c r="C26" s="22" t="str">
        <f>_xlfn.CONCAT("bne 0x",A31)</f>
        <v>bne 0x000BF57C</v>
      </c>
    </row>
    <row r="27" spans="1:8">
      <c r="A27" s="22" t="str">
        <f t="shared" si="1"/>
        <v>000BF56C</v>
      </c>
      <c r="B27" s="3" t="s">
        <v>839</v>
      </c>
      <c r="C27" s="2" t="str">
        <f>SUBSTITUTE(C10,"push","pop")</f>
        <v>pop {r4, r5, r6, lr}</v>
      </c>
    </row>
    <row r="28" spans="1:8">
      <c r="A28" s="22" t="str">
        <f t="shared" si="1"/>
        <v>000BF570</v>
      </c>
      <c r="B28" s="2" t="s">
        <v>866</v>
      </c>
      <c r="C28" s="2" t="s">
        <v>859</v>
      </c>
      <c r="D28" s="2" t="s">
        <v>860</v>
      </c>
    </row>
    <row r="29" spans="1:8">
      <c r="A29" s="22" t="str">
        <f t="shared" si="1"/>
        <v>000BF574</v>
      </c>
      <c r="B29" s="2" t="s">
        <v>865</v>
      </c>
      <c r="C29" s="2" t="s">
        <v>861</v>
      </c>
    </row>
    <row r="30" spans="1:8">
      <c r="A30" s="22" t="str">
        <f t="shared" si="1"/>
        <v>000BF578</v>
      </c>
      <c r="B30" s="3" t="s">
        <v>906</v>
      </c>
      <c r="C30" s="2" t="s">
        <v>834</v>
      </c>
    </row>
    <row r="31" spans="1:8">
      <c r="A31" s="22" t="str">
        <f t="shared" si="1"/>
        <v>000BF57C</v>
      </c>
      <c r="B31" s="4" t="s">
        <v>840</v>
      </c>
      <c r="C31" s="11" t="str">
        <f>SUBSTITUTE(C27,"lr","pc")</f>
        <v>pop {r4, r5, r6, pc}</v>
      </c>
    </row>
    <row r="32" spans="1:8">
      <c r="B32" s="3"/>
      <c r="C32" s="11"/>
    </row>
    <row r="33" spans="1:6">
      <c r="A33" s="1" t="s">
        <v>891</v>
      </c>
      <c r="B33" s="4"/>
      <c r="C33" s="4"/>
    </row>
    <row r="34" spans="1:6">
      <c r="A34" s="11" t="str">
        <f>DEC2HEX(HEX2DEC(A31)+4,8)</f>
        <v>000BF580</v>
      </c>
      <c r="B34" s="12" t="s">
        <v>878</v>
      </c>
      <c r="C34" s="2" t="s">
        <v>867</v>
      </c>
      <c r="E34" s="11"/>
      <c r="F34" s="11"/>
    </row>
    <row r="35" spans="1:6">
      <c r="A35" s="11" t="str">
        <f t="shared" ref="A35:A50" si="2">DEC2HEX(HEX2DEC(A34)+4,8)</f>
        <v>000BF584</v>
      </c>
      <c r="B35" s="12" t="s">
        <v>831</v>
      </c>
      <c r="C35" s="2" t="s">
        <v>829</v>
      </c>
      <c r="E35" s="11"/>
      <c r="F35" s="11"/>
    </row>
    <row r="36" spans="1:6">
      <c r="A36" s="13" t="str">
        <f t="shared" si="2"/>
        <v>000BF588</v>
      </c>
      <c r="B36" s="14" t="s">
        <v>855</v>
      </c>
      <c r="C36" s="7" t="s">
        <v>868</v>
      </c>
      <c r="D36" s="7" t="s">
        <v>873</v>
      </c>
      <c r="E36" s="11"/>
      <c r="F36" s="11"/>
    </row>
    <row r="37" spans="1:6">
      <c r="A37" s="13" t="str">
        <f t="shared" si="2"/>
        <v>000BF58C</v>
      </c>
      <c r="B37" s="14" t="s">
        <v>879</v>
      </c>
      <c r="C37" s="7" t="s">
        <v>869</v>
      </c>
      <c r="D37" s="7"/>
      <c r="E37" s="11"/>
      <c r="F37" s="11"/>
    </row>
    <row r="38" spans="1:6">
      <c r="A38" s="13" t="str">
        <f t="shared" si="2"/>
        <v>000BF590</v>
      </c>
      <c r="B38" s="14" t="s">
        <v>832</v>
      </c>
      <c r="C38" s="7" t="s">
        <v>830</v>
      </c>
      <c r="D38" s="7"/>
      <c r="E38" s="11"/>
      <c r="F38" s="11"/>
    </row>
    <row r="39" spans="1:6">
      <c r="A39" s="13" t="str">
        <f t="shared" si="2"/>
        <v>000BF594</v>
      </c>
      <c r="B39" s="15" t="s">
        <v>880</v>
      </c>
      <c r="C39" s="7" t="str">
        <f>_xlfn.CONCAT("bne 0x",A$50)</f>
        <v>bne 0x000BF5C0</v>
      </c>
      <c r="D39" s="7"/>
      <c r="E39" s="11"/>
      <c r="F39" s="11"/>
    </row>
    <row r="40" spans="1:6">
      <c r="A40" s="16" t="str">
        <f t="shared" si="2"/>
        <v>000BF598</v>
      </c>
      <c r="B40" s="17" t="s">
        <v>881</v>
      </c>
      <c r="C40" s="9" t="s">
        <v>870</v>
      </c>
      <c r="D40" s="9" t="s">
        <v>872</v>
      </c>
      <c r="E40" s="11"/>
      <c r="F40" s="11"/>
    </row>
    <row r="41" spans="1:6">
      <c r="A41" s="16" t="str">
        <f t="shared" si="2"/>
        <v>000BF59C</v>
      </c>
      <c r="B41" s="17" t="s">
        <v>882</v>
      </c>
      <c r="C41" s="9" t="s">
        <v>869</v>
      </c>
      <c r="D41" s="9"/>
      <c r="E41" s="11"/>
      <c r="F41" s="11"/>
    </row>
    <row r="42" spans="1:6">
      <c r="A42" s="16" t="str">
        <f t="shared" si="2"/>
        <v>000BF5A0</v>
      </c>
      <c r="B42" s="17" t="s">
        <v>883</v>
      </c>
      <c r="C42" s="9" t="s">
        <v>871</v>
      </c>
      <c r="D42" s="16"/>
      <c r="E42" s="11"/>
      <c r="F42" s="11"/>
    </row>
    <row r="43" spans="1:6">
      <c r="A43" s="16" t="str">
        <f t="shared" si="2"/>
        <v>000BF5A4</v>
      </c>
      <c r="B43" s="18" t="s">
        <v>884</v>
      </c>
      <c r="C43" s="9" t="str">
        <f>_xlfn.CONCAT("bne 0x",A$50)</f>
        <v>bne 0x000BF5C0</v>
      </c>
      <c r="D43" s="9"/>
      <c r="E43" s="11"/>
      <c r="F43" s="11"/>
    </row>
    <row r="44" spans="1:6">
      <c r="A44" s="19" t="str">
        <f t="shared" si="2"/>
        <v>000BF5A8</v>
      </c>
      <c r="B44" s="20" t="s">
        <v>885</v>
      </c>
      <c r="C44" s="5" t="s">
        <v>874</v>
      </c>
      <c r="D44" s="5" t="s">
        <v>876</v>
      </c>
      <c r="E44" s="11"/>
      <c r="F44" s="11"/>
    </row>
    <row r="45" spans="1:6">
      <c r="A45" s="19" t="str">
        <f t="shared" si="2"/>
        <v>000BF5AC</v>
      </c>
      <c r="B45" s="20" t="s">
        <v>886</v>
      </c>
      <c r="C45" s="5" t="s">
        <v>869</v>
      </c>
      <c r="D45" s="5"/>
      <c r="E45" s="11"/>
      <c r="F45" s="11"/>
    </row>
    <row r="46" spans="1:6">
      <c r="A46" s="19" t="str">
        <f t="shared" si="2"/>
        <v>000BF5B0</v>
      </c>
      <c r="B46" s="20" t="s">
        <v>887</v>
      </c>
      <c r="C46" s="5" t="s">
        <v>875</v>
      </c>
      <c r="D46" s="5" t="s">
        <v>877</v>
      </c>
      <c r="E46" s="11"/>
      <c r="F46" s="11"/>
    </row>
    <row r="47" spans="1:6">
      <c r="A47" s="11" t="str">
        <f t="shared" si="2"/>
        <v>000BF5B4</v>
      </c>
      <c r="B47" s="21" t="s">
        <v>888</v>
      </c>
      <c r="C47" s="2" t="str">
        <f>SUBSTITUTE(C34,"push","pop")</f>
        <v>pop {r4, lr}</v>
      </c>
      <c r="E47" s="11"/>
      <c r="F47" s="11"/>
    </row>
    <row r="48" spans="1:6">
      <c r="A48" s="11" t="str">
        <f t="shared" si="2"/>
        <v>000BF5B8</v>
      </c>
      <c r="B48" s="21" t="s">
        <v>885</v>
      </c>
      <c r="C48" s="11" t="s">
        <v>874</v>
      </c>
      <c r="E48" s="11"/>
      <c r="F48" s="11"/>
    </row>
    <row r="49" spans="1:6">
      <c r="A49" s="11" t="str">
        <f t="shared" si="2"/>
        <v>000BF5BC</v>
      </c>
      <c r="B49" s="12" t="s">
        <v>889</v>
      </c>
      <c r="C49" s="2" t="s">
        <v>834</v>
      </c>
      <c r="E49" s="11"/>
      <c r="F49" s="11"/>
    </row>
    <row r="50" spans="1:6">
      <c r="A50" s="11" t="str">
        <f t="shared" si="2"/>
        <v>000BF5C0</v>
      </c>
      <c r="B50" s="12" t="s">
        <v>890</v>
      </c>
      <c r="C50" s="11" t="str">
        <f>SUBSTITUTE(C47,"lr","pc")</f>
        <v>pop {r4, pc}</v>
      </c>
      <c r="E50" s="11"/>
      <c r="F50" s="11"/>
    </row>
    <row r="51" spans="1:6">
      <c r="A51" s="11"/>
      <c r="B51" s="21"/>
      <c r="C51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C13" sqref="C13"/>
    </sheetView>
  </sheetViews>
  <sheetFormatPr defaultRowHeight="14.15"/>
  <sheetData>
    <row r="1" spans="1:4">
      <c r="A1" t="s">
        <v>21</v>
      </c>
      <c r="B1" t="s">
        <v>3</v>
      </c>
      <c r="C1">
        <v>8</v>
      </c>
      <c r="D1" t="str">
        <f>DEC2HEX(C1,2)</f>
        <v>08</v>
      </c>
    </row>
    <row r="2" spans="1:4">
      <c r="A2" t="s">
        <v>22</v>
      </c>
      <c r="B2" t="s">
        <v>4</v>
      </c>
      <c r="C2">
        <v>8</v>
      </c>
      <c r="D2" t="str">
        <f t="shared" ref="D2:D18" si="0">DEC2HEX(C2,2)</f>
        <v>08</v>
      </c>
    </row>
    <row r="3" spans="1:4">
      <c r="A3" t="s">
        <v>23</v>
      </c>
      <c r="B3" t="s">
        <v>5</v>
      </c>
      <c r="C3">
        <v>7</v>
      </c>
      <c r="D3" t="str">
        <f t="shared" si="0"/>
        <v>07</v>
      </c>
    </row>
    <row r="4" spans="1:4">
      <c r="A4" t="s">
        <v>24</v>
      </c>
      <c r="B4" t="s">
        <v>6</v>
      </c>
      <c r="C4">
        <v>7</v>
      </c>
      <c r="D4" t="str">
        <f t="shared" si="0"/>
        <v>07</v>
      </c>
    </row>
    <row r="5" spans="1:4">
      <c r="A5" t="s">
        <v>25</v>
      </c>
      <c r="B5" t="s">
        <v>7</v>
      </c>
      <c r="C5">
        <v>7</v>
      </c>
      <c r="D5" t="str">
        <f t="shared" si="0"/>
        <v>07</v>
      </c>
    </row>
    <row r="6" spans="1:4">
      <c r="A6" t="s">
        <v>26</v>
      </c>
      <c r="B6" t="s">
        <v>8</v>
      </c>
      <c r="C6">
        <v>8</v>
      </c>
      <c r="D6" t="str">
        <f t="shared" si="0"/>
        <v>08</v>
      </c>
    </row>
    <row r="7" spans="1:4">
      <c r="A7" t="s">
        <v>27</v>
      </c>
      <c r="B7" t="s">
        <v>9</v>
      </c>
      <c r="C7">
        <v>8</v>
      </c>
      <c r="D7" t="str">
        <f t="shared" si="0"/>
        <v>08</v>
      </c>
    </row>
    <row r="8" spans="1:4">
      <c r="A8" t="s">
        <v>28</v>
      </c>
      <c r="B8" t="s">
        <v>10</v>
      </c>
      <c r="C8">
        <v>7</v>
      </c>
      <c r="D8" t="str">
        <f t="shared" si="0"/>
        <v>07</v>
      </c>
    </row>
    <row r="9" spans="1:4">
      <c r="A9" t="s">
        <v>29</v>
      </c>
      <c r="B9" t="s">
        <v>11</v>
      </c>
      <c r="C9">
        <v>8</v>
      </c>
      <c r="D9" t="str">
        <f t="shared" si="0"/>
        <v>08</v>
      </c>
    </row>
    <row r="10" spans="1:4">
      <c r="A10" t="s">
        <v>30</v>
      </c>
      <c r="B10" t="s">
        <v>12</v>
      </c>
      <c r="C10">
        <v>7</v>
      </c>
      <c r="D10" t="str">
        <f t="shared" si="0"/>
        <v>07</v>
      </c>
    </row>
    <row r="11" spans="1:4">
      <c r="A11" t="s">
        <v>31</v>
      </c>
      <c r="B11" t="s">
        <v>13</v>
      </c>
      <c r="C11">
        <v>7</v>
      </c>
      <c r="D11" t="str">
        <f t="shared" si="0"/>
        <v>07</v>
      </c>
    </row>
    <row r="12" spans="1:4">
      <c r="A12" t="s">
        <v>32</v>
      </c>
      <c r="B12" t="s">
        <v>14</v>
      </c>
      <c r="C12">
        <v>8</v>
      </c>
      <c r="D12" t="str">
        <f t="shared" si="0"/>
        <v>08</v>
      </c>
    </row>
    <row r="13" spans="1:4">
      <c r="A13" t="s">
        <v>33</v>
      </c>
      <c r="B13" t="s">
        <v>15</v>
      </c>
      <c r="C13">
        <v>7</v>
      </c>
      <c r="D13" t="str">
        <f t="shared" si="0"/>
        <v>07</v>
      </c>
    </row>
    <row r="14" spans="1:4">
      <c r="A14" t="s">
        <v>34</v>
      </c>
      <c r="B14" t="s">
        <v>16</v>
      </c>
      <c r="C14">
        <v>7</v>
      </c>
      <c r="D14" t="str">
        <f t="shared" si="0"/>
        <v>07</v>
      </c>
    </row>
    <row r="15" spans="1:4">
      <c r="A15" t="s">
        <v>35</v>
      </c>
      <c r="B15" t="s">
        <v>17</v>
      </c>
      <c r="C15">
        <v>8</v>
      </c>
      <c r="D15" t="str">
        <f t="shared" si="0"/>
        <v>08</v>
      </c>
    </row>
    <row r="16" spans="1:4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2026-05-20T14:58:22Z</dcterms:modified>
</cp:coreProperties>
</file>