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Ability Edits\"/>
    </mc:Choice>
  </mc:AlternateContent>
  <xr:revisionPtr revIDLastSave="0" documentId="13_ncr:1_{D178FA09-655B-42F6-BD37-79DC65A182F9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Edited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6" i="6" l="1"/>
  <c r="C121" i="6" s="1"/>
  <c r="C45" i="6" l="1"/>
  <c r="C67" i="6" s="1"/>
  <c r="B3" i="6" l="1"/>
  <c r="A4" i="6" l="1"/>
  <c r="A5" i="6" s="1"/>
  <c r="A6" i="6" s="1"/>
  <c r="A7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E1" i="6"/>
  <c r="A25" i="6" l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l="1"/>
  <c r="A47" i="6" s="1"/>
  <c r="A48" i="6" l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C16" i="6"/>
  <c r="C19" i="6" l="1"/>
  <c r="C61" i="6"/>
  <c r="C55" i="6"/>
  <c r="A71" i="6" l="1"/>
  <c r="A72" i="6" s="1"/>
  <c r="A73" i="6" s="1"/>
  <c r="A74" i="6" s="1"/>
  <c r="A75" i="6" s="1"/>
  <c r="A76" i="6" s="1"/>
  <c r="A77" i="6" s="1"/>
  <c r="A78" i="6" s="1"/>
  <c r="A79" i="6" s="1"/>
  <c r="A80" i="6" s="1"/>
  <c r="C20" i="6"/>
  <c r="A81" i="6" l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C77" i="6"/>
  <c r="A99" i="6" l="1"/>
  <c r="C79" i="6"/>
  <c r="C120" i="6"/>
  <c r="A100" i="6" l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l="1"/>
  <c r="A115" i="6" s="1"/>
  <c r="A116" i="6" s="1"/>
  <c r="A117" i="6" s="1"/>
  <c r="A118" i="6" s="1"/>
  <c r="A119" i="6" s="1"/>
  <c r="A120" i="6" s="1"/>
  <c r="A121" i="6" s="1"/>
  <c r="C99" i="6" l="1"/>
  <c r="C84" i="6"/>
  <c r="C108" i="6"/>
</calcChain>
</file>

<file path=xl/sharedStrings.xml><?xml version="1.0" encoding="utf-8"?>
<sst xmlns="http://schemas.openxmlformats.org/spreadsheetml/2006/main" count="262" uniqueCount="177">
  <si>
    <t>Address</t>
  </si>
  <si>
    <t>Hex</t>
  </si>
  <si>
    <t>instruction</t>
  </si>
  <si>
    <t>00000000</t>
  </si>
  <si>
    <t>mov r1, r4</t>
  </si>
  <si>
    <t>001080E5</t>
  </si>
  <si>
    <t>str r1, [r0]</t>
  </si>
  <si>
    <t>00009FE5</t>
  </si>
  <si>
    <t>ldr r0, [pc]</t>
  </si>
  <si>
    <t>1EFF2FE1</t>
  </si>
  <si>
    <t>bx lr</t>
  </si>
  <si>
    <t>andeq r0, r0, r0</t>
  </si>
  <si>
    <t>0410A0E1</t>
  </si>
  <si>
    <t>0110A0E3</t>
  </si>
  <si>
    <t>0200A0E3</t>
  </si>
  <si>
    <t>mov r1, r5</t>
  </si>
  <si>
    <t>mov r4, r0</t>
  </si>
  <si>
    <t>0210A0E3</t>
  </si>
  <si>
    <t>0040A0E1</t>
  </si>
  <si>
    <t>2D10A0E3</t>
  </si>
  <si>
    <t>007b4f18</t>
  </si>
  <si>
    <t>mov r0, 0x2</t>
  </si>
  <si>
    <t>check self</t>
  </si>
  <si>
    <t>mov r1, 0x1</t>
  </si>
  <si>
    <t xml:space="preserve">bl 0x00087B58 </t>
  </si>
  <si>
    <t>F8FFFF1A</t>
  </si>
  <si>
    <t>mov r1, 0x2</t>
  </si>
  <si>
    <t>Neutralizing Gas Call function</t>
  </si>
  <si>
    <t>get table</t>
  </si>
  <si>
    <t>mov r0, 0x1</t>
  </si>
  <si>
    <t>set self to active</t>
  </si>
  <si>
    <t>show Ability banner</t>
  </si>
  <si>
    <t>Get Pointer</t>
  </si>
  <si>
    <t>mov r1, 0x2D</t>
  </si>
  <si>
    <t>040080E2</t>
  </si>
  <si>
    <t>add r0, r0, 0x4</t>
  </si>
  <si>
    <t>bl 0x00089E28</t>
  </si>
  <si>
    <t>bl 0x000876F8</t>
  </si>
  <si>
    <t>bl 0x00089C6C</t>
  </si>
  <si>
    <t>print text</t>
  </si>
  <si>
    <t>go to negate ability if not self</t>
  </si>
  <si>
    <t>bl 0x00092298</t>
  </si>
  <si>
    <t>unshow Ability Banner</t>
  </si>
  <si>
    <t>Text 387 in file 17</t>
  </si>
  <si>
    <t>mov r2, 0x180</t>
  </si>
  <si>
    <t>b 0x0007CCF4</t>
  </si>
  <si>
    <t>Set Gas on own switch-in, negate others on their switch-in, 0x6D, 0xA7, 0x2D (move selection), 0x8F (Far end of turn)</t>
  </si>
  <si>
    <t>if not switch on or newly-gain ability, don't print text</t>
  </si>
  <si>
    <t>cmp r9, 0x6D</t>
  </si>
  <si>
    <t>cmpne r9, 0xA7</t>
  </si>
  <si>
    <t>mov r7, r1</t>
  </si>
  <si>
    <t>mov r0, r7</t>
  </si>
  <si>
    <t>mov r6, r2</t>
  </si>
  <si>
    <t>cmp r0, r6</t>
  </si>
  <si>
    <t>mov r2, r6</t>
  </si>
  <si>
    <t>push {r4, r5, r6, r7, lr}</t>
  </si>
  <si>
    <t xml:space="preserve">in this case, r6 is the Pokemon Neutralizing Gas belongs to, </t>
  </si>
  <si>
    <t>and r0 is the Pokemon we're about to negate the ability of</t>
  </si>
  <si>
    <t>mov r5, r0</t>
  </si>
  <si>
    <t>get pointer to this Pokemon</t>
  </si>
  <si>
    <t>mov r1, 0x10</t>
  </si>
  <si>
    <t>bl 0x00092A60</t>
  </si>
  <si>
    <t>check if already negated</t>
  </si>
  <si>
    <t>cmp r1, 0x1</t>
  </si>
  <si>
    <t>if already negated, don't do anything</t>
  </si>
  <si>
    <t>mov r0, r4</t>
  </si>
  <si>
    <t>mov r1, 0x11</t>
  </si>
  <si>
    <t>bl 0x00092628</t>
  </si>
  <si>
    <t>nop</t>
  </si>
  <si>
    <t>cmp r0, 0x4B</t>
  </si>
  <si>
    <t>check if Ability is Neutralizing Gas</t>
  </si>
  <si>
    <t>if it is, do nothing</t>
  </si>
  <si>
    <t>Text 388 in file 17</t>
  </si>
  <si>
    <t>mov r2, 0x188</t>
  </si>
  <si>
    <t>Unset Gas on own switch-out, and unnegate others 0x6A</t>
  </si>
  <si>
    <t>if any aren't zero, there is another, don't print the text. "is on" byte remains on</t>
  </si>
  <si>
    <t>ldr r2, [r1]</t>
  </si>
  <si>
    <t>load the word</t>
  </si>
  <si>
    <t>orr r2, r2, r0, lsl r6</t>
  </si>
  <si>
    <t>sets the bit for self-index to on</t>
  </si>
  <si>
    <t>str r2, [r1]</t>
  </si>
  <si>
    <t>bit Table of Pokemon that have set/unset Neutralizing Gas (one word)</t>
  </si>
  <si>
    <t>load word</t>
  </si>
  <si>
    <t>check if r0 is now 0</t>
  </si>
  <si>
    <t>flip bit for Ability-holder's index to 0</t>
  </si>
  <si>
    <t>if not negated, don't do anything</t>
  </si>
  <si>
    <t>check if negated</t>
  </si>
  <si>
    <t>mov r3, 0x10</t>
  </si>
  <si>
    <t>strb r3, [r0, 0x4]</t>
  </si>
  <si>
    <t>mov r3, 0x1</t>
  </si>
  <si>
    <t>strb r3, [r0, 0x11]</t>
  </si>
  <si>
    <t>status to clear</t>
  </si>
  <si>
    <t>mov r1, 0xA</t>
  </si>
  <si>
    <t>mov r1, r0</t>
  </si>
  <si>
    <t>strb r5, [r0, 0x5]</t>
  </si>
  <si>
    <t>if it's not 0, someone else maintaining, do nothing</t>
  </si>
  <si>
    <t>mov r1, 0x5</t>
  </si>
  <si>
    <t>001025D8</t>
  </si>
  <si>
    <t>orr r2, r2, 0x7</t>
  </si>
  <si>
    <t>F0402DE9</t>
  </si>
  <si>
    <t>0260A0E1</t>
  </si>
  <si>
    <t>0170A0E1</t>
  </si>
  <si>
    <t>5515FEEB</t>
  </si>
  <si>
    <t>060050E1</t>
  </si>
  <si>
    <t>1D00001A</t>
  </si>
  <si>
    <t>6D0059E3</t>
  </si>
  <si>
    <t>A7005913</t>
  </si>
  <si>
    <t>3B00001A</t>
  </si>
  <si>
    <t>EC109FE5</t>
  </si>
  <si>
    <t>002091E5</t>
  </si>
  <si>
    <t>0100A0E3</t>
  </si>
  <si>
    <t>102682E1</t>
  </si>
  <si>
    <t>002081E5</t>
  </si>
  <si>
    <t>0620A0E1</t>
  </si>
  <si>
    <t>0700A0E1</t>
  </si>
  <si>
    <t>FB1DFEEB</t>
  </si>
  <si>
    <t>2B14FEEB</t>
  </si>
  <si>
    <t>F21DFEEB</t>
  </si>
  <si>
    <t>062DA0E3</t>
  </si>
  <si>
    <t>072082E3</t>
  </si>
  <si>
    <t>7E1DFEEB</t>
  </si>
  <si>
    <t>F040BDE8</t>
  </si>
  <si>
    <t>9CE9FDEA</t>
  </si>
  <si>
    <t>0050A0E1</t>
  </si>
  <si>
    <t>0510A0E1</t>
  </si>
  <si>
    <t>013FFEEB</t>
  </si>
  <si>
    <t>1010A0E3</t>
  </si>
  <si>
    <t>F040FEEB</t>
  </si>
  <si>
    <t>010051E3</t>
  </si>
  <si>
    <t>1700000A</t>
  </si>
  <si>
    <t>0400A0E1</t>
  </si>
  <si>
    <t>1110A0E3</t>
  </si>
  <si>
    <t>DD3FFEEB</t>
  </si>
  <si>
    <t>4B0050E3</t>
  </si>
  <si>
    <t>00F020E3</t>
  </si>
  <si>
    <t>1100000A</t>
  </si>
  <si>
    <t>0B10A0E3</t>
  </si>
  <si>
    <t>0A14FEEB</t>
  </si>
  <si>
    <t>F080BDE8</t>
  </si>
  <si>
    <t>0D15FEEB</t>
  </si>
  <si>
    <t>1200001A</t>
  </si>
  <si>
    <t>28101FE5</t>
  </si>
  <si>
    <t>000091E5</t>
  </si>
  <si>
    <t>0120A0E3</t>
  </si>
  <si>
    <t>1206C0E1</t>
  </si>
  <si>
    <t>000050E3</t>
  </si>
  <si>
    <t>2500001A</t>
  </si>
  <si>
    <t>E913FEEB</t>
  </si>
  <si>
    <t>622FA0E3</t>
  </si>
  <si>
    <t>411DFEEB</t>
  </si>
  <si>
    <t>5FE9FDEA</t>
  </si>
  <si>
    <t>C03EFEEB</t>
  </si>
  <si>
    <t>AF40FEEB</t>
  </si>
  <si>
    <t>0B00001A</t>
  </si>
  <si>
    <t>0320A0E1</t>
  </si>
  <si>
    <t>0A10A0E3</t>
  </si>
  <si>
    <t>CF13FEEB</t>
  </si>
  <si>
    <t>1030A0E3</t>
  </si>
  <si>
    <t>0430C0E5</t>
  </si>
  <si>
    <t>0130A0E3</t>
  </si>
  <si>
    <t>1130C0E5</t>
  </si>
  <si>
    <t>0010A0E1</t>
  </si>
  <si>
    <t>0550C0E5</t>
  </si>
  <si>
    <t>E4FFFFEA</t>
  </si>
  <si>
    <t>bl 0x</t>
  </si>
  <si>
    <t>mov r0, r6</t>
  </si>
  <si>
    <t>mov r2, r7</t>
  </si>
  <si>
    <t>and r0 is the Pokemon we're about to unnegate the ability of</t>
  </si>
  <si>
    <t>mov r2, r5</t>
  </si>
  <si>
    <t>store edited word</t>
  </si>
  <si>
    <t>bic r2, r2, r0, lsl r6</t>
  </si>
  <si>
    <t>cmp r2, 0x0</t>
  </si>
  <si>
    <t>check loaded word</t>
  </si>
  <si>
    <t>inflicter index</t>
  </si>
  <si>
    <t>inflictee index</t>
  </si>
  <si>
    <t>base pointer</t>
  </si>
  <si>
    <t>status to inflict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</si>
</sst>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3" fillId="3" borderId="0" xfId="0" quotePrefix="1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6" borderId="0" xfId="0" quotePrefix="1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0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M122"/>
  <sheetViews>
    <sheetView tabSelected="1" zoomScale="85" zoomScaleNormal="85" workbookViewId="0">
      <pane ySplit="1" topLeftCell="A2" activePane="bottomLeft" state="frozen"/>
      <selection pane="bottomLeft" activeCell="C19" sqref="C19"/>
    </sheetView>
  </sheetViews>
  <sheetFormatPr defaultColWidth="9.0703125" defaultRowHeight="15.9"/>
  <cols>
    <col min="1" max="1" width="9.42578125" style="2" customWidth="1"/>
    <col min="2" max="2" width="9.7109375" style="2" bestFit="1" customWidth="1"/>
    <col min="3" max="3" width="37.5" style="2" bestFit="1" customWidth="1"/>
    <col min="4" max="4" width="94.85546875" style="2" customWidth="1"/>
    <col min="5" max="6" width="12.7109375" style="2" customWidth="1"/>
    <col min="7" max="7" width="13.5703125" style="2" customWidth="1"/>
    <col min="8" max="16384" width="9.0703125" style="2"/>
  </cols>
  <sheetData>
    <row r="1" spans="1:13">
      <c r="A1" s="1" t="s">
        <v>0</v>
      </c>
      <c r="B1" s="1" t="s">
        <v>1</v>
      </c>
      <c r="C1" s="1" t="s">
        <v>2</v>
      </c>
      <c r="D1" s="1"/>
      <c r="E1" s="2" t="str">
        <f>DEC2HEX(HEX2DEC(F1)-HEX2DEC("6dd000"),8)</f>
        <v>000D7F18</v>
      </c>
      <c r="F1" s="2" t="s">
        <v>20</v>
      </c>
    </row>
    <row r="2" spans="1:13">
      <c r="A2" s="1" t="s">
        <v>27</v>
      </c>
      <c r="B2" s="3"/>
      <c r="D2" s="1"/>
    </row>
    <row r="3" spans="1:13">
      <c r="A3" s="3" t="s">
        <v>97</v>
      </c>
      <c r="B3" s="2" t="str">
        <f>_xlfn.CONCAT("0",RIGHT(C3,1),"10A0E3")</f>
        <v>0510A0E3</v>
      </c>
      <c r="C3" s="2" t="s">
        <v>96</v>
      </c>
    </row>
    <row r="4" spans="1:13">
      <c r="A4" s="2" t="str">
        <f>DEC2HEX(HEX2DEC(A3)+4,8)</f>
        <v>001025DC</v>
      </c>
      <c r="B4" s="3" t="s">
        <v>5</v>
      </c>
      <c r="C4" s="2" t="s">
        <v>6</v>
      </c>
    </row>
    <row r="5" spans="1:13">
      <c r="A5" s="2" t="str">
        <f>DEC2HEX(HEX2DEC(A4)+4,8)</f>
        <v>001025E0</v>
      </c>
      <c r="B5" s="2" t="s">
        <v>7</v>
      </c>
      <c r="C5" s="2" t="s">
        <v>8</v>
      </c>
    </row>
    <row r="6" spans="1:13">
      <c r="A6" s="2" t="str">
        <f>DEC2HEX(HEX2DEC(A5)+4,8)</f>
        <v>001025E4</v>
      </c>
      <c r="B6" s="2" t="s">
        <v>9</v>
      </c>
      <c r="C6" s="2" t="s">
        <v>10</v>
      </c>
    </row>
    <row r="7" spans="1:13">
      <c r="A7" s="2" t="str">
        <f>DEC2HEX(HEX2DEC(A6)+4,8)</f>
        <v>001025E8</v>
      </c>
      <c r="B7" s="3" t="s">
        <v>3</v>
      </c>
      <c r="C7" s="2" t="s">
        <v>11</v>
      </c>
    </row>
    <row r="8" spans="1:13">
      <c r="B8" s="3"/>
      <c r="C8" s="4"/>
      <c r="K8" s="5"/>
      <c r="L8" s="6"/>
      <c r="M8" s="6"/>
    </row>
    <row r="9" spans="1:13">
      <c r="A9" s="1" t="s">
        <v>46</v>
      </c>
    </row>
    <row r="10" spans="1:13">
      <c r="A10" s="2" t="str">
        <f>DEC2HEX(HEX2DEC(A7)+4,8)</f>
        <v>001025EC</v>
      </c>
      <c r="B10" s="2" t="s">
        <v>99</v>
      </c>
      <c r="C10" s="2" t="s">
        <v>55</v>
      </c>
    </row>
    <row r="11" spans="1:13">
      <c r="A11" s="2" t="str">
        <f>DEC2HEX(HEX2DEC(A10)+4,8)</f>
        <v>001025F0</v>
      </c>
      <c r="B11" s="2" t="s">
        <v>100</v>
      </c>
      <c r="C11" s="2" t="s">
        <v>52</v>
      </c>
    </row>
    <row r="12" spans="1:13">
      <c r="A12" s="2" t="str">
        <f t="shared" ref="A12:A68" si="0">DEC2HEX(HEX2DEC(A11)+4,8)</f>
        <v>001025F4</v>
      </c>
      <c r="B12" s="2" t="s">
        <v>101</v>
      </c>
      <c r="C12" s="2" t="s">
        <v>50</v>
      </c>
    </row>
    <row r="13" spans="1:13">
      <c r="A13" s="7" t="str">
        <f t="shared" si="0"/>
        <v>001025F8</v>
      </c>
      <c r="B13" s="7" t="s">
        <v>14</v>
      </c>
      <c r="C13" s="7" t="s">
        <v>21</v>
      </c>
      <c r="D13" s="7" t="s">
        <v>22</v>
      </c>
    </row>
    <row r="14" spans="1:13">
      <c r="A14" s="7" t="str">
        <f t="shared" si="0"/>
        <v>001025FC</v>
      </c>
      <c r="B14" s="7" t="s">
        <v>102</v>
      </c>
      <c r="C14" s="7" t="s">
        <v>24</v>
      </c>
      <c r="D14" s="7"/>
    </row>
    <row r="15" spans="1:13">
      <c r="A15" s="7" t="str">
        <f t="shared" si="0"/>
        <v>00102600</v>
      </c>
      <c r="B15" s="8" t="s">
        <v>103</v>
      </c>
      <c r="C15" s="7" t="s">
        <v>53</v>
      </c>
      <c r="D15" s="7"/>
    </row>
    <row r="16" spans="1:13">
      <c r="A16" s="7" t="str">
        <f t="shared" si="0"/>
        <v>00102604</v>
      </c>
      <c r="B16" s="7" t="s">
        <v>104</v>
      </c>
      <c r="C16" s="7" t="str">
        <f>_xlfn.CONCAT("bne 0x",A47)</f>
        <v>bne 0x00102680</v>
      </c>
      <c r="D16" s="7" t="s">
        <v>40</v>
      </c>
    </row>
    <row r="17" spans="1:4">
      <c r="A17" s="17" t="str">
        <f t="shared" si="0"/>
        <v>00102608</v>
      </c>
      <c r="B17" s="17" t="s">
        <v>105</v>
      </c>
      <c r="C17" s="17" t="s">
        <v>48</v>
      </c>
      <c r="D17" s="17" t="s">
        <v>47</v>
      </c>
    </row>
    <row r="18" spans="1:4">
      <c r="A18" s="17" t="str">
        <f t="shared" si="0"/>
        <v>0010260C</v>
      </c>
      <c r="B18" s="17" t="s">
        <v>106</v>
      </c>
      <c r="C18" s="17" t="s">
        <v>49</v>
      </c>
      <c r="D18" s="17"/>
    </row>
    <row r="19" spans="1:4">
      <c r="A19" s="17" t="str">
        <f t="shared" si="0"/>
        <v>00102610</v>
      </c>
      <c r="B19" s="17" t="s">
        <v>107</v>
      </c>
      <c r="C19" s="17" t="str">
        <f>_xlfn.CONCAT("bne 0x",A$67)</f>
        <v>bne 0x001026D0</v>
      </c>
      <c r="D19" s="17"/>
    </row>
    <row r="20" spans="1:4">
      <c r="A20" s="9" t="str">
        <f t="shared" si="0"/>
        <v>00102614</v>
      </c>
      <c r="B20" s="9" t="s">
        <v>108</v>
      </c>
      <c r="C20" s="9" t="str">
        <f>_xlfn.CONCAT("ldr r1, [pc, #",HEX2DEC(A$68)-HEX2DEC(A20)-8,"]")</f>
        <v>ldr r1, [pc, #184]</v>
      </c>
      <c r="D20" s="9" t="s">
        <v>28</v>
      </c>
    </row>
    <row r="21" spans="1:4">
      <c r="A21" s="9" t="str">
        <f t="shared" si="0"/>
        <v>00102618</v>
      </c>
      <c r="B21" s="10" t="s">
        <v>109</v>
      </c>
      <c r="C21" s="9" t="s">
        <v>76</v>
      </c>
      <c r="D21" s="9" t="s">
        <v>77</v>
      </c>
    </row>
    <row r="22" spans="1:4">
      <c r="A22" s="9" t="str">
        <f t="shared" si="0"/>
        <v>0010261C</v>
      </c>
      <c r="B22" s="10" t="s">
        <v>110</v>
      </c>
      <c r="C22" s="10" t="s">
        <v>29</v>
      </c>
      <c r="D22" s="9" t="s">
        <v>30</v>
      </c>
    </row>
    <row r="23" spans="1:4">
      <c r="A23" s="9" t="str">
        <f t="shared" si="0"/>
        <v>00102620</v>
      </c>
      <c r="B23" s="11" t="s">
        <v>111</v>
      </c>
      <c r="C23" s="9" t="s">
        <v>78</v>
      </c>
      <c r="D23" s="9" t="s">
        <v>79</v>
      </c>
    </row>
    <row r="24" spans="1:4">
      <c r="A24" s="9" t="str">
        <f t="shared" si="0"/>
        <v>00102624</v>
      </c>
      <c r="B24" s="11" t="s">
        <v>112</v>
      </c>
      <c r="C24" s="9" t="s">
        <v>80</v>
      </c>
      <c r="D24" s="9"/>
    </row>
    <row r="25" spans="1:4">
      <c r="A25" s="12" t="str">
        <f t="shared" si="0"/>
        <v>00102628</v>
      </c>
      <c r="B25" s="12" t="s">
        <v>113</v>
      </c>
      <c r="C25" s="12" t="s">
        <v>54</v>
      </c>
      <c r="D25" s="12" t="s">
        <v>31</v>
      </c>
    </row>
    <row r="26" spans="1:4">
      <c r="A26" s="12" t="str">
        <f t="shared" si="0"/>
        <v>0010262C</v>
      </c>
      <c r="B26" s="12" t="s">
        <v>13</v>
      </c>
      <c r="C26" s="12" t="s">
        <v>23</v>
      </c>
      <c r="D26" s="12"/>
    </row>
    <row r="27" spans="1:4">
      <c r="A27" s="12" t="str">
        <f t="shared" si="0"/>
        <v>00102630</v>
      </c>
      <c r="B27" s="12" t="s">
        <v>114</v>
      </c>
      <c r="C27" s="12" t="s">
        <v>51</v>
      </c>
      <c r="D27" s="12"/>
    </row>
    <row r="28" spans="1:4">
      <c r="A28" s="12" t="str">
        <f t="shared" si="0"/>
        <v>00102634</v>
      </c>
      <c r="B28" s="12" t="s">
        <v>115</v>
      </c>
      <c r="C28" s="12" t="s">
        <v>36</v>
      </c>
      <c r="D28" s="12"/>
    </row>
    <row r="29" spans="1:4">
      <c r="A29" s="13" t="str">
        <f t="shared" si="0"/>
        <v>00102638</v>
      </c>
      <c r="B29" s="13" t="s">
        <v>113</v>
      </c>
      <c r="C29" s="13" t="s">
        <v>54</v>
      </c>
      <c r="D29" s="13" t="s">
        <v>32</v>
      </c>
    </row>
    <row r="30" spans="1:4">
      <c r="A30" s="13" t="str">
        <f t="shared" si="0"/>
        <v>0010263C</v>
      </c>
      <c r="B30" s="13" t="s">
        <v>19</v>
      </c>
      <c r="C30" s="13" t="s">
        <v>33</v>
      </c>
      <c r="D30" s="13"/>
    </row>
    <row r="31" spans="1:4">
      <c r="A31" s="13" t="str">
        <f t="shared" si="0"/>
        <v>00102640</v>
      </c>
      <c r="B31" s="13" t="s">
        <v>114</v>
      </c>
      <c r="C31" s="13" t="s">
        <v>51</v>
      </c>
      <c r="D31" s="13"/>
    </row>
    <row r="32" spans="1:4">
      <c r="A32" s="13" t="str">
        <f t="shared" si="0"/>
        <v>00102644</v>
      </c>
      <c r="B32" s="13" t="s">
        <v>116</v>
      </c>
      <c r="C32" s="13" t="s">
        <v>37</v>
      </c>
      <c r="D32" s="13"/>
    </row>
    <row r="33" spans="1:4">
      <c r="A33" s="13" t="str">
        <f t="shared" si="0"/>
        <v>00102648</v>
      </c>
      <c r="B33" s="13" t="s">
        <v>18</v>
      </c>
      <c r="C33" s="13" t="s">
        <v>16</v>
      </c>
      <c r="D33" s="13"/>
    </row>
    <row r="34" spans="1:4">
      <c r="A34" s="12" t="str">
        <f t="shared" si="0"/>
        <v>0010264C</v>
      </c>
      <c r="B34" s="12" t="s">
        <v>113</v>
      </c>
      <c r="C34" s="12" t="s">
        <v>54</v>
      </c>
      <c r="D34" s="12" t="s">
        <v>42</v>
      </c>
    </row>
    <row r="35" spans="1:4">
      <c r="A35" s="12" t="str">
        <f t="shared" si="0"/>
        <v>00102650</v>
      </c>
      <c r="B35" s="12" t="s">
        <v>17</v>
      </c>
      <c r="C35" s="12" t="s">
        <v>26</v>
      </c>
      <c r="D35" s="12"/>
    </row>
    <row r="36" spans="1:4">
      <c r="A36" s="12" t="str">
        <f t="shared" si="0"/>
        <v>00102654</v>
      </c>
      <c r="B36" s="12" t="s">
        <v>114</v>
      </c>
      <c r="C36" s="12" t="s">
        <v>51</v>
      </c>
      <c r="D36" s="12"/>
    </row>
    <row r="37" spans="1:4">
      <c r="A37" s="12" t="str">
        <f t="shared" si="0"/>
        <v>00102658</v>
      </c>
      <c r="B37" s="12" t="s">
        <v>117</v>
      </c>
      <c r="C37" s="12" t="s">
        <v>36</v>
      </c>
      <c r="D37" s="12"/>
    </row>
    <row r="38" spans="1:4">
      <c r="A38" s="14" t="str">
        <f t="shared" si="0"/>
        <v>0010265C</v>
      </c>
      <c r="B38" s="14" t="s">
        <v>118</v>
      </c>
      <c r="C38" s="14" t="s">
        <v>44</v>
      </c>
      <c r="D38" s="14" t="s">
        <v>43</v>
      </c>
    </row>
    <row r="39" spans="1:4">
      <c r="A39" s="14" t="str">
        <f t="shared" si="0"/>
        <v>00102660</v>
      </c>
      <c r="B39" s="15" t="s">
        <v>119</v>
      </c>
      <c r="C39" s="14" t="s">
        <v>98</v>
      </c>
      <c r="D39" s="14"/>
    </row>
    <row r="40" spans="1:4">
      <c r="A40" s="14" t="str">
        <f t="shared" si="0"/>
        <v>00102664</v>
      </c>
      <c r="B40" s="14" t="s">
        <v>13</v>
      </c>
      <c r="C40" s="14" t="s">
        <v>23</v>
      </c>
      <c r="D40" s="14"/>
    </row>
    <row r="41" spans="1:4">
      <c r="A41" s="14" t="str">
        <f t="shared" si="0"/>
        <v>00102668</v>
      </c>
      <c r="B41" s="15" t="s">
        <v>34</v>
      </c>
      <c r="C41" s="14" t="s">
        <v>35</v>
      </c>
      <c r="D41" s="14"/>
    </row>
    <row r="42" spans="1:4">
      <c r="A42" s="14" t="str">
        <f t="shared" si="0"/>
        <v>0010266C</v>
      </c>
      <c r="B42" s="14" t="s">
        <v>120</v>
      </c>
      <c r="C42" s="14" t="s">
        <v>38</v>
      </c>
      <c r="D42" s="14"/>
    </row>
    <row r="43" spans="1:4">
      <c r="A43" s="16" t="str">
        <f t="shared" si="0"/>
        <v>00102670</v>
      </c>
      <c r="B43" s="16" t="s">
        <v>12</v>
      </c>
      <c r="C43" s="16" t="s">
        <v>4</v>
      </c>
      <c r="D43" s="16" t="s">
        <v>39</v>
      </c>
    </row>
    <row r="44" spans="1:4">
      <c r="A44" s="16" t="str">
        <f t="shared" si="0"/>
        <v>00102674</v>
      </c>
      <c r="B44" s="16" t="s">
        <v>114</v>
      </c>
      <c r="C44" s="16" t="s">
        <v>51</v>
      </c>
      <c r="D44" s="16"/>
    </row>
    <row r="45" spans="1:4">
      <c r="A45" s="2" t="str">
        <f t="shared" si="0"/>
        <v>00102678</v>
      </c>
      <c r="B45" s="2" t="s">
        <v>121</v>
      </c>
      <c r="C45" s="2" t="str">
        <f>SUBSTITUTE(C10,"push","pop")</f>
        <v>pop {r4, r5, r6, r7, lr}</v>
      </c>
    </row>
    <row r="46" spans="1:4">
      <c r="A46" s="16" t="str">
        <f t="shared" si="0"/>
        <v>0010267C</v>
      </c>
      <c r="B46" s="16" t="s">
        <v>122</v>
      </c>
      <c r="C46" s="16" t="s">
        <v>45</v>
      </c>
      <c r="D46" s="16"/>
    </row>
    <row r="47" spans="1:4">
      <c r="A47" s="2" t="str">
        <f t="shared" si="0"/>
        <v>00102680</v>
      </c>
      <c r="B47" s="2" t="s">
        <v>123</v>
      </c>
      <c r="C47" s="2" t="s">
        <v>58</v>
      </c>
      <c r="D47" s="2" t="s">
        <v>56</v>
      </c>
    </row>
    <row r="48" spans="1:4">
      <c r="A48" s="18" t="str">
        <f t="shared" si="0"/>
        <v>00102684</v>
      </c>
      <c r="B48" s="18" t="s">
        <v>124</v>
      </c>
      <c r="C48" s="18" t="s">
        <v>15</v>
      </c>
      <c r="D48" s="18" t="s">
        <v>57</v>
      </c>
    </row>
    <row r="49" spans="1:4">
      <c r="A49" s="18" t="str">
        <f t="shared" si="0"/>
        <v>00102688</v>
      </c>
      <c r="B49" s="18" t="s">
        <v>114</v>
      </c>
      <c r="C49" s="18" t="s">
        <v>51</v>
      </c>
      <c r="D49" s="18"/>
    </row>
    <row r="50" spans="1:4">
      <c r="A50" s="18" t="str">
        <f t="shared" si="0"/>
        <v>0010268C</v>
      </c>
      <c r="B50" s="18" t="s">
        <v>125</v>
      </c>
      <c r="C50" s="18" t="s">
        <v>41</v>
      </c>
      <c r="D50" s="18" t="s">
        <v>59</v>
      </c>
    </row>
    <row r="51" spans="1:4">
      <c r="A51" s="18" t="str">
        <f t="shared" si="0"/>
        <v>00102690</v>
      </c>
      <c r="B51" s="18" t="s">
        <v>18</v>
      </c>
      <c r="C51" s="18" t="s">
        <v>16</v>
      </c>
      <c r="D51" s="18" t="s">
        <v>62</v>
      </c>
    </row>
    <row r="52" spans="1:4">
      <c r="A52" s="19" t="str">
        <f t="shared" si="0"/>
        <v>00102694</v>
      </c>
      <c r="B52" s="19" t="s">
        <v>126</v>
      </c>
      <c r="C52" s="19" t="s">
        <v>60</v>
      </c>
      <c r="D52" s="19" t="s">
        <v>62</v>
      </c>
    </row>
    <row r="53" spans="1:4">
      <c r="A53" s="19" t="str">
        <f t="shared" si="0"/>
        <v>00102698</v>
      </c>
      <c r="B53" s="19" t="s">
        <v>127</v>
      </c>
      <c r="C53" s="19" t="s">
        <v>61</v>
      </c>
      <c r="D53" s="19"/>
    </row>
    <row r="54" spans="1:4">
      <c r="A54" s="19" t="str">
        <f t="shared" si="0"/>
        <v>0010269C</v>
      </c>
      <c r="B54" s="25" t="s">
        <v>128</v>
      </c>
      <c r="C54" s="19" t="s">
        <v>63</v>
      </c>
      <c r="D54" s="19"/>
    </row>
    <row r="55" spans="1:4">
      <c r="A55" s="19" t="str">
        <f t="shared" si="0"/>
        <v>001026A0</v>
      </c>
      <c r="B55" s="19" t="s">
        <v>129</v>
      </c>
      <c r="C55" s="19" t="str">
        <f>_xlfn.CONCAT("beq 0x",A$67)</f>
        <v>beq 0x001026D0</v>
      </c>
      <c r="D55" s="19" t="s">
        <v>64</v>
      </c>
    </row>
    <row r="56" spans="1:4">
      <c r="A56" s="20" t="str">
        <f t="shared" si="0"/>
        <v>001026A4</v>
      </c>
      <c r="B56" s="20" t="s">
        <v>130</v>
      </c>
      <c r="C56" s="20" t="s">
        <v>65</v>
      </c>
      <c r="D56" s="20" t="s">
        <v>70</v>
      </c>
    </row>
    <row r="57" spans="1:4">
      <c r="A57" s="20" t="str">
        <f t="shared" si="0"/>
        <v>001026A8</v>
      </c>
      <c r="B57" s="20" t="s">
        <v>131</v>
      </c>
      <c r="C57" s="20" t="s">
        <v>66</v>
      </c>
      <c r="D57" s="20"/>
    </row>
    <row r="58" spans="1:4">
      <c r="A58" s="20" t="str">
        <f t="shared" si="0"/>
        <v>001026AC</v>
      </c>
      <c r="B58" s="20" t="s">
        <v>132</v>
      </c>
      <c r="C58" s="20" t="s">
        <v>67</v>
      </c>
      <c r="D58" s="20"/>
    </row>
    <row r="59" spans="1:4">
      <c r="A59" s="20" t="str">
        <f t="shared" si="0"/>
        <v>001026B0</v>
      </c>
      <c r="B59" s="20" t="s">
        <v>133</v>
      </c>
      <c r="C59" s="20" t="s">
        <v>69</v>
      </c>
      <c r="D59" s="20"/>
    </row>
    <row r="60" spans="1:4">
      <c r="A60" s="20" t="str">
        <f t="shared" si="0"/>
        <v>001026B4</v>
      </c>
      <c r="B60" s="20" t="s">
        <v>134</v>
      </c>
      <c r="C60" s="20" t="s">
        <v>68</v>
      </c>
      <c r="D60" s="20"/>
    </row>
    <row r="61" spans="1:4">
      <c r="A61" s="20" t="str">
        <f t="shared" si="0"/>
        <v>001026B8</v>
      </c>
      <c r="B61" s="20" t="s">
        <v>135</v>
      </c>
      <c r="C61" s="20" t="str">
        <f>_xlfn.CONCAT("beq 0x",A$67)</f>
        <v>beq 0x001026D0</v>
      </c>
      <c r="D61" s="20" t="s">
        <v>71</v>
      </c>
    </row>
    <row r="62" spans="1:4">
      <c r="A62" s="2" t="str">
        <f t="shared" si="0"/>
        <v>001026BC</v>
      </c>
      <c r="B62" s="2" t="s">
        <v>113</v>
      </c>
      <c r="C62" s="2" t="s">
        <v>165</v>
      </c>
      <c r="D62" s="2" t="s">
        <v>173</v>
      </c>
    </row>
    <row r="63" spans="1:4">
      <c r="A63" s="2" t="str">
        <f t="shared" si="0"/>
        <v>001026C0</v>
      </c>
      <c r="B63" s="2" t="s">
        <v>136</v>
      </c>
      <c r="C63" s="2" t="s">
        <v>15</v>
      </c>
      <c r="D63" s="2" t="s">
        <v>174</v>
      </c>
    </row>
    <row r="64" spans="1:4">
      <c r="A64" s="2" t="str">
        <f t="shared" si="0"/>
        <v>001026C4</v>
      </c>
      <c r="B64" s="2" t="s">
        <v>114</v>
      </c>
      <c r="C64" s="2" t="s">
        <v>166</v>
      </c>
      <c r="D64" s="2" t="s">
        <v>175</v>
      </c>
    </row>
    <row r="65" spans="1:4">
      <c r="A65" s="2" t="str">
        <f t="shared" si="0"/>
        <v>001026C8</v>
      </c>
      <c r="B65" s="2" t="s">
        <v>137</v>
      </c>
      <c r="C65" s="2" t="s">
        <v>87</v>
      </c>
      <c r="D65" s="2" t="s">
        <v>176</v>
      </c>
    </row>
    <row r="66" spans="1:4">
      <c r="A66" s="2" t="str">
        <f t="shared" si="0"/>
        <v>001026CC</v>
      </c>
      <c r="B66" s="2" t="s">
        <v>18</v>
      </c>
      <c r="C66" s="2" t="s">
        <v>164</v>
      </c>
    </row>
    <row r="67" spans="1:4">
      <c r="A67" s="2" t="str">
        <f t="shared" si="0"/>
        <v>001026D0</v>
      </c>
      <c r="B67" s="2" t="s">
        <v>138</v>
      </c>
      <c r="C67" s="2" t="str">
        <f>SUBSTITUTE(C45,"lr","pc")</f>
        <v>pop {r4, r5, r6, r7, pc}</v>
      </c>
    </row>
    <row r="68" spans="1:4">
      <c r="A68" s="2" t="str">
        <f t="shared" si="0"/>
        <v>001026D4</v>
      </c>
      <c r="B68" s="3" t="s">
        <v>3</v>
      </c>
      <c r="D68" s="2" t="s">
        <v>81</v>
      </c>
    </row>
    <row r="69" spans="1:4">
      <c r="B69" s="3"/>
      <c r="C69" s="4"/>
    </row>
    <row r="70" spans="1:4">
      <c r="A70" s="1" t="s">
        <v>74</v>
      </c>
    </row>
    <row r="71" spans="1:4">
      <c r="A71" s="2" t="str">
        <f>DEC2HEX(HEX2DEC(A68)+4,8)</f>
        <v>001026D8</v>
      </c>
      <c r="B71" s="2" t="s">
        <v>99</v>
      </c>
      <c r="C71" s="2" t="s">
        <v>55</v>
      </c>
    </row>
    <row r="72" spans="1:4">
      <c r="A72" s="2" t="str">
        <f>DEC2HEX(HEX2DEC(A71)+4,8)</f>
        <v>001026DC</v>
      </c>
      <c r="B72" s="2" t="s">
        <v>100</v>
      </c>
      <c r="C72" s="2" t="s">
        <v>52</v>
      </c>
    </row>
    <row r="73" spans="1:4">
      <c r="A73" s="2" t="str">
        <f t="shared" ref="A73:A107" si="1">DEC2HEX(HEX2DEC(A72)+4,8)</f>
        <v>001026E0</v>
      </c>
      <c r="B73" s="2" t="s">
        <v>101</v>
      </c>
      <c r="C73" s="2" t="s">
        <v>50</v>
      </c>
    </row>
    <row r="74" spans="1:4">
      <c r="A74" s="7" t="str">
        <f t="shared" si="1"/>
        <v>001026E4</v>
      </c>
      <c r="B74" s="7" t="s">
        <v>14</v>
      </c>
      <c r="C74" s="7" t="s">
        <v>21</v>
      </c>
      <c r="D74" s="7" t="s">
        <v>22</v>
      </c>
    </row>
    <row r="75" spans="1:4">
      <c r="A75" s="7" t="str">
        <f t="shared" si="1"/>
        <v>001026E8</v>
      </c>
      <c r="B75" s="7" t="s">
        <v>139</v>
      </c>
      <c r="C75" s="7" t="s">
        <v>24</v>
      </c>
      <c r="D75" s="7"/>
    </row>
    <row r="76" spans="1:4">
      <c r="A76" s="7" t="str">
        <f t="shared" si="1"/>
        <v>001026EC</v>
      </c>
      <c r="B76" s="8" t="s">
        <v>103</v>
      </c>
      <c r="C76" s="7" t="s">
        <v>53</v>
      </c>
      <c r="D76" s="7"/>
    </row>
    <row r="77" spans="1:4">
      <c r="A77" s="9" t="str">
        <f t="shared" si="1"/>
        <v>001026F0</v>
      </c>
      <c r="B77" s="9" t="s">
        <v>141</v>
      </c>
      <c r="C77" s="9" t="str">
        <f>_xlfn.CONCAT("ldr r1, [pc, #",HEX2DEC(A$68)-HEX2DEC(A77)-8,"]")</f>
        <v>ldr r1, [pc, #-36]</v>
      </c>
      <c r="D77" s="9" t="s">
        <v>28</v>
      </c>
    </row>
    <row r="78" spans="1:4">
      <c r="A78" s="9" t="str">
        <f t="shared" si="1"/>
        <v>001026F4</v>
      </c>
      <c r="B78" s="10" t="s">
        <v>142</v>
      </c>
      <c r="C78" s="10" t="s">
        <v>76</v>
      </c>
      <c r="D78" s="9" t="s">
        <v>82</v>
      </c>
    </row>
    <row r="79" spans="1:4">
      <c r="A79" s="7" t="str">
        <f t="shared" si="1"/>
        <v>001026F8</v>
      </c>
      <c r="B79" s="7" t="s">
        <v>140</v>
      </c>
      <c r="C79" s="7" t="str">
        <f>_xlfn.CONCAT("bne 0x",A98)</f>
        <v>bne 0x00102744</v>
      </c>
      <c r="D79" s="7" t="s">
        <v>40</v>
      </c>
    </row>
    <row r="80" spans="1:4">
      <c r="A80" s="9" t="str">
        <f t="shared" si="1"/>
        <v>001026FC</v>
      </c>
      <c r="B80" s="11" t="s">
        <v>143</v>
      </c>
      <c r="C80" s="9" t="s">
        <v>29</v>
      </c>
      <c r="D80" s="9"/>
    </row>
    <row r="81" spans="1:4">
      <c r="A81" s="9" t="str">
        <f t="shared" si="1"/>
        <v>00102700</v>
      </c>
      <c r="B81" s="11" t="s">
        <v>144</v>
      </c>
      <c r="C81" s="9" t="s">
        <v>170</v>
      </c>
      <c r="D81" s="9" t="s">
        <v>84</v>
      </c>
    </row>
    <row r="82" spans="1:4">
      <c r="A82" s="9" t="str">
        <f t="shared" si="1"/>
        <v>00102704</v>
      </c>
      <c r="B82" s="11"/>
      <c r="C82" s="9" t="s">
        <v>80</v>
      </c>
      <c r="D82" s="9" t="s">
        <v>169</v>
      </c>
    </row>
    <row r="83" spans="1:4">
      <c r="A83" s="9" t="str">
        <f t="shared" si="1"/>
        <v>00102708</v>
      </c>
      <c r="B83" s="11" t="s">
        <v>145</v>
      </c>
      <c r="C83" s="9" t="s">
        <v>171</v>
      </c>
      <c r="D83" s="9" t="s">
        <v>83</v>
      </c>
    </row>
    <row r="84" spans="1:4">
      <c r="A84" s="9" t="str">
        <f t="shared" si="1"/>
        <v>0010270C</v>
      </c>
      <c r="B84" s="11" t="s">
        <v>146</v>
      </c>
      <c r="C84" s="9" t="str">
        <f>_xlfn.CONCAT("bne 0x",A$121)</f>
        <v>bne 0x001027A0</v>
      </c>
      <c r="D84" s="9" t="s">
        <v>75</v>
      </c>
    </row>
    <row r="85" spans="1:4">
      <c r="A85" s="13" t="str">
        <f t="shared" si="1"/>
        <v>00102710</v>
      </c>
      <c r="B85" s="13" t="s">
        <v>113</v>
      </c>
      <c r="C85" s="13" t="s">
        <v>54</v>
      </c>
      <c r="D85" s="13" t="s">
        <v>32</v>
      </c>
    </row>
    <row r="86" spans="1:4">
      <c r="A86" s="13" t="str">
        <f t="shared" si="1"/>
        <v>00102714</v>
      </c>
      <c r="B86" s="13" t="s">
        <v>19</v>
      </c>
      <c r="C86" s="13" t="s">
        <v>33</v>
      </c>
      <c r="D86" s="13"/>
    </row>
    <row r="87" spans="1:4">
      <c r="A87" s="13" t="str">
        <f t="shared" si="1"/>
        <v>00102718</v>
      </c>
      <c r="B87" s="13" t="s">
        <v>114</v>
      </c>
      <c r="C87" s="13" t="s">
        <v>51</v>
      </c>
      <c r="D87" s="13"/>
    </row>
    <row r="88" spans="1:4">
      <c r="A88" s="13" t="str">
        <f t="shared" si="1"/>
        <v>0010271C</v>
      </c>
      <c r="B88" s="13" t="s">
        <v>147</v>
      </c>
      <c r="C88" s="13" t="s">
        <v>37</v>
      </c>
      <c r="D88" s="13"/>
    </row>
    <row r="89" spans="1:4">
      <c r="A89" s="13" t="str">
        <f t="shared" si="1"/>
        <v>00102720</v>
      </c>
      <c r="B89" s="13" t="s">
        <v>18</v>
      </c>
      <c r="C89" s="13" t="s">
        <v>16</v>
      </c>
      <c r="D89" s="13"/>
    </row>
    <row r="90" spans="1:4">
      <c r="A90" s="14" t="str">
        <f t="shared" si="1"/>
        <v>00102724</v>
      </c>
      <c r="B90" s="14" t="s">
        <v>148</v>
      </c>
      <c r="C90" s="14" t="s">
        <v>73</v>
      </c>
      <c r="D90" s="14" t="s">
        <v>72</v>
      </c>
    </row>
    <row r="91" spans="1:4">
      <c r="A91" s="14" t="str">
        <f t="shared" si="1"/>
        <v>00102728</v>
      </c>
      <c r="B91" s="14" t="s">
        <v>13</v>
      </c>
      <c r="C91" s="14" t="s">
        <v>23</v>
      </c>
      <c r="D91" s="14"/>
    </row>
    <row r="92" spans="1:4">
      <c r="A92" s="14" t="str">
        <f t="shared" si="1"/>
        <v>0010272C</v>
      </c>
      <c r="B92" s="15" t="s">
        <v>34</v>
      </c>
      <c r="C92" s="14" t="s">
        <v>35</v>
      </c>
      <c r="D92" s="14"/>
    </row>
    <row r="93" spans="1:4">
      <c r="A93" s="14" t="str">
        <f t="shared" si="1"/>
        <v>00102730</v>
      </c>
      <c r="B93" s="14" t="s">
        <v>149</v>
      </c>
      <c r="C93" s="14" t="s">
        <v>38</v>
      </c>
      <c r="D93" s="14"/>
    </row>
    <row r="94" spans="1:4">
      <c r="A94" s="16" t="str">
        <f t="shared" si="1"/>
        <v>00102734</v>
      </c>
      <c r="B94" s="16" t="s">
        <v>12</v>
      </c>
      <c r="C94" s="16" t="s">
        <v>4</v>
      </c>
      <c r="D94" s="16" t="s">
        <v>39</v>
      </c>
    </row>
    <row r="95" spans="1:4">
      <c r="A95" s="16" t="str">
        <f t="shared" si="1"/>
        <v>00102738</v>
      </c>
      <c r="B95" s="16" t="s">
        <v>114</v>
      </c>
      <c r="C95" s="16" t="s">
        <v>51</v>
      </c>
      <c r="D95" s="16"/>
    </row>
    <row r="96" spans="1:4">
      <c r="A96" s="2" t="str">
        <f t="shared" si="1"/>
        <v>0010273C</v>
      </c>
      <c r="B96" s="2" t="s">
        <v>121</v>
      </c>
      <c r="C96" s="2" t="str">
        <f>SUBSTITUTE(C71,"push","pop")</f>
        <v>pop {r4, r5, r6, r7, lr}</v>
      </c>
    </row>
    <row r="97" spans="1:4">
      <c r="A97" s="16" t="str">
        <f t="shared" si="1"/>
        <v>00102740</v>
      </c>
      <c r="B97" s="16" t="s">
        <v>150</v>
      </c>
      <c r="C97" s="16" t="s">
        <v>45</v>
      </c>
      <c r="D97" s="16"/>
    </row>
    <row r="98" spans="1:4">
      <c r="A98" s="2" t="str">
        <f t="shared" si="1"/>
        <v>00102744</v>
      </c>
      <c r="B98" s="3" t="s">
        <v>145</v>
      </c>
      <c r="C98" s="2" t="s">
        <v>171</v>
      </c>
      <c r="D98" s="2" t="s">
        <v>172</v>
      </c>
    </row>
    <row r="99" spans="1:4">
      <c r="A99" s="2" t="str">
        <f t="shared" si="1"/>
        <v>00102748</v>
      </c>
      <c r="B99" s="2" t="s">
        <v>25</v>
      </c>
      <c r="C99" s="2" t="str">
        <f>_xlfn.CONCAT("bne 0x",A121)</f>
        <v>bne 0x001027A0</v>
      </c>
      <c r="D99" s="2" t="s">
        <v>95</v>
      </c>
    </row>
    <row r="100" spans="1:4">
      <c r="A100" s="2" t="str">
        <f t="shared" si="1"/>
        <v>0010274C</v>
      </c>
      <c r="C100" s="2" t="s">
        <v>58</v>
      </c>
      <c r="D100" s="2" t="s">
        <v>167</v>
      </c>
    </row>
    <row r="101" spans="1:4">
      <c r="A101" s="18" t="str">
        <f t="shared" si="1"/>
        <v>00102750</v>
      </c>
      <c r="B101" s="18" t="s">
        <v>124</v>
      </c>
      <c r="C101" s="18" t="s">
        <v>15</v>
      </c>
      <c r="D101" s="18"/>
    </row>
    <row r="102" spans="1:4">
      <c r="A102" s="18" t="str">
        <f t="shared" si="1"/>
        <v>00102754</v>
      </c>
      <c r="B102" s="18" t="s">
        <v>114</v>
      </c>
      <c r="C102" s="18" t="s">
        <v>51</v>
      </c>
      <c r="D102" s="18"/>
    </row>
    <row r="103" spans="1:4">
      <c r="A103" s="18" t="str">
        <f t="shared" si="1"/>
        <v>00102758</v>
      </c>
      <c r="B103" s="18" t="s">
        <v>151</v>
      </c>
      <c r="C103" s="18" t="s">
        <v>41</v>
      </c>
      <c r="D103" s="18" t="s">
        <v>59</v>
      </c>
    </row>
    <row r="104" spans="1:4">
      <c r="A104" s="18" t="str">
        <f t="shared" si="1"/>
        <v>0010275C</v>
      </c>
      <c r="B104" s="18" t="s">
        <v>18</v>
      </c>
      <c r="C104" s="18" t="s">
        <v>16</v>
      </c>
      <c r="D104" s="18"/>
    </row>
    <row r="105" spans="1:4">
      <c r="A105" s="19" t="str">
        <f t="shared" si="1"/>
        <v>00102760</v>
      </c>
      <c r="B105" s="19" t="s">
        <v>126</v>
      </c>
      <c r="C105" s="19" t="s">
        <v>60</v>
      </c>
      <c r="D105" s="19" t="s">
        <v>86</v>
      </c>
    </row>
    <row r="106" spans="1:4">
      <c r="A106" s="19" t="str">
        <f t="shared" si="1"/>
        <v>00102764</v>
      </c>
      <c r="B106" s="19" t="s">
        <v>152</v>
      </c>
      <c r="C106" s="19" t="s">
        <v>61</v>
      </c>
      <c r="D106" s="19"/>
    </row>
    <row r="107" spans="1:4">
      <c r="A107" s="19" t="str">
        <f t="shared" si="1"/>
        <v>00102768</v>
      </c>
      <c r="B107" s="25" t="s">
        <v>128</v>
      </c>
      <c r="C107" s="19" t="s">
        <v>63</v>
      </c>
      <c r="D107" s="19"/>
    </row>
    <row r="108" spans="1:4">
      <c r="A108" s="19" t="str">
        <f t="shared" ref="A108:A121" si="2">DEC2HEX(HEX2DEC(A107)+4,8)</f>
        <v>0010276C</v>
      </c>
      <c r="B108" s="19" t="s">
        <v>153</v>
      </c>
      <c r="C108" s="19" t="str">
        <f>_xlfn.CONCAT("bne 0x",A$121)</f>
        <v>bne 0x001027A0</v>
      </c>
      <c r="D108" s="19" t="s">
        <v>85</v>
      </c>
    </row>
    <row r="109" spans="1:4">
      <c r="A109" s="21" t="str">
        <f t="shared" si="2"/>
        <v>00102770</v>
      </c>
      <c r="B109" s="21" t="s">
        <v>154</v>
      </c>
      <c r="C109" s="21" t="s">
        <v>168</v>
      </c>
      <c r="D109" s="21"/>
    </row>
    <row r="110" spans="1:4">
      <c r="A110" s="21" t="str">
        <f t="shared" si="2"/>
        <v>00102774</v>
      </c>
      <c r="B110" s="21" t="s">
        <v>155</v>
      </c>
      <c r="C110" s="21" t="s">
        <v>92</v>
      </c>
      <c r="D110" s="21"/>
    </row>
    <row r="111" spans="1:4">
      <c r="A111" s="21" t="str">
        <f t="shared" si="2"/>
        <v>00102778</v>
      </c>
      <c r="B111" s="21" t="s">
        <v>114</v>
      </c>
      <c r="C111" s="21" t="s">
        <v>51</v>
      </c>
      <c r="D111" s="21"/>
    </row>
    <row r="112" spans="1:4">
      <c r="A112" s="21" t="str">
        <f t="shared" si="2"/>
        <v>0010277C</v>
      </c>
      <c r="B112" s="21" t="s">
        <v>156</v>
      </c>
      <c r="C112" s="21" t="s">
        <v>37</v>
      </c>
      <c r="D112" s="21"/>
    </row>
    <row r="113" spans="1:4">
      <c r="A113" s="22" t="str">
        <f>DEC2HEX(HEX2DEC(A112)+4,8)</f>
        <v>00102780</v>
      </c>
      <c r="B113" s="22" t="s">
        <v>157</v>
      </c>
      <c r="C113" s="22" t="s">
        <v>87</v>
      </c>
      <c r="D113" s="22" t="s">
        <v>91</v>
      </c>
    </row>
    <row r="114" spans="1:4">
      <c r="A114" s="22" t="str">
        <f>DEC2HEX(HEX2DEC(A113)+4,8)</f>
        <v>00102784</v>
      </c>
      <c r="B114" s="22" t="s">
        <v>158</v>
      </c>
      <c r="C114" s="22" t="s">
        <v>88</v>
      </c>
      <c r="D114" s="22"/>
    </row>
    <row r="115" spans="1:4">
      <c r="A115" s="23" t="str">
        <f>DEC2HEX(HEX2DEC(A114)+4,8)</f>
        <v>00102788</v>
      </c>
      <c r="B115" s="23" t="s">
        <v>159</v>
      </c>
      <c r="C115" s="23" t="s">
        <v>89</v>
      </c>
      <c r="D115" s="23"/>
    </row>
    <row r="116" spans="1:4">
      <c r="A116" s="23" t="str">
        <f t="shared" si="2"/>
        <v>0010278C</v>
      </c>
      <c r="B116" s="23" t="s">
        <v>160</v>
      </c>
      <c r="C116" s="23" t="s">
        <v>90</v>
      </c>
      <c r="D116" s="23"/>
    </row>
    <row r="117" spans="1:4">
      <c r="A117" s="24" t="str">
        <f t="shared" si="2"/>
        <v>00102790</v>
      </c>
      <c r="B117" s="24" t="s">
        <v>161</v>
      </c>
      <c r="C117" s="24" t="s">
        <v>93</v>
      </c>
      <c r="D117" s="24"/>
    </row>
    <row r="118" spans="1:4">
      <c r="A118" s="17" t="str">
        <f t="shared" si="2"/>
        <v>00102794</v>
      </c>
      <c r="B118" s="17" t="s">
        <v>162</v>
      </c>
      <c r="C118" s="17" t="s">
        <v>94</v>
      </c>
      <c r="D118" s="17"/>
    </row>
    <row r="119" spans="1:4">
      <c r="A119" s="24" t="str">
        <f t="shared" si="2"/>
        <v>00102798</v>
      </c>
      <c r="B119" s="24" t="s">
        <v>114</v>
      </c>
      <c r="C119" s="24" t="s">
        <v>51</v>
      </c>
      <c r="D119" s="24"/>
    </row>
    <row r="120" spans="1:4">
      <c r="A120" s="2" t="str">
        <f t="shared" si="2"/>
        <v>0010279C</v>
      </c>
      <c r="B120" s="2" t="s">
        <v>163</v>
      </c>
      <c r="C120" s="2" t="str">
        <f>_xlfn.CONCAT("b 0x",A96)</f>
        <v>b 0x0010273C</v>
      </c>
    </row>
    <row r="121" spans="1:4">
      <c r="A121" s="2" t="str">
        <f t="shared" si="2"/>
        <v>001027A0</v>
      </c>
      <c r="B121" s="2" t="s">
        <v>138</v>
      </c>
      <c r="C121" s="2" t="str">
        <f>SUBSTITUTE(C96,"lr","pc")</f>
        <v>pop {r4, r5, r6, r7, pc}</v>
      </c>
    </row>
    <row r="122" spans="1:4">
      <c r="B12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2026-05-01T01:48:58Z</dcterms:modified>
</cp:coreProperties>
</file>