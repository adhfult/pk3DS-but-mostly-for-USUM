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ropbox\ROM\3ds\USUM ARM research\"/>
    </mc:Choice>
  </mc:AlternateContent>
  <xr:revisionPtr revIDLastSave="0" documentId="13_ncr:1_{D4CC7F7A-5A9F-48DD-BED8-3D4CBCD078A2}" xr6:coauthVersionLast="47" xr6:coauthVersionMax="47" xr10:uidLastSave="{00000000-0000-0000-0000-000000000000}"/>
  <bookViews>
    <workbookView xWindow="16457" yWindow="0" windowWidth="16457" windowHeight="17914" activeTab="2" xr2:uid="{5DAE36C9-03D8-4C3D-808B-BF68ABBDB9B0}"/>
  </bookViews>
  <sheets>
    <sheet name="Status.cro" sheetId="5" r:id="rId1"/>
    <sheet name="Bag.cro" sheetId="3" r:id="rId2"/>
    <sheet name="Battle.cro" sheetId="1" r:id="rId3"/>
    <sheet name="code.bin" sheetId="2" r:id="rId4"/>
    <sheet name="FieldRo.cro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3" l="1"/>
  <c r="C8" i="5" l="1"/>
  <c r="C7" i="5"/>
  <c r="C6" i="5"/>
  <c r="A34" i="5" l="1"/>
  <c r="C33" i="5" s="1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5" i="5"/>
  <c r="C14" i="5"/>
  <c r="C13" i="5"/>
  <c r="C12" i="5"/>
  <c r="C11" i="5"/>
  <c r="C10" i="5"/>
  <c r="C9" i="5"/>
  <c r="C5" i="5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A35" i="5" l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C413" i="1"/>
  <c r="C412" i="1"/>
  <c r="C411" i="1"/>
  <c r="C410" i="1"/>
  <c r="C409" i="1"/>
  <c r="C408" i="1"/>
  <c r="C407" i="1"/>
  <c r="C435" i="1" l="1"/>
  <c r="C434" i="1"/>
  <c r="C433" i="1"/>
  <c r="C432" i="1"/>
  <c r="C431" i="1"/>
  <c r="C430" i="1"/>
  <c r="C429" i="1"/>
  <c r="C428" i="1"/>
  <c r="C427" i="1"/>
  <c r="C426" i="1"/>
  <c r="C492" i="1" l="1"/>
  <c r="C491" i="1"/>
  <c r="C490" i="1"/>
  <c r="C489" i="1"/>
  <c r="C488" i="1"/>
  <c r="C487" i="1"/>
  <c r="C486" i="1"/>
  <c r="C485" i="1"/>
  <c r="C484" i="1"/>
  <c r="C313" i="1"/>
  <c r="C312" i="1"/>
  <c r="C311" i="1"/>
  <c r="C310" i="1"/>
  <c r="C309" i="1"/>
  <c r="C308" i="1"/>
  <c r="C307" i="1"/>
  <c r="C406" i="1" l="1"/>
  <c r="C405" i="1"/>
  <c r="C404" i="1"/>
  <c r="C403" i="1"/>
  <c r="C402" i="1"/>
  <c r="C401" i="1"/>
  <c r="C400" i="1"/>
  <c r="C399" i="1" l="1"/>
  <c r="C398" i="1"/>
  <c r="C533" i="1" l="1"/>
  <c r="C532" i="1"/>
  <c r="C531" i="1"/>
  <c r="C530" i="1"/>
  <c r="C529" i="1"/>
  <c r="C528" i="1"/>
  <c r="C534" i="1"/>
  <c r="C513" i="1" l="1"/>
  <c r="C512" i="1"/>
  <c r="C511" i="1"/>
  <c r="C510" i="1"/>
  <c r="C397" i="1" l="1"/>
  <c r="C396" i="1"/>
  <c r="C415" i="1"/>
  <c r="C414" i="1"/>
  <c r="C315" i="1"/>
  <c r="C314" i="1"/>
  <c r="C421" i="1" l="1"/>
  <c r="C420" i="1"/>
  <c r="C419" i="1"/>
  <c r="C418" i="1"/>
  <c r="C247" i="1" l="1"/>
  <c r="C246" i="1"/>
  <c r="C245" i="1"/>
  <c r="A34" i="4" l="1"/>
  <c r="C33" i="4" s="1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5" i="4"/>
  <c r="C14" i="4"/>
  <c r="C13" i="4"/>
  <c r="C12" i="4"/>
  <c r="C11" i="4"/>
  <c r="C10" i="4"/>
  <c r="C9" i="4"/>
  <c r="C8" i="4"/>
  <c r="C7" i="4"/>
  <c r="C6" i="4"/>
  <c r="C5" i="4"/>
  <c r="A35" i="4" l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C15" i="3" l="1"/>
  <c r="C7" i="3"/>
  <c r="C6" i="3"/>
  <c r="A34" i="3"/>
  <c r="A35" i="3" s="1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4" i="3"/>
  <c r="C13" i="3"/>
  <c r="C12" i="3"/>
  <c r="C11" i="3"/>
  <c r="C10" i="3"/>
  <c r="C9" i="3"/>
  <c r="C8" i="3"/>
  <c r="C170" i="1"/>
  <c r="C169" i="1"/>
  <c r="C168" i="1"/>
  <c r="C167" i="1"/>
  <c r="C33" i="3" l="1"/>
  <c r="A36" i="3"/>
  <c r="C275" i="1"/>
  <c r="C274" i="1"/>
  <c r="C273" i="1"/>
  <c r="C272" i="1"/>
  <c r="C271" i="1"/>
  <c r="C270" i="1"/>
  <c r="C443" i="1"/>
  <c r="C442" i="1"/>
  <c r="C441" i="1"/>
  <c r="A37" i="3" l="1"/>
  <c r="A38" i="3" s="1"/>
  <c r="C360" i="1"/>
  <c r="C359" i="1"/>
  <c r="C358" i="1"/>
  <c r="C357" i="1"/>
  <c r="C356" i="1"/>
  <c r="A39" i="3" l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27" i="1"/>
  <c r="C526" i="1"/>
  <c r="C525" i="1"/>
  <c r="C524" i="1"/>
  <c r="C523" i="1"/>
  <c r="C522" i="1"/>
  <c r="C521" i="1"/>
  <c r="C425" i="1"/>
  <c r="A40" i="3" l="1"/>
  <c r="C206" i="1"/>
  <c r="C205" i="1"/>
  <c r="C204" i="1"/>
  <c r="A41" i="3" l="1"/>
  <c r="C319" i="1"/>
  <c r="C318" i="1"/>
  <c r="C317" i="1"/>
  <c r="C316" i="1"/>
  <c r="C306" i="1"/>
  <c r="C305" i="1"/>
  <c r="C424" i="1"/>
  <c r="C423" i="1"/>
  <c r="C422" i="1"/>
  <c r="A42" i="3" l="1"/>
  <c r="C210" i="1"/>
  <c r="C209" i="1"/>
  <c r="C208" i="1"/>
  <c r="C207" i="1"/>
  <c r="C203" i="1"/>
  <c r="C202" i="1"/>
  <c r="C201" i="1"/>
  <c r="C200" i="1"/>
  <c r="C199" i="1"/>
  <c r="A43" i="3" l="1"/>
  <c r="C154" i="1"/>
  <c r="C153" i="1"/>
  <c r="C152" i="1"/>
  <c r="C157" i="1"/>
  <c r="C156" i="1"/>
  <c r="C155" i="1"/>
  <c r="C151" i="1"/>
  <c r="C150" i="1"/>
  <c r="A44" i="3" l="1"/>
  <c r="C439" i="1"/>
  <c r="C438" i="1"/>
  <c r="C437" i="1"/>
  <c r="C436" i="1"/>
  <c r="A45" i="3" l="1"/>
  <c r="C239" i="1"/>
  <c r="C242" i="1"/>
  <c r="C241" i="1"/>
  <c r="C240" i="1"/>
  <c r="C238" i="1"/>
  <c r="C237" i="1"/>
  <c r="C304" i="1"/>
  <c r="A46" i="3" l="1"/>
  <c r="C293" i="1"/>
  <c r="C292" i="1"/>
  <c r="A47" i="3" l="1"/>
  <c r="C520" i="1"/>
  <c r="C519" i="1"/>
  <c r="C518" i="1"/>
  <c r="C517" i="1"/>
  <c r="C516" i="1"/>
  <c r="A48" i="3" l="1"/>
  <c r="C515" i="1"/>
  <c r="C514" i="1"/>
  <c r="C509" i="1"/>
  <c r="A49" i="3" l="1"/>
  <c r="A50" i="3" s="1"/>
  <c r="A51" i="3" s="1"/>
  <c r="A52" i="3" s="1"/>
  <c r="A53" i="3" s="1"/>
  <c r="C508" i="1"/>
  <c r="C507" i="1"/>
  <c r="C506" i="1"/>
  <c r="C505" i="1"/>
  <c r="C504" i="1"/>
  <c r="C503" i="1"/>
  <c r="C502" i="1"/>
  <c r="C501" i="1"/>
  <c r="C269" i="1" l="1"/>
  <c r="C268" i="1"/>
  <c r="C452" i="1" l="1"/>
  <c r="C451" i="1"/>
  <c r="C450" i="1"/>
  <c r="C449" i="1"/>
  <c r="C448" i="1"/>
  <c r="C447" i="1"/>
  <c r="C446" i="1"/>
  <c r="C445" i="1"/>
  <c r="C475" i="1"/>
  <c r="C474" i="1"/>
  <c r="C473" i="1"/>
  <c r="C472" i="1"/>
  <c r="C471" i="1"/>
  <c r="C470" i="1"/>
  <c r="C469" i="1"/>
  <c r="C159" i="1" l="1"/>
  <c r="C158" i="1"/>
  <c r="C607" i="1" l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479" i="1" l="1"/>
  <c r="C478" i="1"/>
  <c r="C477" i="1"/>
  <c r="C476" i="1"/>
  <c r="C468" i="1" l="1"/>
  <c r="C467" i="1"/>
  <c r="C466" i="1"/>
  <c r="C483" i="1" l="1"/>
  <c r="C482" i="1"/>
  <c r="C481" i="1"/>
  <c r="C480" i="1"/>
  <c r="C244" i="1" l="1"/>
  <c r="C243" i="1"/>
  <c r="C497" i="1" l="1"/>
  <c r="C496" i="1"/>
  <c r="C495" i="1"/>
  <c r="C494" i="1"/>
  <c r="C500" i="1"/>
  <c r="C499" i="1"/>
  <c r="C498" i="1"/>
  <c r="C493" i="1"/>
  <c r="C259" i="1" l="1"/>
  <c r="C258" i="1"/>
  <c r="C257" i="1"/>
  <c r="C256" i="1"/>
  <c r="C255" i="1"/>
  <c r="C254" i="1"/>
  <c r="C248" i="1"/>
  <c r="C249" i="1"/>
  <c r="C250" i="1"/>
  <c r="C251" i="1"/>
  <c r="C252" i="1"/>
  <c r="C253" i="1"/>
  <c r="C260" i="1"/>
  <c r="C261" i="1"/>
  <c r="C262" i="1"/>
  <c r="C565" i="1" l="1"/>
  <c r="C564" i="1"/>
  <c r="C563" i="1"/>
  <c r="C562" i="1"/>
  <c r="C561" i="1"/>
  <c r="C560" i="1"/>
  <c r="C559" i="1"/>
  <c r="C558" i="1"/>
  <c r="C557" i="1"/>
  <c r="C556" i="1"/>
  <c r="C555" i="1"/>
  <c r="C444" i="1" l="1"/>
  <c r="C465" i="1" l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40" i="1"/>
  <c r="B647" i="1" l="1"/>
  <c r="C586" i="1" l="1"/>
  <c r="C417" i="1" l="1"/>
  <c r="C416" i="1"/>
  <c r="C187" i="1" l="1"/>
  <c r="C186" i="1"/>
  <c r="C185" i="1"/>
  <c r="C184" i="1"/>
  <c r="C354" i="1"/>
  <c r="C353" i="1"/>
  <c r="C352" i="1"/>
  <c r="C351" i="1"/>
  <c r="C350" i="1"/>
  <c r="C349" i="1"/>
  <c r="C348" i="1"/>
  <c r="C347" i="1"/>
  <c r="C346" i="1"/>
  <c r="C345" i="1"/>
  <c r="C190" i="1"/>
  <c r="C189" i="1"/>
  <c r="C188" i="1"/>
  <c r="C183" i="1"/>
  <c r="C572" i="1" l="1"/>
  <c r="C571" i="1"/>
  <c r="C570" i="1"/>
  <c r="C569" i="1"/>
  <c r="C568" i="1"/>
  <c r="C567" i="1"/>
  <c r="C566" i="1"/>
  <c r="C395" i="1" l="1"/>
  <c r="C231" i="1" l="1"/>
  <c r="C230" i="1"/>
  <c r="C229" i="1"/>
  <c r="C228" i="1"/>
  <c r="C227" i="1"/>
  <c r="C226" i="1"/>
  <c r="C225" i="1"/>
  <c r="C224" i="1"/>
  <c r="C223" i="1"/>
  <c r="C222" i="1"/>
  <c r="C221" i="1"/>
  <c r="C220" i="1"/>
  <c r="C297" i="1" l="1"/>
  <c r="C296" i="1"/>
  <c r="C295" i="1"/>
  <c r="C294" i="1"/>
  <c r="C267" i="1"/>
  <c r="C164" i="1" l="1"/>
  <c r="C163" i="1"/>
  <c r="C162" i="1"/>
  <c r="C394" i="1"/>
  <c r="C393" i="1"/>
  <c r="C392" i="1"/>
  <c r="C391" i="1"/>
  <c r="C390" i="1"/>
  <c r="C389" i="1"/>
  <c r="C388" i="1"/>
  <c r="C387" i="1"/>
  <c r="C386" i="1"/>
  <c r="C385" i="1"/>
  <c r="C384" i="1"/>
  <c r="C182" i="1"/>
  <c r="C181" i="1"/>
  <c r="C180" i="1"/>
  <c r="C179" i="1"/>
  <c r="C178" i="1"/>
  <c r="C177" i="1"/>
  <c r="C176" i="1"/>
  <c r="C175" i="1"/>
  <c r="C211" i="1" l="1"/>
  <c r="C383" i="1" l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35" i="1"/>
  <c r="C336" i="1"/>
  <c r="C337" i="1"/>
  <c r="C338" i="1"/>
  <c r="C339" i="1"/>
  <c r="C340" i="1"/>
  <c r="C341" i="1"/>
  <c r="C342" i="1"/>
  <c r="C343" i="1"/>
  <c r="C366" i="1" l="1"/>
  <c r="C365" i="1"/>
  <c r="C364" i="1"/>
  <c r="C363" i="1"/>
  <c r="C362" i="1"/>
  <c r="C361" i="1"/>
  <c r="C355" i="1" l="1"/>
  <c r="C161" i="1" l="1"/>
  <c r="C160" i="1"/>
  <c r="C194" i="1" l="1"/>
  <c r="C193" i="1"/>
  <c r="C192" i="1"/>
  <c r="C191" i="1"/>
  <c r="C334" i="1" l="1"/>
  <c r="C333" i="1"/>
  <c r="C332" i="1"/>
  <c r="C331" i="1"/>
  <c r="C330" i="1"/>
  <c r="C329" i="1"/>
  <c r="C266" i="1" l="1"/>
  <c r="C265" i="1"/>
  <c r="C264" i="1"/>
  <c r="C263" i="1"/>
  <c r="C198" i="1" l="1"/>
  <c r="C197" i="1"/>
  <c r="C196" i="1"/>
  <c r="C195" i="1"/>
  <c r="C174" i="1" l="1"/>
  <c r="C173" i="1"/>
  <c r="C172" i="1"/>
  <c r="C171" i="1"/>
  <c r="C166" i="1" l="1"/>
  <c r="C165" i="1"/>
  <c r="C219" i="1" l="1"/>
  <c r="C212" i="1"/>
  <c r="C218" i="1"/>
  <c r="C217" i="1"/>
  <c r="C216" i="1"/>
  <c r="C215" i="1"/>
  <c r="C214" i="1"/>
  <c r="C213" i="1"/>
  <c r="C235" i="1" l="1"/>
  <c r="C234" i="1"/>
  <c r="C233" i="1"/>
  <c r="C232" i="1"/>
  <c r="C344" i="1" l="1"/>
  <c r="C326" i="1"/>
  <c r="C325" i="1"/>
  <c r="C324" i="1"/>
  <c r="C323" i="1"/>
  <c r="C322" i="1"/>
  <c r="C321" i="1"/>
  <c r="C327" i="1" l="1"/>
  <c r="C328" i="1"/>
  <c r="C320" i="1" l="1"/>
  <c r="C303" i="1" l="1"/>
  <c r="C302" i="1"/>
  <c r="C301" i="1"/>
  <c r="C300" i="1"/>
  <c r="C299" i="1"/>
  <c r="C236" i="1" l="1"/>
  <c r="C298" i="1" l="1"/>
  <c r="C584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585" i="1"/>
  <c r="C583" i="1"/>
  <c r="C582" i="1"/>
  <c r="C581" i="1"/>
  <c r="B637" i="1" l="1"/>
  <c r="C580" i="1" l="1"/>
  <c r="C579" i="1"/>
  <c r="C578" i="1"/>
  <c r="C577" i="1"/>
  <c r="C576" i="1" l="1"/>
  <c r="A630" i="1" l="1"/>
  <c r="A631" i="1" l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l="1"/>
  <c r="A646" i="1" l="1"/>
  <c r="C575" i="1"/>
  <c r="C574" i="1"/>
  <c r="C573" i="1"/>
  <c r="A647" i="1" l="1"/>
  <c r="C149" i="1"/>
  <c r="A648" i="1" l="1"/>
  <c r="C554" i="1"/>
  <c r="A649" i="1" l="1"/>
  <c r="A650" i="1" l="1"/>
</calcChain>
</file>

<file path=xl/sharedStrings.xml><?xml version="1.0" encoding="utf-8"?>
<sst xmlns="http://schemas.openxmlformats.org/spreadsheetml/2006/main" count="1371" uniqueCount="1229">
  <si>
    <t>Offset</t>
  </si>
  <si>
    <t>Function</t>
  </si>
  <si>
    <t>Details</t>
  </si>
  <si>
    <t>000FCC30</t>
  </si>
  <si>
    <t>000FD700</t>
  </si>
  <si>
    <t>000FD748</t>
  </si>
  <si>
    <t>000FD78C</t>
  </si>
  <si>
    <t>Check  for Bond potential, pointer r4, return new forme = r0</t>
  </si>
  <si>
    <t>Check  for Bond Awaken, pointer r0, return forme = r1</t>
  </si>
  <si>
    <t>Return r1 as hits = 2 or power = 3, move input r0, return new hits/power as r1</t>
  </si>
  <si>
    <t>000FD7C0</t>
  </si>
  <si>
    <t>000FD7C8</t>
  </si>
  <si>
    <t>000FD7D4</t>
  </si>
  <si>
    <t>Unpop r0 and return to debc0</t>
  </si>
  <si>
    <t>Table of Pokemon</t>
  </si>
  <si>
    <t>Table of Moves</t>
  </si>
  <si>
    <t>000FC974</t>
  </si>
  <si>
    <t>Set r8 to point to start of custom .data section (0), or custom .bss (otherwise), or return offset raw (4)</t>
  </si>
  <si>
    <t>Ultra Burst table</t>
  </si>
  <si>
    <t>000FD000</t>
  </si>
  <si>
    <t>000FD058</t>
  </si>
  <si>
    <t>Check Species is correct, item is correct, and forme !=/== Ultra, input r5 (pointer) + r0 (0 = formes must NOT equal, 1 = formes must equal), output r0 (boolean)</t>
  </si>
  <si>
    <t>Ultra Burst, Check Species is correct and forme less than Ultra and forme is valid source forme, input r0 (pointer), output r0 (boolean)</t>
  </si>
  <si>
    <t>Check Species is correct and forme == Ultra, input r5 (pointer), output r5 (boolean)</t>
  </si>
  <si>
    <t>Load as following, then run below validity check. species (r0), item (r1), forme (r2) and check if valid. Return r1</t>
  </si>
  <si>
    <t>000FD0D4</t>
  </si>
  <si>
    <t>000FD11C</t>
  </si>
  <si>
    <t>Take species (r0), item (r1), forme (r2) and check if valid</t>
  </si>
  <si>
    <t>000FD144</t>
  </si>
  <si>
    <t>000FCAD0</t>
  </si>
  <si>
    <t>Terrains</t>
  </si>
  <si>
    <t>Ultra Burst text check</t>
  </si>
  <si>
    <t>004B99F0</t>
  </si>
  <si>
    <t>Offset (US)</t>
  </si>
  <si>
    <t>Offset (UM)</t>
  </si>
  <si>
    <t>004B9A00</t>
  </si>
  <si>
    <t>004B9F8C</t>
  </si>
  <si>
    <t>Move Relearner changes</t>
  </si>
  <si>
    <t>Café NPC now Relearner, doesn't teach higher-than-current-level moves</t>
  </si>
  <si>
    <t>000FCBB0</t>
  </si>
  <si>
    <t>Water Bubble</t>
  </si>
  <si>
    <t>000FCFA0</t>
  </si>
  <si>
    <t>000FD1C0</t>
  </si>
  <si>
    <t>Fluffy Table</t>
  </si>
  <si>
    <t>Fluffy</t>
  </si>
  <si>
    <t>000FD250</t>
  </si>
  <si>
    <t>Telepathy</t>
  </si>
  <si>
    <t>000FCB10</t>
  </si>
  <si>
    <t>1C</t>
  </si>
  <si>
    <t>Room</t>
  </si>
  <si>
    <t>7C</t>
  </si>
  <si>
    <t>48</t>
  </si>
  <si>
    <t>28</t>
  </si>
  <si>
    <t>64</t>
  </si>
  <si>
    <t>44</t>
  </si>
  <si>
    <t>34</t>
  </si>
  <si>
    <t>8</t>
  </si>
  <si>
    <t>C</t>
  </si>
  <si>
    <t>000FD204</t>
  </si>
  <si>
    <t>Water Veil</t>
  </si>
  <si>
    <t>Magma Armor</t>
  </si>
  <si>
    <t>000FD368</t>
  </si>
  <si>
    <t>000FC9DC</t>
  </si>
  <si>
    <t>Triple Power of Weather Ball in non Sun/Rain</t>
  </si>
  <si>
    <t>000FCB2C</t>
  </si>
  <si>
    <t>000FCB44</t>
  </si>
  <si>
    <t>Eviolite Exclusion Table</t>
  </si>
  <si>
    <t>000FD3C0</t>
  </si>
  <si>
    <t>000FD418</t>
  </si>
  <si>
    <t>Beak Blast/Shell Trap merger text handling</t>
  </si>
  <si>
    <t>000FD440</t>
  </si>
  <si>
    <t>Take stat inputs and return 4096 times the quotient</t>
  </si>
  <si>
    <t>Soundproof power boost</t>
  </si>
  <si>
    <t>000FD474</t>
  </si>
  <si>
    <t>000FD4B4</t>
  </si>
  <si>
    <t>Miltank Rollout/Ice Ball power boost</t>
  </si>
  <si>
    <t>000FD4C8</t>
  </si>
  <si>
    <t>000FCF88</t>
  </si>
  <si>
    <t>Solid Rock/Filter/Prism Armor</t>
  </si>
  <si>
    <t>000FD500</t>
  </si>
  <si>
    <t>Iron Fist (Cosmic Fist)</t>
  </si>
  <si>
    <t>000FD568</t>
  </si>
  <si>
    <t>000FD5D0</t>
  </si>
  <si>
    <t>000FD654</t>
  </si>
  <si>
    <t>Hail Boosts Ice-Type Physical Defense</t>
  </si>
  <si>
    <t>000FD684</t>
  </si>
  <si>
    <t>Sandsear Storm Call Function</t>
  </si>
  <si>
    <t>000FD698</t>
  </si>
  <si>
    <t>Mycellium Might Call Function</t>
  </si>
  <si>
    <t>000FD83C</t>
  </si>
  <si>
    <t>000FD8AC</t>
  </si>
  <si>
    <t>Magnetic Flux and Gear Up extension to Electric and Steel</t>
  </si>
  <si>
    <t>000FD8DC</t>
  </si>
  <si>
    <t>Transistor Implementation</t>
  </si>
  <si>
    <t>Plus/Minus Function table (original + Transistor)</t>
  </si>
  <si>
    <t>Battery Function Table (original + Transistor)</t>
  </si>
  <si>
    <t>9E0</t>
  </si>
  <si>
    <t>Ability function indices</t>
  </si>
  <si>
    <t>Magma Armor Function Table</t>
  </si>
  <si>
    <t>Water Veil Function Table</t>
  </si>
  <si>
    <t>Table for new Weather setting moves</t>
  </si>
  <si>
    <t>Item index table</t>
  </si>
  <si>
    <t>D0</t>
  </si>
  <si>
    <t>000FD91C</t>
  </si>
  <si>
    <t>000FD938</t>
  </si>
  <si>
    <t>Diversion from Main Damage Calculation, implement Frostbite debuff Special Attack</t>
  </si>
  <si>
    <t>000FD96C</t>
  </si>
  <si>
    <t>000FD97C</t>
  </si>
  <si>
    <t>Diversion from "can't move", frozen status does not prevent movement</t>
  </si>
  <si>
    <t>0C</t>
  </si>
  <si>
    <t>Diversion from end-of-term Status damage, 1/16 damage if Frostbitten</t>
  </si>
  <si>
    <t>000FD988</t>
  </si>
  <si>
    <t>000FD99C</t>
  </si>
  <si>
    <t>000FD9B0</t>
  </si>
  <si>
    <t>000FD9EC</t>
  </si>
  <si>
    <t>6C</t>
  </si>
  <si>
    <t>Forme change animation table</t>
  </si>
  <si>
    <t>000FD5BC</t>
  </si>
  <si>
    <t>Loaded Dice Function Table Call</t>
  </si>
  <si>
    <t>Loaded Dice Accuracy Boost</t>
  </si>
  <si>
    <t>3C</t>
  </si>
  <si>
    <t>Check for Triple Kick Table</t>
  </si>
  <si>
    <t>000FDA28</t>
  </si>
  <si>
    <t>Loaded Dice increase # hits</t>
  </si>
  <si>
    <t>000FDA88</t>
  </si>
  <si>
    <t>Soul Punch Call Function</t>
  </si>
  <si>
    <t>Triple Kick move table</t>
  </si>
  <si>
    <t>Soul Punch function table</t>
  </si>
  <si>
    <t>000FDBB4</t>
  </si>
  <si>
    <t>Corrosion lets Poison damage Steel</t>
  </si>
  <si>
    <t>000FDC30</t>
  </si>
  <si>
    <t>Seed Flare Call Function</t>
  </si>
  <si>
    <t>000FDD9C</t>
  </si>
  <si>
    <t>Throat Spray Call Function</t>
  </si>
  <si>
    <t>000FDCC0</t>
  </si>
  <si>
    <t>Utility Umbrella Text Diversion</t>
  </si>
  <si>
    <t>000FDB88</t>
  </si>
  <si>
    <t>000FDD40</t>
  </si>
  <si>
    <t>5C</t>
  </si>
  <si>
    <t>000FDE50</t>
  </si>
  <si>
    <t>Skywalker call function</t>
  </si>
  <si>
    <t>000FDE64</t>
  </si>
  <si>
    <t>000FDEB8</t>
  </si>
  <si>
    <t>Corrosion function table</t>
  </si>
  <si>
    <t>Normalize Function Table</t>
  </si>
  <si>
    <t>000FE040</t>
  </si>
  <si>
    <t>Prismatic Laser SE on Dark</t>
  </si>
  <si>
    <t>Prismatic Laser Call Function</t>
  </si>
  <si>
    <t>000FE054</t>
  </si>
  <si>
    <t>Prismatic Laser Function Table</t>
  </si>
  <si>
    <t>000FE08C</t>
  </si>
  <si>
    <t>Returns 1 if move being used is STAB, 0 otherwise</t>
  </si>
  <si>
    <t>000FDCD4</t>
  </si>
  <si>
    <t>000FE0E8</t>
  </si>
  <si>
    <t>New Triple-Kick-esque Rollout/Ice Ball effect</t>
  </si>
  <si>
    <t>Edited Ice Ball &amp; Rollout function pointer table</t>
  </si>
  <si>
    <t>Triple Kick function pointer table</t>
  </si>
  <si>
    <t>000FE158</t>
  </si>
  <si>
    <t>Glaciate Function Pointer Table</t>
  </si>
  <si>
    <t>Plasma Fists Function Pointer Table</t>
  </si>
  <si>
    <t>Glaciate Call Function</t>
  </si>
  <si>
    <t>Check if r0 is Chansey Line</t>
  </si>
  <si>
    <t>000FCB60</t>
  </si>
  <si>
    <t>Lucky Punch use SD instead of Attacking stat</t>
  </si>
  <si>
    <t>000FE1C4</t>
  </si>
  <si>
    <t>000FE374</t>
  </si>
  <si>
    <t>000FE440</t>
  </si>
  <si>
    <t>CC</t>
  </si>
  <si>
    <t>000FE4BC</t>
  </si>
  <si>
    <t>Frost Orb 0x8F</t>
  </si>
  <si>
    <t>Frost Orb 0x8B</t>
  </si>
  <si>
    <t>Frost Orb Call Function</t>
  </si>
  <si>
    <t>Light Metal double speed changes</t>
  </si>
  <si>
    <t>000FE214</t>
  </si>
  <si>
    <t>000FE258</t>
  </si>
  <si>
    <t>000FD9C4</t>
  </si>
  <si>
    <t>Seed Flare/Frenzy Plant Function Table</t>
  </si>
  <si>
    <t>Frenzy Plant Call Function</t>
  </si>
  <si>
    <t>Heart Swap Function Pointer Table</t>
  </si>
  <si>
    <t>Normalize Conditional Magic Guard</t>
  </si>
  <si>
    <t>Normalize Ignore Burn/Frost debuff 0x4A</t>
  </si>
  <si>
    <t>000FDFA4</t>
  </si>
  <si>
    <t>000FDFFC</t>
  </si>
  <si>
    <t>000FD9D8</t>
  </si>
  <si>
    <t>0000BAA0</t>
  </si>
  <si>
    <t>Light of Ruin Call Function</t>
  </si>
  <si>
    <t>Light of Ruin Increase HP Drain 0xA9</t>
  </si>
  <si>
    <t>Light of Ruin Increase Counter 0x28</t>
  </si>
  <si>
    <t>Light of Ruin Increase Crit Rate 0x44</t>
  </si>
  <si>
    <t>000FE4D0</t>
  </si>
  <si>
    <t>000FE4E4</t>
  </si>
  <si>
    <t>Light of Ruin byteflags</t>
  </si>
  <si>
    <t>Normalize byteflags</t>
  </si>
  <si>
    <t>Electropyresis byteflags</t>
  </si>
  <si>
    <t>000FE5C8</t>
  </si>
  <si>
    <t>000FE5DC</t>
  </si>
  <si>
    <t>000FE640</t>
  </si>
  <si>
    <t>000FE688</t>
  </si>
  <si>
    <t>000FE6E0</t>
  </si>
  <si>
    <t>000FE758</t>
  </si>
  <si>
    <t>14</t>
  </si>
  <si>
    <t>58</t>
  </si>
  <si>
    <t>78</t>
  </si>
  <si>
    <t>8C</t>
  </si>
  <si>
    <t>Electropyresis Call Function</t>
  </si>
  <si>
    <t>Electropyresis Power Boost 0x47</t>
  </si>
  <si>
    <t>Electropyresis Use Counter x028</t>
  </si>
  <si>
    <t>Electropyresis No Burn Debuff 0x4A</t>
  </si>
  <si>
    <t>Electropyresis No Para Debuff 0x13</t>
  </si>
  <si>
    <t>Electropyresis Resist Bug/Electric/Fire/Flying 0x4E/0x4F</t>
  </si>
  <si>
    <t>Electropyresis Function Table</t>
  </si>
  <si>
    <t>Spark Orb 0x8F</t>
  </si>
  <si>
    <t>Spark Orb 0x8B</t>
  </si>
  <si>
    <t>Spark Orb Call Function</t>
  </si>
  <si>
    <t>000FE7E4</t>
  </si>
  <si>
    <t>000FE8B0</t>
  </si>
  <si>
    <t>000FE92C</t>
  </si>
  <si>
    <t>000FE534</t>
  </si>
  <si>
    <t>000FE56C</t>
  </si>
  <si>
    <t>000FE940</t>
  </si>
  <si>
    <t>Power Whip Call Function</t>
  </si>
  <si>
    <t>Power Whip Change Type to Elctric based on User Type Grass 0x2D</t>
  </si>
  <si>
    <t>Power Whip Move still gets STAB if user is Grass 0x54</t>
  </si>
  <si>
    <t>Power Whip 25% Boost Attack if target is Paralyzed or seeded 0x60</t>
  </si>
  <si>
    <t>000FE954</t>
  </si>
  <si>
    <t>000FE9A4</t>
  </si>
  <si>
    <t>50</t>
  </si>
  <si>
    <t>Power Whip Function table</t>
  </si>
  <si>
    <t>B0</t>
  </si>
  <si>
    <t>000FE9F0</t>
  </si>
  <si>
    <t>4C</t>
  </si>
  <si>
    <t>Throat Spray byteflags</t>
  </si>
  <si>
    <t>000FEAA0</t>
  </si>
  <si>
    <t>2C</t>
  </si>
  <si>
    <t>000FEAD4</t>
  </si>
  <si>
    <t>Get Type Effectiveness of r0 on r1</t>
  </si>
  <si>
    <t>E0</t>
  </si>
  <si>
    <t>000FE5B4</t>
  </si>
  <si>
    <t>000FDB68</t>
  </si>
  <si>
    <t>000FEC88</t>
  </si>
  <si>
    <t>Table of Ignorable Abilities</t>
  </si>
  <si>
    <t>Normalize last move-type used storage</t>
  </si>
  <si>
    <t>000FDEE8</t>
  </si>
  <si>
    <t>Frenzy Plant Apex Bulb forme change</t>
  </si>
  <si>
    <t>+1 crit on seeded foe</t>
  </si>
  <si>
    <t>Frenzy Plant saved HP storage</t>
  </si>
  <si>
    <t>save up 1/4 damage dealt to seeded foe 0x60</t>
  </si>
  <si>
    <t>Heal from saved up stuff 0x8A</t>
  </si>
  <si>
    <t>-2 SD on Seeded Foe (80%)</t>
  </si>
  <si>
    <t>000FED20</t>
  </si>
  <si>
    <t>9C</t>
  </si>
  <si>
    <t>Increment Type Counter 0x28</t>
  </si>
  <si>
    <t>Effectiveness Mod 0x4E/0x4F</t>
  </si>
  <si>
    <t>000FEE18</t>
  </si>
  <si>
    <t>F8</t>
  </si>
  <si>
    <t>000FEEB4</t>
  </si>
  <si>
    <t>000FEF20</t>
  </si>
  <si>
    <t>Color Change Counter Table</t>
  </si>
  <si>
    <t>A</t>
  </si>
  <si>
    <t>Stance Change Expansion</t>
  </si>
  <si>
    <t>000FCD10</t>
  </si>
  <si>
    <t>000FDC04</t>
  </si>
  <si>
    <t>Psywave ramping damage extension</t>
  </si>
  <si>
    <t>000FCE34</t>
  </si>
  <si>
    <t>000FCDC8</t>
  </si>
  <si>
    <t>B8</t>
  </si>
  <si>
    <t>Scale Shot Effect 0x9E</t>
  </si>
  <si>
    <t>000FEC74</t>
  </si>
  <si>
    <t>000FEC38</t>
  </si>
  <si>
    <t>000FEC4C</t>
  </si>
  <si>
    <t>000FEC60</t>
  </si>
  <si>
    <t>Call Function Anchor Shot</t>
  </si>
  <si>
    <t>Call Function Bullet Seed</t>
  </si>
  <si>
    <t>Call Function Seed Bomb</t>
  </si>
  <si>
    <t>000FCE5C</t>
  </si>
  <si>
    <t>Check Ultra Items for "Item cannot be Knocked Off etc."</t>
  </si>
  <si>
    <t>000FEC24</t>
  </si>
  <si>
    <t>Call Function Psycho Cannon</t>
  </si>
  <si>
    <t>Check is hiding charge move</t>
  </si>
  <si>
    <t>Call Function Euaspida</t>
  </si>
  <si>
    <t>000FEFCC</t>
  </si>
  <si>
    <t>AC</t>
  </si>
  <si>
    <t>000FEFE0</t>
  </si>
  <si>
    <t>000FF01C</t>
  </si>
  <si>
    <t>54</t>
  </si>
  <si>
    <t>38</t>
  </si>
  <si>
    <t>A2</t>
  </si>
  <si>
    <t>Table of Semi-Invulnerable Charge Moves</t>
  </si>
  <si>
    <t>0E</t>
  </si>
  <si>
    <t>Euaspida Coating State table</t>
  </si>
  <si>
    <t>Euaspida used Semi-Invulnerable Move Table</t>
  </si>
  <si>
    <t>000FF490</t>
  </si>
  <si>
    <t>000FF54C</t>
  </si>
  <si>
    <t>BC</t>
  </si>
  <si>
    <t>Freeze Shock/Ice Burn Setup 0xB3</t>
  </si>
  <si>
    <t>Freeze Shock/Ice Burn Type Effectiveness Change 0x4E/4F</t>
  </si>
  <si>
    <t>000FF5C8</t>
  </si>
  <si>
    <t>Freeze Shock/Ice Burn boost Attack/SA , more likely if target is Paralyzed, Burned, or Frostbitten 0x60</t>
  </si>
  <si>
    <t>D4</t>
  </si>
  <si>
    <t>000FF69C</t>
  </si>
  <si>
    <t>Euaspida Conditional Magic Guard 0x98</t>
  </si>
  <si>
    <t>Euaspida Remove coating when hit 0x60</t>
  </si>
  <si>
    <t>Euaspida Reduce damage when have coating 0x5B</t>
  </si>
  <si>
    <t>Euaspida Boost semi-invulnerable moves 0x54</t>
  </si>
  <si>
    <t>Euaspida Is semi-invuln Charge move 0x28</t>
  </si>
  <si>
    <t>Euaspida Restore coating 0xB6</t>
  </si>
  <si>
    <t>Euaspida Protect Stat Drops 0x72</t>
  </si>
  <si>
    <t>Euaspida Stat drop text 0x73</t>
  </si>
  <si>
    <t>Euaspida Status immunity 0x7C</t>
  </si>
  <si>
    <t>Euaspida Status immunity text 0x7E</t>
  </si>
  <si>
    <t>Disguise Protect Stat Drops 0x72</t>
  </si>
  <si>
    <t>Disguise Stat drop text 0x73</t>
  </si>
  <si>
    <t>Disguise Status immunity 0x7C</t>
  </si>
  <si>
    <t>Disguise Status immunity text 0x7E</t>
  </si>
  <si>
    <t>000FF6C8</t>
  </si>
  <si>
    <t>000FF748</t>
  </si>
  <si>
    <t>000FF7A4</t>
  </si>
  <si>
    <t>000FF83C</t>
  </si>
  <si>
    <t>80</t>
  </si>
  <si>
    <t>98</t>
  </si>
  <si>
    <t>000FF0D4</t>
  </si>
  <si>
    <t>000FF128</t>
  </si>
  <si>
    <t>000FF178</t>
  </si>
  <si>
    <t>000FF1B0</t>
  </si>
  <si>
    <t>000FF25C</t>
  </si>
  <si>
    <t>000FF2C0</t>
  </si>
  <si>
    <t>000FF31C</t>
  </si>
  <si>
    <t>000FF398</t>
  </si>
  <si>
    <t>000FF480</t>
  </si>
  <si>
    <t>Mycellium Might Stall 0xF</t>
  </si>
  <si>
    <t>Mycellium Might MB 0x3</t>
  </si>
  <si>
    <t>Mycellium Might MB 0x4</t>
  </si>
  <si>
    <t>Mycellium Might MB 0x81</t>
  </si>
  <si>
    <t>000FD6AC</t>
  </si>
  <si>
    <t>000FD6C0</t>
  </si>
  <si>
    <t>Return Move Category in r0</t>
  </si>
  <si>
    <t>Mycellium Might Boost Accuracy of Grass Moves 0x41/Power 0x4A (10%)</t>
  </si>
  <si>
    <t>000FD854</t>
  </si>
  <si>
    <t>000FD86C</t>
  </si>
  <si>
    <t>000FD884</t>
  </si>
  <si>
    <t>Boost Slicing Move 50% 0x4A Hyper Cutter Sharpness</t>
  </si>
  <si>
    <t>000FCEA8</t>
  </si>
  <si>
    <t>Long Reach Boost Accuracy of non-Contact Moves 0x41/Power 0x4A (20%)</t>
  </si>
  <si>
    <t>Sky Attack Setup 0xB3</t>
  </si>
  <si>
    <t>000FCF34</t>
  </si>
  <si>
    <t>000FDE00</t>
  </si>
  <si>
    <t>000FF90C</t>
  </si>
  <si>
    <t>Double Power in Terrain 0x46</t>
  </si>
  <si>
    <t>Change Type in Terrain 0x2E</t>
  </si>
  <si>
    <t>000FF94C</t>
  </si>
  <si>
    <t>Terrain Pulse Call Function</t>
  </si>
  <si>
    <t>000FCF48</t>
  </si>
  <si>
    <t>000FCF5C</t>
  </si>
  <si>
    <t>Corrosive Gas Call Function</t>
  </si>
  <si>
    <t>Corrosive Gas Remove Item 0xBF</t>
  </si>
  <si>
    <t>000FF9A4</t>
  </si>
  <si>
    <t>C4</t>
  </si>
  <si>
    <t>000FFA90</t>
  </si>
  <si>
    <t>000FCF70</t>
  </si>
  <si>
    <t>Mystical Power Call Function</t>
  </si>
  <si>
    <t>Mystical Power Boost lowest boostable stat out of Def, Sp. Atk, Sp. Def 0x60</t>
  </si>
  <si>
    <t>Mystical Power bitflags</t>
  </si>
  <si>
    <t>000FFBC4</t>
  </si>
  <si>
    <t>Latiasite &amp; Latiosite Call Function</t>
  </si>
  <si>
    <t>Orichalcum Body (Heatproof) Immune Poison Moves 0x3A</t>
  </si>
  <si>
    <t>Orichalcum Body (Heatproof) half damage from Fire 0x47</t>
  </si>
  <si>
    <t>000FD290</t>
  </si>
  <si>
    <t>000FD314</t>
  </si>
  <si>
    <t>000D0480</t>
  </si>
  <si>
    <t>Dire Claws 0x7B</t>
  </si>
  <si>
    <t>000CE25C</t>
  </si>
  <si>
    <t>Dire Claws Call Function</t>
  </si>
  <si>
    <t>Liquid Voice boosts power by 20% 0x47</t>
  </si>
  <si>
    <t>000FDF48</t>
  </si>
  <si>
    <t>Liquid Voice Sound Moves ignore defender's Abilities</t>
  </si>
  <si>
    <t>Alluring Voice Call Function</t>
  </si>
  <si>
    <t>000FDF90</t>
  </si>
  <si>
    <t>Alluring Voice Confuse those with stat boosts 0x9E</t>
  </si>
  <si>
    <t>Clear Amulet Call Function</t>
  </si>
  <si>
    <t>Extension to Steadfast that heals max HP</t>
  </si>
  <si>
    <t>000FD354</t>
  </si>
  <si>
    <t>Forest's Curse SE on Grass 0x4E/4F</t>
  </si>
  <si>
    <t>Call Function Hydro Drill Breaker</t>
  </si>
  <si>
    <t>Apex Squirtle Transformation 0x9E</t>
  </si>
  <si>
    <t>Double Damage if resisted 0x5B</t>
  </si>
  <si>
    <t>50% Recoil if resisted 0xA0</t>
  </si>
  <si>
    <t>Possibly give self Aqua Ring  then possibly boost speed 0x60</t>
  </si>
  <si>
    <t>000FFC34</t>
  </si>
  <si>
    <t>000FFD14</t>
  </si>
  <si>
    <t>000FFD50</t>
  </si>
  <si>
    <t>000FFDF8</t>
  </si>
  <si>
    <t>A8</t>
  </si>
  <si>
    <t>000FFEC0</t>
  </si>
  <si>
    <t>C8</t>
  </si>
  <si>
    <t>Input r5 pointer, returns value in r1 that is 0x1000 + 0x800*(max HP - Current HP)/(Max HP*(2/3)), which ranges from a multiplier of 1 to 1.75</t>
  </si>
  <si>
    <t>Add Type of move being used to Pokemon 0x28</t>
  </si>
  <si>
    <t>000FFB00</t>
  </si>
  <si>
    <t>000FCA80</t>
  </si>
  <si>
    <t>000FCA94</t>
  </si>
  <si>
    <t>Zap Cannon Call Function</t>
  </si>
  <si>
    <t>000FFAD0</t>
  </si>
  <si>
    <t>Halve Fire/Grass incoming 0x4A</t>
  </si>
  <si>
    <t>000DB17C</t>
  </si>
  <si>
    <t>Squirtilium Z Call Function</t>
  </si>
  <si>
    <t>000FFF3C</t>
  </si>
  <si>
    <t>Boolean r0 is negative status</t>
  </si>
  <si>
    <t>000FFF78</t>
  </si>
  <si>
    <t>000FCAA8</t>
  </si>
  <si>
    <t>000FCABC</t>
  </si>
  <si>
    <t>Bitter Malice Call Function</t>
  </si>
  <si>
    <t>000FFFAC</t>
  </si>
  <si>
    <t>30% reduce target Attack 1 stage 0x60</t>
  </si>
  <si>
    <t>0010002C</t>
  </si>
  <si>
    <t>Check to trigger immune to intimidate 0x72</t>
  </si>
  <si>
    <t>Text Call immune to intimidate 0x73</t>
  </si>
  <si>
    <t>0010008C</t>
  </si>
  <si>
    <t>001000AC</t>
  </si>
  <si>
    <t>Boost Speed when Intimidated 0x74</t>
  </si>
  <si>
    <t>0010017C</t>
  </si>
  <si>
    <t>Egg Bomb Call Function</t>
  </si>
  <si>
    <t>Become Grass for Exegg 0x2D</t>
  </si>
  <si>
    <t>Half recovery if Exegg 0xA9</t>
  </si>
  <si>
    <t>001001C8</t>
  </si>
  <si>
    <t>00100214</t>
  </si>
  <si>
    <t>Halve damage from incoming crits 0x5B</t>
  </si>
  <si>
    <t>0010024C</t>
  </si>
  <si>
    <t>00100288</t>
  </si>
  <si>
    <t>Immune to Light moves 0x38</t>
  </si>
  <si>
    <t>Boost Light moves 50% 0x47</t>
  </si>
  <si>
    <t>00100338</t>
  </si>
  <si>
    <t>000FEC10</t>
  </si>
  <si>
    <t>00100380</t>
  </si>
  <si>
    <t>001003F0</t>
  </si>
  <si>
    <t>00100428</t>
  </si>
  <si>
    <t>Magnet Pull Steel Redirect 0x31</t>
  </si>
  <si>
    <t>Magnet Pull Steel Redirect 0x32</t>
  </si>
  <si>
    <t>Magnet Pull Absorb Steel, Boost Defense 0x3A</t>
  </si>
  <si>
    <t>00100468</t>
  </si>
  <si>
    <t>Check if pointer r0 has any negative status, return it in r0 if so</t>
  </si>
  <si>
    <t>30% to inflict status in r7 on contact (requires 0x60)</t>
  </si>
  <si>
    <t>001004B4</t>
  </si>
  <si>
    <t>000D70A8</t>
  </si>
  <si>
    <t>000D4A40</t>
  </si>
  <si>
    <t>000FD6F0</t>
  </si>
  <si>
    <t>Static 0x60 (paralysis on any contact)</t>
  </si>
  <si>
    <t>000D8CB0</t>
  </si>
  <si>
    <t>Static Call Function</t>
  </si>
  <si>
    <t>Clear Body Call Function</t>
  </si>
  <si>
    <t>Call Function for Use Highest Attacking Stat</t>
  </si>
  <si>
    <t>Illuminate Call Function</t>
  </si>
  <si>
    <t>000D5D78</t>
  </si>
  <si>
    <t>000D8638</t>
  </si>
  <si>
    <t>000DB3DC</t>
  </si>
  <si>
    <t>000D4A58</t>
  </si>
  <si>
    <t>000D4A70</t>
  </si>
  <si>
    <t>000D4A88</t>
  </si>
  <si>
    <t>Flame Body Call Function</t>
  </si>
  <si>
    <t>000FDD30</t>
  </si>
  <si>
    <t>Flame Body 0x60</t>
  </si>
  <si>
    <t>000D86D0</t>
  </si>
  <si>
    <t>15C</t>
  </si>
  <si>
    <t>000D5D94</t>
  </si>
  <si>
    <t>Run Away has effect of Shed Shell</t>
  </si>
  <si>
    <t>000D5DB0</t>
  </si>
  <si>
    <t>Ignore Burned/Frostbitten debuff 0x4A</t>
  </si>
  <si>
    <t>00100610</t>
  </si>
  <si>
    <t>Priority moves get +1 priority 0x11</t>
  </si>
  <si>
    <t>0010064C</t>
  </si>
  <si>
    <t>Early Bird Call Function</t>
  </si>
  <si>
    <t>Return highest or lowest stat, input r0 pointer, r1 parameter</t>
  </si>
  <si>
    <t>001006F4</t>
  </si>
  <si>
    <t>F0</t>
  </si>
  <si>
    <t>Highest Attacking stat boosted when drop below half HP 0x9E</t>
  </si>
  <si>
    <t>Vital Spirit Call Function</t>
  </si>
  <si>
    <t>000D9F0C</t>
  </si>
  <si>
    <t>Insomnia debuff all other healing 0xA9</t>
  </si>
  <si>
    <t>001007E4</t>
  </si>
  <si>
    <t>Vital Spirit buff own healing 0xA9</t>
  </si>
  <si>
    <t>White Smoke Call Function</t>
  </si>
  <si>
    <t>00100810</t>
  </si>
  <si>
    <t>0010085C</t>
  </si>
  <si>
    <t>Half Damage to Light moves 0x47</t>
  </si>
  <si>
    <t>15% each reduce target Accuracy if used Fire/Wind 0x60</t>
  </si>
  <si>
    <t>000FCFE0</t>
  </si>
  <si>
    <t>Sturdy Immune Perish Song 0x7C</t>
  </si>
  <si>
    <t>000DD1BC</t>
  </si>
  <si>
    <t>White Smoke 15% each reduce target Accuracy if used Fire/Wind 0x60</t>
  </si>
  <si>
    <t>000D9720</t>
  </si>
  <si>
    <t>Keen Eye Call Function</t>
  </si>
  <si>
    <t>Keen Eye 0x60, Set Identify 30% of time</t>
  </si>
  <si>
    <t>0010090C</t>
  </si>
  <si>
    <t>30% to inflict status in r7 on  any attack or defend</t>
  </si>
  <si>
    <t>000D8C60</t>
  </si>
  <si>
    <t>000D8650</t>
  </si>
  <si>
    <t>000D8668</t>
  </si>
  <si>
    <t>Frisk Call Function</t>
  </si>
  <si>
    <t>Frisk inflict Embargo on contact 0x60</t>
  </si>
  <si>
    <t>000CA9C8</t>
  </si>
  <si>
    <t>00100960</t>
  </si>
  <si>
    <t>Use Defense/Special Defense instead of Attack/Special Attack 0x4A</t>
  </si>
  <si>
    <t>000D4AA0</t>
  </si>
  <si>
    <t>Hypnotic Swirl Call Function</t>
  </si>
  <si>
    <t>000FD89C</t>
  </si>
  <si>
    <t>Hypnotic Swirl inflict Confusion 0x60</t>
  </si>
  <si>
    <t>001009CC</t>
  </si>
  <si>
    <t>Hypnotic Swirl +damage to confused, -damage from confused 0x47</t>
  </si>
  <si>
    <t>00100A3C</t>
  </si>
  <si>
    <t>Double Reverse Stat Drop 0x74</t>
  </si>
  <si>
    <t>000D9374</t>
  </si>
  <si>
    <t>00100AF8</t>
  </si>
  <si>
    <t>Heal at end of Loafing turn 0x82</t>
  </si>
  <si>
    <t>00100B8C</t>
  </si>
  <si>
    <t>00100C58</t>
  </si>
  <si>
    <t>Truant Is Loafing Around And Set Next Turn To Non-Loaf 0x26</t>
  </si>
  <si>
    <t>Truant Set Flag On Entry 0xA7</t>
  </si>
  <si>
    <t>000D72F8</t>
  </si>
  <si>
    <t>Truant healing flag</t>
  </si>
  <si>
    <t>Slow Start flag</t>
  </si>
  <si>
    <t>000DC7F4</t>
  </si>
  <si>
    <t>000DCEB4</t>
  </si>
  <si>
    <t>Slow Start Begin and Text 0x6D/0xA7</t>
  </si>
  <si>
    <t>Slow Start Speed Modifier 0x13</t>
  </si>
  <si>
    <t>Slow Start Halve all Attacks 0x4A</t>
  </si>
  <si>
    <t>Slow Start End 0x8F</t>
  </si>
  <si>
    <t>00100CA8</t>
  </si>
  <si>
    <t>00100D2C</t>
  </si>
  <si>
    <t>00100D6C</t>
  </si>
  <si>
    <t>00100DD0</t>
  </si>
  <si>
    <t>00100E54</t>
  </si>
  <si>
    <t>Increment Slow Start 0x28</t>
  </si>
  <si>
    <t>000CAA34</t>
  </si>
  <si>
    <t>Flying Press 0x4E/0x4F</t>
  </si>
  <si>
    <t>000FCBA8</t>
  </si>
  <si>
    <t>000C980C</t>
  </si>
  <si>
    <t>000D0E0C</t>
  </si>
  <si>
    <t>000CBCEC</t>
  </si>
  <si>
    <t>000DD1F8</t>
  </si>
  <si>
    <t>Charge, double power 0x47</t>
  </si>
  <si>
    <t>000C67EC</t>
  </si>
  <si>
    <t>000C671C</t>
  </si>
  <si>
    <t>00100E88</t>
  </si>
  <si>
    <t>EC</t>
  </si>
  <si>
    <t>00100F74</t>
  </si>
  <si>
    <t>Setup 0x29</t>
  </si>
  <si>
    <t>Charge count for Charge</t>
  </si>
  <si>
    <t>Apply double Defense when attacked by Light move 0x4B</t>
  </si>
  <si>
    <t>Shadow Shield Call Function</t>
  </si>
  <si>
    <t>Ignore stat drops when attacking 0x72</t>
  </si>
  <si>
    <t>000FF468</t>
  </si>
  <si>
    <t>Reduce User SA by 2</t>
  </si>
  <si>
    <t>000D9388</t>
  </si>
  <si>
    <t>Draco Meteor &amp; Overheat Call Function</t>
  </si>
  <si>
    <t>Leaf Storm Call Function</t>
  </si>
  <si>
    <t>000D939C</t>
  </si>
  <si>
    <t>000FE2C0</t>
  </si>
  <si>
    <t>000DC8A0</t>
  </si>
  <si>
    <t>Immune to Move Type r0 0x38</t>
  </si>
  <si>
    <t>000FD930</t>
  </si>
  <si>
    <t>Immune to Poison moves 0x38</t>
  </si>
  <si>
    <t>00100FC8</t>
  </si>
  <si>
    <t>Luster Purge &amp; Mist Ball Change Type 0x2D</t>
  </si>
  <si>
    <t>000C8CD0</t>
  </si>
  <si>
    <t>Euaspida print # layers remaining</t>
  </si>
  <si>
    <t>A0</t>
  </si>
  <si>
    <t>Dragonair Defensive Typeshare 0x4F</t>
  </si>
  <si>
    <t>000DCF54</t>
  </si>
  <si>
    <t>00101038</t>
  </si>
  <si>
    <t>1B4</t>
  </si>
  <si>
    <t>Pseudo Damage Calc</t>
  </si>
  <si>
    <t>Dragon Darts Call Function</t>
  </si>
  <si>
    <t>001011EC</t>
  </si>
  <si>
    <t>Write to battle state table (r0 parameter, r1 value to write)</t>
  </si>
  <si>
    <t>001013D8</t>
  </si>
  <si>
    <t>000D6F98</t>
  </si>
  <si>
    <t>Zen Mode Forme Change 0x90</t>
  </si>
  <si>
    <t>00101428</t>
  </si>
  <si>
    <t>Zen Mode Forme Change from attack 0x27</t>
  </si>
  <si>
    <t>Length</t>
  </si>
  <si>
    <t>Zen Mode execute forme change</t>
  </si>
  <si>
    <t>Change Forme at end of turn if enough layers 0x90</t>
  </si>
  <si>
    <t>00077628</t>
  </si>
  <si>
    <t>Return special move animation sequence</t>
  </si>
  <si>
    <t>000776D4</t>
  </si>
  <si>
    <t>Special Move animation index table</t>
  </si>
  <si>
    <t>00101554</t>
  </si>
  <si>
    <t>00101604</t>
  </si>
  <si>
    <t>Ultima Cannon Setup 0xB3</t>
  </si>
  <si>
    <t>1.5x damage against Ultra Bursted and Mega Evolved Pokemon 0x5B</t>
  </si>
  <si>
    <t>00101694</t>
  </si>
  <si>
    <t>Ultima Cannon Call Function</t>
  </si>
  <si>
    <t>Skip Charge if Rain 0xB2</t>
  </si>
  <si>
    <t>Setup &amp; Boost Electro Shot &amp; Meteor Beam 0xB4</t>
  </si>
  <si>
    <t>00077B14</t>
  </si>
  <si>
    <t>Skip Charge if Sandstorm 0xB2</t>
  </si>
  <si>
    <t>00077A58</t>
  </si>
  <si>
    <t>Electro Shot Call Function</t>
  </si>
  <si>
    <t>Meteor Beam Call Function</t>
  </si>
  <si>
    <t>000777B4</t>
  </si>
  <si>
    <t>2A4</t>
  </si>
  <si>
    <t>Defog with diversion to remove Terrain 0xBF</t>
  </si>
  <si>
    <t>000FDC20</t>
  </si>
  <si>
    <t>00087910</t>
  </si>
  <si>
    <t>000259F8</t>
  </si>
  <si>
    <t>00016B4C</t>
  </si>
  <si>
    <t>000C676C</t>
  </si>
  <si>
    <t>Catch Rate Buffed by higher Affection</t>
  </si>
  <si>
    <t>001016E4</t>
  </si>
  <si>
    <t>Radiant Cloak Chant Ideal and boost 0xB3</t>
  </si>
  <si>
    <t>Radiant Cloak Skip Charge Turn 0xB2</t>
  </si>
  <si>
    <t>Radiant Cloak Charged Leftovers 0x8E</t>
  </si>
  <si>
    <t>Radiant Cloak Charged Leftovers 0x8A</t>
  </si>
  <si>
    <t>001018AC</t>
  </si>
  <si>
    <t>00101908</t>
  </si>
  <si>
    <t>0010193C</t>
  </si>
  <si>
    <t>1C8</t>
  </si>
  <si>
    <t>Radiant Cloak Call Function</t>
  </si>
  <si>
    <t>Charge count for Radiant Cloak</t>
  </si>
  <si>
    <t>Leaf Blade Call Function</t>
  </si>
  <si>
    <t>use highest attack stat &amp; Isn't contact 0x2D, if is Grovyle or Sceptile</t>
  </si>
  <si>
    <t>Increase crit rate 0x44 if is Grovyle or Sceptile</t>
  </si>
  <si>
    <t>25% boost higher attacking stat 0x60 if is Grovyle or Sceptile</t>
  </si>
  <si>
    <t>00025A0C</t>
  </si>
  <si>
    <t>00025A68</t>
  </si>
  <si>
    <t>00025B20</t>
  </si>
  <si>
    <t>00087928</t>
  </si>
  <si>
    <t>000C3D58</t>
  </si>
  <si>
    <t>000C69FC</t>
  </si>
  <si>
    <t>Return Weather associated with move input in r0 in r0, (0 if none)</t>
  </si>
  <si>
    <t>Load move index and return associated weather</t>
  </si>
  <si>
    <t>Stone Axe Call Function</t>
  </si>
  <si>
    <t>Ceaseless Edge Call Function</t>
  </si>
  <si>
    <t>000D7010</t>
  </si>
  <si>
    <t>000D7024</t>
  </si>
  <si>
    <t>Check to make not twice in a row moves fail</t>
  </si>
  <si>
    <t>000DD254</t>
  </si>
  <si>
    <t>000D6D28</t>
  </si>
  <si>
    <t>000DC8BC</t>
  </si>
  <si>
    <t>Check Tangled Feet and Hallucinatory Map for not hitting self in confusion</t>
  </si>
  <si>
    <t>Savage Spin Out Call Function</t>
  </si>
  <si>
    <t>000C8CE4</t>
  </si>
  <si>
    <t>000C8CF8</t>
  </si>
  <si>
    <t>000C8D0C</t>
  </si>
  <si>
    <t>000C8D20</t>
  </si>
  <si>
    <t>000D7038</t>
  </si>
  <si>
    <t>Alt text for field effects ending</t>
  </si>
  <si>
    <t>Return r3 bytes starting from offset r2 in personal table for species r0, forme r1</t>
  </si>
  <si>
    <t>Punch Buggy Call Function</t>
  </si>
  <si>
    <t>Punch Buggy boost 0x60</t>
  </si>
  <si>
    <t>Punch Buggy Punch Count per color</t>
  </si>
  <si>
    <t>Ground NVE on Flying 0x4E/0x4F</t>
  </si>
  <si>
    <t>000C6AFC</t>
  </si>
  <si>
    <t>000C6B58</t>
  </si>
  <si>
    <t>000FD1A8</t>
  </si>
  <si>
    <t>Get Type Effectiveness of r0 on r1, raw</t>
  </si>
  <si>
    <t>004B9F5C</t>
  </si>
  <si>
    <t>Alolan Starters 50% shiny</t>
  </si>
  <si>
    <t>000FE2D0</t>
  </si>
  <si>
    <t>Exempt certain abilities from Full Paralysis (Quick Feet and Electropyresis)</t>
  </si>
  <si>
    <t>002083F0</t>
  </si>
  <si>
    <t>Ice Spinner Call Function</t>
  </si>
  <si>
    <t>000C3D6C</t>
  </si>
  <si>
    <t>000C3D80</t>
  </si>
  <si>
    <t>Poltergeist Call Function</t>
  </si>
  <si>
    <t>B4</t>
  </si>
  <si>
    <t>Poltergeist fail if target has no held item 0x25</t>
  </si>
  <si>
    <t>000C6C0C</t>
  </si>
  <si>
    <t>00086BEC</t>
  </si>
  <si>
    <t>Frostbite, Diversion, set animation part 1</t>
  </si>
  <si>
    <t>Frostbite, Diversion, set animation part 2</t>
  </si>
  <si>
    <t>Frostbite, Diversion, print damage-text</t>
  </si>
  <si>
    <t>000776E8</t>
  </si>
  <si>
    <t>000776FC</t>
  </si>
  <si>
    <t>0007770C</t>
  </si>
  <si>
    <t>00077754</t>
  </si>
  <si>
    <t>Boost damage of move type r0 by 0x800 + r3 scaled up as HP goes down</t>
  </si>
  <si>
    <t>000D3DDC</t>
  </si>
  <si>
    <t>000D5E1C</t>
  </si>
  <si>
    <t>000D87A0</t>
  </si>
  <si>
    <t>000D4BA8</t>
  </si>
  <si>
    <t>00144BC8</t>
  </si>
  <si>
    <t>00144F50</t>
  </si>
  <si>
    <t>00145500</t>
  </si>
  <si>
    <t>00145524</t>
  </si>
  <si>
    <t>00145818</t>
  </si>
  <si>
    <t>0014585E</t>
  </si>
  <si>
    <t>00145A00</t>
  </si>
  <si>
    <t>00147000</t>
  </si>
  <si>
    <t>00148000</t>
  </si>
  <si>
    <t>001489E0</t>
  </si>
  <si>
    <t>001489F0</t>
  </si>
  <si>
    <t>00148A00</t>
  </si>
  <si>
    <t>00148A30</t>
  </si>
  <si>
    <t>00148A60</t>
  </si>
  <si>
    <t>00148A80</t>
  </si>
  <si>
    <t>00148B20</t>
  </si>
  <si>
    <t>00148B40</t>
  </si>
  <si>
    <t>00148B70</t>
  </si>
  <si>
    <t>00148B88</t>
  </si>
  <si>
    <t>00148B98</t>
  </si>
  <si>
    <t>00148BC8</t>
  </si>
  <si>
    <t>00148C00</t>
  </si>
  <si>
    <t>00148C30</t>
  </si>
  <si>
    <t>00148F00</t>
  </si>
  <si>
    <t>00149238</t>
  </si>
  <si>
    <t>00149248</t>
  </si>
  <si>
    <t>00149250</t>
  </si>
  <si>
    <t>00149260</t>
  </si>
  <si>
    <t>00149270</t>
  </si>
  <si>
    <t>00149300</t>
  </si>
  <si>
    <t>00149328</t>
  </si>
  <si>
    <t>00149344</t>
  </si>
  <si>
    <t>00149350</t>
  </si>
  <si>
    <t>00149990</t>
  </si>
  <si>
    <t>00101970</t>
  </si>
  <si>
    <t>000DDC78</t>
  </si>
  <si>
    <t>000DDF4C</t>
  </si>
  <si>
    <t>000DE1BC</t>
  </si>
  <si>
    <t>000DE6B8</t>
  </si>
  <si>
    <t>000DA698</t>
  </si>
  <si>
    <t>Barrier Call Function</t>
  </si>
  <si>
    <t>Barrier boost stats Mr. Mime 0x25</t>
  </si>
  <si>
    <t>00101B00</t>
  </si>
  <si>
    <t>00101BA8</t>
  </si>
  <si>
    <t>Ignore stat changes on target if Mega/Ultra 0x49 (Defense)/0x40 (Evasion)</t>
  </si>
  <si>
    <t>Ignore Fairy Immunity if Mega/Ultra 0x4E/0x4F</t>
  </si>
  <si>
    <t>00101BF4</t>
  </si>
  <si>
    <t>00101C4C</t>
  </si>
  <si>
    <t>Orichalcum Body (Heatproof) Ignore Burned debuff</t>
  </si>
  <si>
    <t>000FD2D8</t>
  </si>
  <si>
    <t>000D3E18</t>
  </si>
  <si>
    <t>000D3E2C</t>
  </si>
  <si>
    <t>Reduce opponent physical attack on self by 12.5% 0x5B</t>
  </si>
  <si>
    <t>000D4BE4</t>
  </si>
  <si>
    <t>000D4BF8</t>
  </si>
  <si>
    <t>000DDFA0</t>
  </si>
  <si>
    <t>NVE on Dark if Psychic 0x4E/0x4F</t>
  </si>
  <si>
    <t>000DE218</t>
  </si>
  <si>
    <t>SE on Steel 0x4E/0x4F</t>
  </si>
  <si>
    <t>00101C98</t>
  </si>
  <si>
    <t>Mist Ball Call Function</t>
  </si>
  <si>
    <t>Luster Purge Call Function</t>
  </si>
  <si>
    <t>Add new Type Effectiveness text for 4x Weakness and Resistance</t>
  </si>
  <si>
    <t>00101CE4</t>
  </si>
  <si>
    <t>Turboblaze Call function</t>
  </si>
  <si>
    <t>Teravolt Call function</t>
  </si>
  <si>
    <t>00101D34</t>
  </si>
  <si>
    <t>Reduce opponent special attack on self by 12.5% 0x5B</t>
  </si>
  <si>
    <t>000BA340</t>
  </si>
  <si>
    <t>000D3DF0</t>
  </si>
  <si>
    <t>000D3E04</t>
  </si>
  <si>
    <t>000DE73C</t>
  </si>
  <si>
    <t>00077740</t>
  </si>
  <si>
    <t>Boost two input types in r4, r5 by 1-1.5x scaling up as HP decreases</t>
  </si>
  <si>
    <t>Charizardite X Call Function</t>
  </si>
  <si>
    <t>00101D84</t>
  </si>
  <si>
    <t>Boost Fire and Dragon 0x4A</t>
  </si>
  <si>
    <t>00101DCC</t>
  </si>
  <si>
    <t>Boost Fire and Flying 0x4A</t>
  </si>
  <si>
    <t>Charizardite Y Call Function</t>
  </si>
  <si>
    <t>Mega Stone Rocky Helmet Call Function</t>
  </si>
  <si>
    <t>00101E14</t>
  </si>
  <si>
    <t>Mega Stone Rocky Helmet 0x60</t>
  </si>
  <si>
    <t>Mega Stone Leftovers Call Function</t>
  </si>
  <si>
    <t>00101E5C</t>
  </si>
  <si>
    <t>Mega Stone Leftovers 0x8E/0x8A</t>
  </si>
  <si>
    <t>Mega Stone Pixilate Call Function</t>
  </si>
  <si>
    <t>000DE790</t>
  </si>
  <si>
    <t>Mega Stone Pixilate 0x2D/0x47/0xA4</t>
  </si>
  <si>
    <t>Mega Stone Long Reach 0x2D/0x4A/0x41</t>
  </si>
  <si>
    <t>000D5E30</t>
  </si>
  <si>
    <t>Mega Stone Long Reach Call Function</t>
  </si>
  <si>
    <t>Swarm 0x4A</t>
  </si>
  <si>
    <t>000D87AC</t>
  </si>
  <si>
    <t>000D87FC</t>
  </si>
  <si>
    <t>Mega Stone Rivalry Call Function</t>
  </si>
  <si>
    <t>000D87E8</t>
  </si>
  <si>
    <t>000D87D4</t>
  </si>
  <si>
    <t>000D87C0</t>
  </si>
  <si>
    <t>Mega Stone Rivalry 0x47</t>
  </si>
  <si>
    <t>Mega Stone Emergency Exit Call Function</t>
  </si>
  <si>
    <t>Mega Stone Emergency Exit 0x8F</t>
  </si>
  <si>
    <t>000DA834</t>
  </si>
  <si>
    <t>Venusaurite Call Function</t>
  </si>
  <si>
    <t>Boost Grass and Poison 0x4A</t>
  </si>
  <si>
    <t>000DE260</t>
  </si>
  <si>
    <t>Swampertite Call Function</t>
  </si>
  <si>
    <t>00101EAC</t>
  </si>
  <si>
    <t>Boost Water and Ground 0x4A</t>
  </si>
  <si>
    <t>00101EF4</t>
  </si>
  <si>
    <t>Boost Grass &amp; Dragon 0x4A</t>
  </si>
  <si>
    <t>Sceptilite Call Function</t>
  </si>
  <si>
    <t>000D5E44</t>
  </si>
  <si>
    <t>000D5E58</t>
  </si>
  <si>
    <t>000D5E6C</t>
  </si>
  <si>
    <t>Blastoisinite Call Function</t>
  </si>
  <si>
    <t>000FE2F0</t>
  </si>
  <si>
    <t>000FE310</t>
  </si>
  <si>
    <t>00101F3C</t>
  </si>
  <si>
    <t>00101F84</t>
  </si>
  <si>
    <t>Boost Water and Steel 0x4A</t>
  </si>
  <si>
    <t>Shell Smash fails 0x25</t>
  </si>
  <si>
    <t>0014A050</t>
  </si>
  <si>
    <t>Explosive Move table</t>
  </si>
  <si>
    <t>Return 1 if Explosion move</t>
  </si>
  <si>
    <t>000DA868</t>
  </si>
  <si>
    <t>Mega Stone Damp Call Function</t>
  </si>
  <si>
    <t>Perish Song and Explosion moves fail 0x25</t>
  </si>
  <si>
    <t>00101FE0</t>
  </si>
  <si>
    <t>Mega Stone Damp 0x25/0x03/0x04/0x81</t>
  </si>
  <si>
    <t>Mega Stone Magic Guard Call Function</t>
  </si>
  <si>
    <t>Mega Stone Magic Guard 0x98</t>
  </si>
  <si>
    <t>0010203C</t>
  </si>
  <si>
    <t>00102084</t>
  </si>
  <si>
    <t>Boost Ice 50%</t>
  </si>
  <si>
    <t>Glalilite Call Function</t>
  </si>
  <si>
    <t>Mega Stone Mirror Armor Call Function</t>
  </si>
  <si>
    <t>000DE274</t>
  </si>
  <si>
    <t>001020E0</t>
  </si>
  <si>
    <t>001021C4</t>
  </si>
  <si>
    <t>Weather Ball Type Change for Delta Stream</t>
  </si>
  <si>
    <t>Weather Ball Power 0x46</t>
  </si>
  <si>
    <t>Diversion in Synthesis, Morning Sun, Moonlight, Solar Blade and Solar Beam, etc. for Mega Sol</t>
  </si>
  <si>
    <t>000CAE34</t>
  </si>
  <si>
    <t>000CD6A0</t>
  </si>
  <si>
    <t>000B2984</t>
  </si>
  <si>
    <t>001022F4</t>
  </si>
  <si>
    <t>Petal Dance Call Function</t>
  </si>
  <si>
    <t>00102308</t>
  </si>
  <si>
    <t>0010231C</t>
  </si>
  <si>
    <t>Solar Sail Call Function</t>
  </si>
  <si>
    <t>Print Solar Sail activation/deactivation text 0x6d, 96, 81, 91, 02, 90, A6, A7</t>
  </si>
  <si>
    <t>Set Self Ungrounded in sun 0x12</t>
  </si>
  <si>
    <t>Solar Sail state</t>
  </si>
  <si>
    <t>E4</t>
  </si>
  <si>
    <t>00102400</t>
  </si>
  <si>
    <t>00102464</t>
  </si>
  <si>
    <t>00102478</t>
  </si>
  <si>
    <t>001024D4</t>
  </si>
  <si>
    <t>00102528</t>
  </si>
  <si>
    <t>Snorlaxite Call Function</t>
  </si>
  <si>
    <t>Half damage while asleep 0x5B</t>
  </si>
  <si>
    <t>Body Slam buffed when Mega 0x46</t>
  </si>
  <si>
    <t>Body Slam Pulverizing Pancake Animation when Mega 0x2D</t>
  </si>
  <si>
    <t>0010257C</t>
  </si>
  <si>
    <t>Ignore Type Effectiveness when attacking Mega/Ultra 0x4E/0x4F</t>
  </si>
  <si>
    <t>001025D8</t>
  </si>
  <si>
    <t>001013EC</t>
  </si>
  <si>
    <t>00101400</t>
  </si>
  <si>
    <t>00101414</t>
  </si>
  <si>
    <t>Psystrike Call Function</t>
  </si>
  <si>
    <t>00102638</t>
  </si>
  <si>
    <t>Neutral on Dark, SE if self Mega/Ultra 0x4E/0x4F</t>
  </si>
  <si>
    <t>Octazooka Call Function</t>
  </si>
  <si>
    <t>Move is both Water and Poison 0x4E/0x4F</t>
  </si>
  <si>
    <t>0010269C</t>
  </si>
  <si>
    <t>Type is Water or Poison depending on User Types 0x2D</t>
  </si>
  <si>
    <t>001026EC</t>
  </si>
  <si>
    <t>Bounce non-self-inflicted Stat Changes 0x72</t>
  </si>
  <si>
    <t>Mega Stone Mirror Armor table</t>
  </si>
  <si>
    <t>Bounce non-self-inflicted Stat Changes 0x8F</t>
  </si>
  <si>
    <t>00102758</t>
  </si>
  <si>
    <t>00102130</t>
  </si>
  <si>
    <t>Mega Stone Mirror Armor 0x72, 0x73</t>
  </si>
  <si>
    <t>00090B28</t>
  </si>
  <si>
    <t>Pokemon in pointer r0 is Mega, Ultra, or Primal</t>
  </si>
  <si>
    <t>000D6FD4</t>
  </si>
  <si>
    <t>000D6FE8</t>
  </si>
  <si>
    <t>000D6FFC</t>
  </si>
  <si>
    <t>Tyranitarite Call Function</t>
  </si>
  <si>
    <t>Mega Stone Rock + Extender Call Function</t>
  </si>
  <si>
    <t>Mega Stone Weather Rock + Terrain Extender Call Function 0xCD/0x94</t>
  </si>
  <si>
    <t>00102180</t>
  </si>
  <si>
    <t>Boost Any Weather 0xCD</t>
  </si>
  <si>
    <t>001021B0</t>
  </si>
  <si>
    <t>00102820</t>
  </si>
  <si>
    <t>00102848</t>
  </si>
  <si>
    <t>Salamencite Call Function</t>
  </si>
  <si>
    <t>Tyranitarite Add Electric/Dark/Rock 0x4E/0x4F</t>
  </si>
  <si>
    <t>00102910</t>
  </si>
  <si>
    <t>00102948</t>
  </si>
  <si>
    <t>001029E0</t>
  </si>
  <si>
    <t>Bulletproof effect (non-Ability)</t>
  </si>
  <si>
    <t>Kinglerite Call Function</t>
  </si>
  <si>
    <t>00102A28</t>
  </si>
  <si>
    <t>00102A50</t>
  </si>
  <si>
    <t>Togekissite &amp; Vikavoltite Call Function</t>
  </si>
  <si>
    <t>Load Item Table Count (to allow more than 0xFF items)</t>
  </si>
  <si>
    <t>000FEC00</t>
  </si>
  <si>
    <t>00102AAC</t>
  </si>
  <si>
    <t>Butterfrinite Call Function</t>
  </si>
  <si>
    <t>00102B4C</t>
  </si>
  <si>
    <t>Powder moves fail if Butterfree 0x25</t>
  </si>
  <si>
    <t>00102BB0</t>
  </si>
  <si>
    <t>Laprasite Call Function</t>
  </si>
  <si>
    <t>00102BC4</t>
  </si>
  <si>
    <t>Flygonite Call Function</t>
  </si>
  <si>
    <t>00102C10</t>
  </si>
  <si>
    <t>00102C24</t>
  </si>
  <si>
    <t>00102C5C</t>
  </si>
  <si>
    <t>Chesnaughtite Call Function</t>
  </si>
  <si>
    <t>00102CAC</t>
  </si>
  <si>
    <t>00102CC0</t>
  </si>
  <si>
    <t>00102CE8</t>
  </si>
  <si>
    <t>00102D44</t>
  </si>
  <si>
    <t>Delphoxite Call Function</t>
  </si>
  <si>
    <t>00102D98</t>
  </si>
  <si>
    <t>000BF4CC</t>
  </si>
  <si>
    <t>Quick Claw boost non-0 priority by 1 0x11</t>
  </si>
  <si>
    <t>000BF528</t>
  </si>
  <si>
    <t>000C69B4</t>
  </si>
  <si>
    <t>Replace this with skip branch</t>
  </si>
  <si>
    <t>00087914</t>
  </si>
  <si>
    <t>00102DAC</t>
  </si>
  <si>
    <t>Mega Stone Corrosion Call Function</t>
  </si>
  <si>
    <t>00102DF0</t>
  </si>
  <si>
    <t>Mega Stone Corrosion 0xD3/0x4E/0x4F</t>
  </si>
  <si>
    <t>00102E20</t>
  </si>
  <si>
    <t>Mega Stone Shadow Shield 0x5B/0x4B</t>
  </si>
  <si>
    <t>00102110</t>
  </si>
  <si>
    <t>Mega Stone Shadow Shield Call Function</t>
  </si>
  <si>
    <t>Immune to Paralysis if Mega/Ultra/Primal 0x7C</t>
  </si>
  <si>
    <t>Immune to Psychic if Mega/Ultra/Primal 0x3A</t>
  </si>
  <si>
    <t>Bulletproof if Mega/Ultra/Primal 0x38</t>
  </si>
  <si>
    <t>000DC8A8</t>
  </si>
  <si>
    <t>Immune to Type r0 if Mega/Ultra/Primal 0x3A</t>
  </si>
  <si>
    <t>Immune to Electric if Mega/Ultra/Primal 0x3A</t>
  </si>
  <si>
    <t>Immune to Ground if Mega/Ultra/Primal 0x3A</t>
  </si>
  <si>
    <t>000DE770</t>
  </si>
  <si>
    <t>000DE7C4</t>
  </si>
  <si>
    <t>Add Fairy/Ghost to Mega Golurk 0x4E/0x4F</t>
  </si>
  <si>
    <t>00102C2C</t>
  </si>
  <si>
    <t>00102AB4</t>
  </si>
  <si>
    <t>000DE7EC</t>
  </si>
  <si>
    <t>Mega Golurk extra Immunities 0x3A</t>
  </si>
  <si>
    <t>Golurkite Call Function</t>
  </si>
  <si>
    <t>00102E50</t>
  </si>
  <si>
    <t>25% damage if target is protected 0x5B</t>
  </si>
  <si>
    <t>0014AFD0</t>
  </si>
  <si>
    <t>Protection Moves</t>
  </si>
  <si>
    <t>000FDDDC</t>
  </si>
  <si>
    <t>Check if r0 is Protection Move (Table)</t>
  </si>
  <si>
    <t>00102ABC</t>
  </si>
  <si>
    <t>Ignore Protect with 25% damage if Mega/Ultra/Primal 0x3B/0x5B</t>
  </si>
  <si>
    <t>000CD6D0</t>
  </si>
  <si>
    <t>000CD6E4</t>
  </si>
  <si>
    <t>000D7394</t>
  </si>
  <si>
    <t>Boost Defences 1.2x when Statused 0x4B</t>
  </si>
  <si>
    <t>Marvelous Cloak Call Function</t>
  </si>
  <si>
    <t>000BBA10</t>
  </si>
  <si>
    <t>000FDDEC</t>
  </si>
  <si>
    <t>000FDE14</t>
  </si>
  <si>
    <t>000FDE28</t>
  </si>
  <si>
    <t>000FDE3C</t>
  </si>
  <si>
    <t>Soul Dew 0x4B/0xA0/0x5F/0x67/0x7B/0x84/0x9D</t>
  </si>
  <si>
    <t>00102EF8</t>
  </si>
  <si>
    <t>Latiasite &amp; Latiosite</t>
  </si>
  <si>
    <t>00102CD4</t>
  </si>
  <si>
    <t>00102D4C</t>
  </si>
  <si>
    <t>Mega Stone Radiant Cloak Handling (0x8A/0x8E/0xB2/0xB3)</t>
  </si>
  <si>
    <t>00102D70</t>
  </si>
  <si>
    <t>00102D84</t>
  </si>
  <si>
    <t>Dragoninite Call Function</t>
  </si>
  <si>
    <t>000DE848</t>
  </si>
  <si>
    <t>000DE85C</t>
  </si>
  <si>
    <t>Multiscale if Mega 0x72, 0x73, 0x5B</t>
  </si>
  <si>
    <t>Immune to Dragon if Mega/Ultra/Primal 0x3A</t>
  </si>
  <si>
    <t>Add Fairy if Mega/Ultra/Primal 0x4E/0x4F</t>
  </si>
  <si>
    <t>000FDC28</t>
  </si>
  <si>
    <t>000FE300</t>
  </si>
  <si>
    <t>000FE2F8</t>
  </si>
  <si>
    <t>Clefablite Call Function</t>
  </si>
  <si>
    <t>Immune to Poison if Mega/Ultra/Primal 0x3A</t>
  </si>
  <si>
    <t>Add Steel if Mega/Ultra/Primal 0x4E/0x4F</t>
  </si>
  <si>
    <t>00102F58</t>
  </si>
  <si>
    <t>Immune to Poison Status if Mega/Ultra/Primal 0x7C</t>
  </si>
  <si>
    <t>Mega Stone Snow Cloak Call Function</t>
  </si>
  <si>
    <t>00102BCC</t>
  </si>
  <si>
    <t>00102BFC</t>
  </si>
  <si>
    <t>Mega Stone Snow Cloak 0x4B/0x97</t>
  </si>
  <si>
    <t>Add Offensive Type in r0 (4E/4F) (like Flying Press)</t>
  </si>
  <si>
    <t>00102F80</t>
  </si>
  <si>
    <t>Add Ground Type if Mega 0x4E/0x4F/0x54</t>
  </si>
  <si>
    <t>Add Flying if Primal/Ultra/Mega 0x4E/0x4F/0x54</t>
  </si>
  <si>
    <t>Add Fighting if Mega/Ultra/Primal 0x4E/0x4F/0x54</t>
  </si>
  <si>
    <t>00102898</t>
  </si>
  <si>
    <t>Salamencite Add Dragon/Dark/Flying 0x4E/0x4F/0x54</t>
  </si>
  <si>
    <t>000FC9F4</t>
  </si>
  <si>
    <t>Sound Move gains Steel Type-Wise 0x4E/0x4F/0x54</t>
  </si>
  <si>
    <t>Chimecite Call Function</t>
  </si>
  <si>
    <t>Garbadorite Call Function</t>
  </si>
  <si>
    <t>00102FD4</t>
  </si>
  <si>
    <t>1.5x Damage to Poisoned Pokemon, 2/3 damage from poisoned Pokemon 0x5B</t>
  </si>
  <si>
    <t>Feraligite Call Function</t>
  </si>
  <si>
    <t>0010305C</t>
  </si>
  <si>
    <t>Dragonize Power 0x47</t>
  </si>
  <si>
    <t>Dragonize Type 0x2D</t>
  </si>
  <si>
    <t>001030B0</t>
  </si>
  <si>
    <t>0010310C</t>
  </si>
  <si>
    <t>00102850</t>
  </si>
  <si>
    <t>Use highest attacking stat, also set Animation 1 if Mega/Ultra 0x2D</t>
  </si>
  <si>
    <t>Thistledown Barrage Call Function</t>
  </si>
  <si>
    <t>Use Speed as offensive stat 0x4A</t>
  </si>
  <si>
    <t>00102B18</t>
  </si>
  <si>
    <t>Clear temp data at end of turn, bl from 0x00016B98</t>
  </si>
  <si>
    <t>0014AF30</t>
  </si>
  <si>
    <t>Table of tables to clear at end of turn</t>
  </si>
  <si>
    <t>000FCA44</t>
  </si>
  <si>
    <t>00087A58</t>
  </si>
  <si>
    <t>00103164</t>
  </si>
  <si>
    <t>Set Type Effectiveness modifiers on Entry/Forme Change 0x6D/0xA7, reset 0x6A</t>
  </si>
  <si>
    <t>001029C4</t>
  </si>
  <si>
    <t>Set 12 bytes starting from r7 to 0</t>
  </si>
  <si>
    <t>00102160</t>
  </si>
  <si>
    <t>000FE308</t>
  </si>
  <si>
    <t>Add Defensive Steel 0x4E/0x4F</t>
  </si>
  <si>
    <t>Set Defensive Steel 0x6D/0xA7/0x6A</t>
  </si>
  <si>
    <t>Add Type Dragon &amp; Water if Mega/Ultra/Primal 0x4E/0x4F/0x54/0x6A/0x6D/0xA7</t>
  </si>
  <si>
    <t>00103208</t>
  </si>
  <si>
    <t>00103078</t>
  </si>
  <si>
    <t>Dragonize if Mega/Ultra/Primal 0x2D/0x47</t>
  </si>
  <si>
    <t>Check if bitflag for Index r0 is set at flag-word r1</t>
  </si>
  <si>
    <t>00103278</t>
  </si>
  <si>
    <t>Retun # types of Pokemon in pointer r0</t>
  </si>
  <si>
    <t>Types Add Defensive 0x4E/0x4F</t>
  </si>
  <si>
    <t>Type Effectiveness total temp storage</t>
  </si>
  <si>
    <t># loop in timings 0x4E/0x4F</t>
  </si>
  <si>
    <t>Add Type r0 if Mega/Ultra/Primal 0x4E/0x4F/0x54/0x6D/0xA7/0x6A *last 4 is storage for pointer for above</t>
  </si>
  <si>
    <t>Squirtilium Z Loaded Dice + Apex Transform 0x41/0x43/0x9E</t>
  </si>
  <si>
    <t>000BBA50</t>
  </si>
  <si>
    <t>000FEB98</t>
  </si>
  <si>
    <t>001032EC</t>
  </si>
  <si>
    <t>Add STAB Type 0x4A, 0x47, or 0x5B</t>
  </si>
  <si>
    <t>Add Type r0 0x4E/0x4F/[0x5B/0x47/0x4A]/0x6A/0x6D/0xA7</t>
  </si>
  <si>
    <t>Electric-only Adaptability 0x5B</t>
  </si>
  <si>
    <t>Fire-only Adaptability 0x5B</t>
  </si>
  <si>
    <t>Add STAB for Fire and Steel 0x5B</t>
  </si>
  <si>
    <t>000DDF64</t>
  </si>
  <si>
    <t>Add STAB for Psychic, Poison, Fairy, Ghost 0x5B</t>
  </si>
  <si>
    <t>00086BF4</t>
  </si>
  <si>
    <t>Add Flying 0x4E/0x4F/[0x5B]/0x6A/0x6D/0xA7</t>
  </si>
  <si>
    <t>00086BFC</t>
  </si>
  <si>
    <t>Immune to Ground 0x3A</t>
  </si>
  <si>
    <t>00103360</t>
  </si>
  <si>
    <t>Weather Type Modifier</t>
  </si>
  <si>
    <t>000B0598</t>
  </si>
  <si>
    <t>Lower own Defense and Special Defense 0x9E</t>
  </si>
  <si>
    <t>Liquidation Call Function</t>
  </si>
  <si>
    <t>001033FC</t>
  </si>
  <si>
    <t>001034A8</t>
  </si>
  <si>
    <t>Level cap function</t>
  </si>
  <si>
    <t>000BF580</t>
  </si>
  <si>
    <t>Rock &amp; Steel Not Weak to Ground 0x4E/0x4F</t>
  </si>
  <si>
    <t>0010351C</t>
  </si>
  <si>
    <t>Mega Sol display text on entry 0x6D/0xA7</t>
  </si>
  <si>
    <t>Mega Sol Call Function</t>
  </si>
  <si>
    <t>Meganiumite Call Function</t>
  </si>
  <si>
    <t>Immune to Fire if Mega/Ultra/Primal 0x3A</t>
  </si>
  <si>
    <t>Add Ice &amp; Electric if Mega 0x4E/0x4F/0x47/0x6A/0x6D/0xA7</t>
  </si>
  <si>
    <t>000FDB70</t>
  </si>
  <si>
    <t>00101E8C</t>
  </si>
  <si>
    <t>Immune to Status r0 0x7C</t>
  </si>
  <si>
    <t>0010359C</t>
  </si>
  <si>
    <t>Immune to Status r0 if mega ultra primal 0x7C</t>
  </si>
  <si>
    <t>Immune to Paralysis &amp; Frostbite if Mega/Ultra/Primal 0x7C</t>
  </si>
  <si>
    <t>001035C4</t>
  </si>
  <si>
    <t>Punch Move gains Rock Type-Wise unless they are Fighting 0x4E/0x4F/0x5B</t>
  </si>
  <si>
    <t>Machampinite Call Function</t>
  </si>
  <si>
    <t>Body Press/Hard Press Call Function</t>
  </si>
  <si>
    <t>000C4368</t>
  </si>
  <si>
    <t>Lunar Dance Call Function</t>
  </si>
  <si>
    <t>Mega Stone Healer Call Function</t>
  </si>
  <si>
    <t>Mega Stone Healer 0x8E</t>
  </si>
  <si>
    <t>000FCA6C</t>
  </si>
  <si>
    <t>Mega Stone Water Bubble Call Function</t>
  </si>
  <si>
    <t>Mega Stone Water Bubble 0x4A/0x7C/0xA7/0x6D/0x02</t>
  </si>
  <si>
    <t>000FD610</t>
  </si>
  <si>
    <t>Mega Stone Infiltrator Call Function</t>
  </si>
  <si>
    <t>00101C60</t>
  </si>
  <si>
    <t>Mega Stone Infiltrator 0x03/0x04/0x05</t>
  </si>
  <si>
    <t>00103624</t>
  </si>
  <si>
    <t>Throat Spray 0x60</t>
  </si>
  <si>
    <t>Throat Spray Boost 0x8A</t>
  </si>
  <si>
    <t>0010369C</t>
  </si>
  <si>
    <t>000FD624</t>
  </si>
  <si>
    <t>Mega Stone Illuminate Call Function</t>
  </si>
  <si>
    <t>Mega Stone Illuminate 0x38/0x47</t>
  </si>
  <si>
    <t>Immune to Captivate and Taunt (No Ability Text) 0x3A</t>
  </si>
  <si>
    <t>00101CEC</t>
  </si>
  <si>
    <t>001036F4</t>
  </si>
  <si>
    <t>Mega Stone Oblivious 0x02/0x3A/0x72/0xA7</t>
  </si>
  <si>
    <t>000DE830</t>
  </si>
  <si>
    <t>Add Fairy if Mega/Ultra/Primal Call Function</t>
  </si>
  <si>
    <t>Mega Stone Oblivious Call Function</t>
  </si>
  <si>
    <t>000FFF50</t>
  </si>
  <si>
    <t>000FFF64</t>
  </si>
  <si>
    <t>Hawluchanite Call Function</t>
  </si>
  <si>
    <t>00103738</t>
  </si>
  <si>
    <t>Flying Press gets special animation &amp; all priority moves fail, 0x25</t>
  </si>
  <si>
    <t>Mega Stone Pierce Protect Call Function</t>
  </si>
  <si>
    <t>Mega Stone Levitate 0x12/0x20/0x8E</t>
  </si>
  <si>
    <t>Mega Stone Levitate Call Function</t>
  </si>
  <si>
    <t>00102064</t>
  </si>
  <si>
    <t>Add Dragon if Mega, Ultra, Primal Call Function</t>
  </si>
  <si>
    <t>Add Dragon to Mega/Ultra/Primal 0x4E/0x4F/0x5B/0x6A/0x6D/0xA7</t>
  </si>
  <si>
    <t>000FE1D8</t>
  </si>
  <si>
    <t>000FE1EC</t>
  </si>
  <si>
    <t>000FE200</t>
  </si>
  <si>
    <t>000FE338</t>
  </si>
  <si>
    <t>000FE34C</t>
  </si>
  <si>
    <t>000FE360</t>
  </si>
  <si>
    <t>Emboarite Call Function</t>
  </si>
  <si>
    <t>000FCE0C</t>
  </si>
  <si>
    <t>000FCE20</t>
  </si>
  <si>
    <t>Quarter Speed under Trick Room if mega/ultra/primal 0x13</t>
  </si>
  <si>
    <t>Crabominite Call Function</t>
  </si>
  <si>
    <t>001037AC</t>
  </si>
  <si>
    <t>00015DFC</t>
  </si>
  <si>
    <t>00009AD4</t>
  </si>
  <si>
    <t>00009B00</t>
  </si>
  <si>
    <t>Level Cap for Rare Candy</t>
  </si>
  <si>
    <t>00022F8C</t>
  </si>
  <si>
    <t>Table of Field Items (Repel, Escape Rope, exp Share, etc.)</t>
  </si>
  <si>
    <t>00015EB8</t>
  </si>
  <si>
    <t>Vs Seeker Toggle</t>
  </si>
  <si>
    <t>000CED08</t>
  </si>
  <si>
    <t>Call to check Vs Seeker Bit</t>
  </si>
  <si>
    <t>00015F1C</t>
  </si>
  <si>
    <t>Text for Vs Seeker</t>
  </si>
  <si>
    <t>Pokemon in pointer r0 is Primal or special forme</t>
  </si>
  <si>
    <t>000FDC88</t>
  </si>
  <si>
    <t>00103804</t>
  </si>
  <si>
    <t>00103878</t>
  </si>
  <si>
    <t>Add Dragon and Fighting to Ultimate Mewtwo 0x4E/0x4F/0x5B/0x6A/0x6D/0xA7</t>
  </si>
  <si>
    <t>Mewtwo Boost Defense from Higher Attack 0x4B</t>
  </si>
  <si>
    <t>00103924</t>
  </si>
  <si>
    <t>Check if any other Pokemon has Ability r0, self index r1, base pointer r2, org r3 r3, r4 0x1 is all, 0x0 excludes self</t>
  </si>
  <si>
    <t>001039D0</t>
  </si>
  <si>
    <t>Mewtwo Accumulate Psychic power &amp; change forme 0x60</t>
  </si>
  <si>
    <t>Mewtwonite X/Y Charges for Forme Change</t>
  </si>
  <si>
    <t>00039C24</t>
  </si>
  <si>
    <t>Emergency Exit End of turn switch + Regenerator 0x8F</t>
  </si>
  <si>
    <t>00103B80</t>
  </si>
  <si>
    <t>000DA81C</t>
  </si>
  <si>
    <t>00103D18</t>
  </si>
  <si>
    <t>00101A00</t>
  </si>
  <si>
    <t>1AC</t>
  </si>
  <si>
    <t>Dragon Darts Redirect if target is Protected or later loop 0x31</t>
  </si>
  <si>
    <t>Dragon Darts Handle # hits in Multi 0x43</t>
  </si>
  <si>
    <t>Dragon Darts Call on other Target if fail or miss or other target after first hit. 0x2B/0x9E</t>
  </si>
  <si>
    <t>Dragon Darts Decrement hit counter 0x5B</t>
  </si>
  <si>
    <t>00103EC4</t>
  </si>
  <si>
    <t>0010402C</t>
  </si>
  <si>
    <t>001040B8</t>
  </si>
  <si>
    <t>001041DC</t>
  </si>
  <si>
    <t>[1 if this dart is redirected due to miss (0xFF if initial dart missed) and 0 otherwise, hits remaining, current target index, total attempts made]</t>
  </si>
  <si>
    <t>Magic Guard if Poisoned 0x98</t>
  </si>
  <si>
    <t>Fail except in Wild Battle 0x25 (False Swipe/Hold Back)</t>
  </si>
  <si>
    <t>000FEBD4</t>
  </si>
  <si>
    <t>001012A4</t>
  </si>
  <si>
    <t>00101328</t>
  </si>
  <si>
    <t>000DD060</t>
  </si>
  <si>
    <t>No Guard Call Function</t>
  </si>
  <si>
    <t>001031E0</t>
  </si>
  <si>
    <t>001031F4</t>
  </si>
  <si>
    <t>Alter effect % based on accuracy change 0x67/0x7B/0xC8/0x83</t>
  </si>
  <si>
    <t>+1 priority when terrain is active 0x11</t>
  </si>
  <si>
    <t>0022171C</t>
  </si>
  <si>
    <t>00344BD8</t>
  </si>
  <si>
    <t>00344BD4</t>
  </si>
  <si>
    <t>Raichunite Y Call Function</t>
  </si>
  <si>
    <t>000BA370</t>
  </si>
  <si>
    <t>Electric 1/2 on Ground 0x4E/0x4F</t>
  </si>
  <si>
    <t>000DE728</t>
  </si>
  <si>
    <t>No secondary effects Electric attacking Ground 0x67/0x7B/0x83/0x9D</t>
  </si>
  <si>
    <t>Ignore Ground Immunity to Electric at cost of secondary effects If Mega 0x4E/0x4F/0x67/0x7B/0x83/0x9D</t>
  </si>
  <si>
    <t>00101358</t>
  </si>
  <si>
    <t>Ignore Ground Immunity to Electric at cost of secondary effects If Pikachu 0x4E/0x4F/0x67/0x7B/0x83/0x9D</t>
  </si>
  <si>
    <t>0034440C</t>
  </si>
  <si>
    <t>00344408</t>
  </si>
  <si>
    <t>00345354</t>
  </si>
  <si>
    <t>00345358</t>
  </si>
  <si>
    <t>004BB8EC</t>
  </si>
  <si>
    <t>004BB932</t>
  </si>
  <si>
    <t>Hold Z-Crystal Table</t>
  </si>
  <si>
    <t>00104218</t>
  </si>
  <si>
    <t>Heal 25% HP or boost random non-lowest stat of pointer Pokemon</t>
  </si>
  <si>
    <t>Hax Call Function</t>
  </si>
  <si>
    <t>Vanish (Hax)</t>
  </si>
  <si>
    <t>00103A5C</t>
  </si>
  <si>
    <t>Heal 25% HP or boost random non-lowest stat 0xB4</t>
  </si>
  <si>
    <t>Defensive Steel Type if not Steel 0x4E/0x4F/0x6D/0xA7/0x6A</t>
  </si>
  <si>
    <t>001013B4</t>
  </si>
  <si>
    <t>Extension for Moxie</t>
  </si>
  <si>
    <t>Add Normal if Mega/Ultra/Primal 0x4E/0x4F/0x5B/0x6A/0x6D/0xA7</t>
  </si>
  <si>
    <t>001013BC</t>
  </si>
  <si>
    <t>001013C4</t>
  </si>
  <si>
    <t>Immune to Ghost if Mega/Ultra/Primal 0x3A</t>
  </si>
  <si>
    <t>Add Normal if Mega, Ultra, Primal Call Function</t>
  </si>
  <si>
    <t>Add Bug if Mega/Ultra/Primal 0x4E/0x4F/0x5B/0x6A/0x6D/0xA7</t>
  </si>
  <si>
    <t>Scolipite Call Function</t>
  </si>
  <si>
    <t>Immune to Normal &amp; Fighting Moves 0x3A</t>
  </si>
  <si>
    <t>000C9824</t>
  </si>
  <si>
    <t>Malamarite Call Function</t>
  </si>
  <si>
    <t>Add Ice/Ghost 0x4E/0x4F/0x5B/0x6A/0x6D/0xA7</t>
  </si>
  <si>
    <t>Leave with 1 HP 0x8C</t>
  </si>
  <si>
    <t>Apply Contrary to all other Pokemon but not self 0x71</t>
  </si>
  <si>
    <t>00102C98</t>
  </si>
  <si>
    <t>00101D3C</t>
  </si>
  <si>
    <t>Pyroarite Call Function</t>
  </si>
  <si>
    <t>Solar Guard + Scrappy when Mega 0x04, 0x0E, 0x4E, 0x4F, 0x7E, 0xCA</t>
  </si>
  <si>
    <t>Heal 1/&lt;defined in held item argument&gt; own HP every time a Poison Move is used 0xA0</t>
  </si>
  <si>
    <t>Dragalgite Call Function</t>
  </si>
  <si>
    <t>Mega Stone Beast Boost Call Function</t>
  </si>
  <si>
    <t>00101518</t>
  </si>
  <si>
    <t>Mega Stone Beast Boost 0x9E</t>
  </si>
  <si>
    <t>00101540</t>
  </si>
  <si>
    <t>Mega Stone Wonder Skin Call Function</t>
  </si>
  <si>
    <t>Mega Stone Wonder Skin 0x41</t>
  </si>
  <si>
    <t>11C</t>
  </si>
  <si>
    <t>Add Water if Mega/Ultra/Primal 0x4E/0x4F/[0x5B/0x47/0x4A]/0x6A/0x6D/0xA7</t>
  </si>
  <si>
    <t>Barbaricite Call Function</t>
  </si>
  <si>
    <t>0000EE7C</t>
  </si>
  <si>
    <t>Extension to fix Memory Ribbons</t>
  </si>
  <si>
    <t>0000EF44</t>
  </si>
  <si>
    <t>00103A90</t>
  </si>
  <si>
    <t>00015F4C</t>
  </si>
  <si>
    <t>Set Flags</t>
  </si>
  <si>
    <t>00030990</t>
  </si>
  <si>
    <t>Diversion for AI Power/Effectiveness function, returns 0 if Primordial weather negates Type of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</si>
</sst>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Cascadia Code"/>
      <family val="3"/>
    </font>
    <font>
      <sz val="11"/>
      <color theme="1"/>
      <name val="Cascadia Code"/>
      <family val="3"/>
    </font>
    <font>
      <u/>
      <sz val="11"/>
      <color theme="1"/>
      <name val="Cascadia Code"/>
      <family val="3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A2A2A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/>
    <xf numFmtId="0" fontId="1" fillId="0" borderId="0" xfId="0" quotePrefix="1" applyFont="1"/>
    <xf numFmtId="0" fontId="1" fillId="6" borderId="0" xfId="0" applyFont="1" applyFill="1"/>
    <xf numFmtId="0" fontId="1" fillId="6" borderId="0" xfId="0" applyFont="1" applyFill="1" applyAlignment="1">
      <alignment horizontal="right"/>
    </xf>
    <xf numFmtId="0" fontId="1" fillId="8" borderId="0" xfId="0" applyFont="1" applyFill="1"/>
    <xf numFmtId="0" fontId="1" fillId="8" borderId="0" xfId="0" applyFont="1" applyFill="1" applyAlignment="1">
      <alignment horizontal="right"/>
    </xf>
    <xf numFmtId="0" fontId="1" fillId="16" borderId="0" xfId="0" applyFont="1" applyFill="1"/>
    <xf numFmtId="0" fontId="1" fillId="16" borderId="0" xfId="0" applyFont="1" applyFill="1" applyAlignment="1">
      <alignment horizontal="right"/>
    </xf>
    <xf numFmtId="0" fontId="1" fillId="10" borderId="0" xfId="0" applyFont="1" applyFill="1"/>
    <xf numFmtId="0" fontId="1" fillId="10" borderId="0" xfId="0" applyFont="1" applyFill="1" applyAlignment="1">
      <alignment horizontal="right"/>
    </xf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1" fillId="3" borderId="0" xfId="0" quotePrefix="1" applyFont="1" applyFill="1"/>
    <xf numFmtId="0" fontId="1" fillId="3" borderId="0" xfId="0" quotePrefix="1" applyFont="1" applyFill="1" applyAlignment="1">
      <alignment horizontal="right"/>
    </xf>
    <xf numFmtId="0" fontId="1" fillId="5" borderId="0" xfId="0" quotePrefix="1" applyFont="1" applyFill="1"/>
    <xf numFmtId="0" fontId="1" fillId="5" borderId="0" xfId="0" quotePrefix="1" applyFont="1" applyFill="1" applyAlignment="1">
      <alignment horizontal="right"/>
    </xf>
    <xf numFmtId="0" fontId="1" fillId="7" borderId="0" xfId="0" quotePrefix="1" applyFont="1" applyFill="1"/>
    <xf numFmtId="0" fontId="1" fillId="7" borderId="0" xfId="0" quotePrefix="1" applyFont="1" applyFill="1" applyAlignment="1">
      <alignment horizontal="right"/>
    </xf>
    <xf numFmtId="0" fontId="1" fillId="9" borderId="0" xfId="0" quotePrefix="1" applyFont="1" applyFill="1"/>
    <xf numFmtId="0" fontId="1" fillId="9" borderId="0" xfId="0" quotePrefix="1" applyFont="1" applyFill="1" applyAlignment="1">
      <alignment horizontal="right"/>
    </xf>
    <xf numFmtId="0" fontId="1" fillId="0" borderId="0" xfId="0" quotePrefix="1" applyFont="1" applyAlignment="1">
      <alignment horizontal="right"/>
    </xf>
    <xf numFmtId="0" fontId="1" fillId="11" borderId="0" xfId="0" quotePrefix="1" applyFont="1" applyFill="1"/>
    <xf numFmtId="0" fontId="1" fillId="11" borderId="0" xfId="0" quotePrefix="1" applyFont="1" applyFill="1" applyAlignment="1">
      <alignment horizontal="right"/>
    </xf>
    <xf numFmtId="0" fontId="1" fillId="12" borderId="0" xfId="0" applyFont="1" applyFill="1"/>
    <xf numFmtId="0" fontId="1" fillId="12" borderId="0" xfId="0" applyFont="1" applyFill="1" applyAlignment="1">
      <alignment horizontal="right"/>
    </xf>
    <xf numFmtId="0" fontId="1" fillId="13" borderId="0" xfId="0" applyFont="1" applyFill="1"/>
    <xf numFmtId="0" fontId="1" fillId="13" borderId="0" xfId="0" applyFont="1" applyFill="1" applyAlignment="1">
      <alignment horizontal="right"/>
    </xf>
    <xf numFmtId="0" fontId="1" fillId="14" borderId="0" xfId="0" applyFont="1" applyFill="1"/>
    <xf numFmtId="0" fontId="1" fillId="14" borderId="0" xfId="0" applyFont="1" applyFill="1" applyAlignment="1">
      <alignment horizontal="right"/>
    </xf>
    <xf numFmtId="0" fontId="1" fillId="4" borderId="0" xfId="0" applyFont="1" applyFill="1"/>
    <xf numFmtId="0" fontId="1" fillId="4" borderId="0" xfId="0" applyFont="1" applyFill="1" applyAlignment="1">
      <alignment horizontal="right"/>
    </xf>
    <xf numFmtId="0" fontId="1" fillId="15" borderId="0" xfId="0" applyFont="1" applyFill="1"/>
    <xf numFmtId="0" fontId="1" fillId="15" borderId="0" xfId="0" applyFont="1" applyFill="1" applyAlignment="1">
      <alignment horizontal="right"/>
    </xf>
    <xf numFmtId="0" fontId="1" fillId="15" borderId="0" xfId="0" quotePrefix="1" applyFont="1" applyFill="1" applyAlignment="1">
      <alignment horizontal="right"/>
    </xf>
    <xf numFmtId="0" fontId="1" fillId="15" borderId="0" xfId="0" quotePrefix="1" applyFont="1" applyFill="1"/>
    <xf numFmtId="0" fontId="1" fillId="5" borderId="0" xfId="0" applyFont="1" applyFill="1"/>
    <xf numFmtId="0" fontId="1" fillId="5" borderId="0" xfId="0" applyFont="1" applyFill="1" applyAlignment="1">
      <alignment horizontal="right"/>
    </xf>
    <xf numFmtId="0" fontId="1" fillId="7" borderId="0" xfId="0" applyFont="1" applyFill="1" applyAlignment="1">
      <alignment horizontal="right"/>
    </xf>
    <xf numFmtId="0" fontId="1" fillId="7" borderId="0" xfId="0" applyFont="1" applyFill="1"/>
    <xf numFmtId="0" fontId="1" fillId="11" borderId="0" xfId="0" applyFont="1" applyFill="1" applyAlignment="1">
      <alignment horizontal="right"/>
    </xf>
    <xf numFmtId="0" fontId="1" fillId="11" borderId="0" xfId="0" applyFont="1" applyFill="1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6" borderId="0" xfId="0" applyFont="1" applyFill="1" applyAlignment="1">
      <alignment wrapText="1"/>
    </xf>
    <xf numFmtId="0" fontId="2" fillId="8" borderId="0" xfId="0" applyFont="1" applyFill="1" applyAlignment="1">
      <alignment wrapText="1"/>
    </xf>
    <xf numFmtId="0" fontId="2" fillId="16" borderId="0" xfId="0" applyFont="1" applyFill="1" applyAlignment="1">
      <alignment wrapText="1"/>
    </xf>
    <xf numFmtId="0" fontId="2" fillId="10" borderId="0" xfId="0" applyFont="1" applyFill="1" applyAlignment="1">
      <alignment wrapText="1"/>
    </xf>
    <xf numFmtId="0" fontId="2" fillId="2" borderId="0" xfId="0" applyFont="1" applyFill="1" applyAlignment="1">
      <alignment wrapText="1"/>
    </xf>
    <xf numFmtId="0" fontId="2" fillId="3" borderId="0" xfId="0" applyFont="1" applyFill="1" applyAlignment="1">
      <alignment wrapText="1"/>
    </xf>
    <xf numFmtId="0" fontId="2" fillId="5" borderId="0" xfId="0" applyFont="1" applyFill="1" applyAlignment="1">
      <alignment wrapText="1"/>
    </xf>
    <xf numFmtId="0" fontId="2" fillId="7" borderId="0" xfId="0" applyFont="1" applyFill="1" applyAlignment="1">
      <alignment wrapText="1"/>
    </xf>
    <xf numFmtId="0" fontId="2" fillId="9" borderId="0" xfId="0" applyFont="1" applyFill="1" applyAlignment="1">
      <alignment wrapText="1"/>
    </xf>
    <xf numFmtId="0" fontId="2" fillId="11" borderId="0" xfId="0" applyFont="1" applyFill="1" applyAlignment="1">
      <alignment wrapText="1"/>
    </xf>
    <xf numFmtId="0" fontId="2" fillId="12" borderId="0" xfId="0" applyFont="1" applyFill="1" applyAlignment="1">
      <alignment wrapText="1"/>
    </xf>
    <xf numFmtId="0" fontId="2" fillId="13" borderId="0" xfId="0" applyFont="1" applyFill="1" applyAlignment="1">
      <alignment wrapText="1"/>
    </xf>
    <xf numFmtId="0" fontId="2" fillId="14" borderId="0" xfId="0" applyFont="1" applyFill="1" applyAlignment="1">
      <alignment wrapText="1"/>
    </xf>
    <xf numFmtId="0" fontId="2" fillId="4" borderId="0" xfId="0" applyFont="1" applyFill="1" applyAlignment="1">
      <alignment wrapText="1"/>
    </xf>
    <xf numFmtId="0" fontId="2" fillId="15" borderId="0" xfId="0" applyFont="1" applyFill="1" applyAlignment="1">
      <alignment wrapText="1"/>
    </xf>
    <xf numFmtId="0" fontId="2" fillId="15" borderId="0" xfId="0" quotePrefix="1" applyFont="1" applyFill="1" applyAlignment="1">
      <alignment wrapText="1"/>
    </xf>
    <xf numFmtId="0" fontId="3" fillId="15" borderId="0" xfId="0" applyFont="1" applyFill="1" applyAlignment="1">
      <alignment wrapText="1"/>
    </xf>
    <xf numFmtId="0" fontId="2" fillId="0" borderId="0" xfId="0" quotePrefix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F5AE2-A36C-43E1-8536-C599AE3746F1}">
  <dimension ref="A1:E53"/>
  <sheetViews>
    <sheetView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5" sqref="D5"/>
    </sheetView>
  </sheetViews>
  <sheetFormatPr defaultColWidth="9.140625" defaultRowHeight="15.9"/>
  <cols>
    <col min="1" max="1" width="9.85546875" style="1" bestFit="1" customWidth="1"/>
    <col min="2" max="2" width="7.640625" style="2" bestFit="1" customWidth="1"/>
    <col min="3" max="3" width="8.5" style="1" customWidth="1"/>
    <col min="4" max="4" width="124.5" style="3" bestFit="1" customWidth="1"/>
    <col min="5" max="5" width="7.85546875" style="3" bestFit="1" customWidth="1"/>
    <col min="6" max="8" width="36.85546875" style="3" customWidth="1"/>
    <col min="9" max="16384" width="9.140625" style="3"/>
  </cols>
  <sheetData>
    <row r="1" spans="1:5">
      <c r="A1" s="1" t="s">
        <v>0</v>
      </c>
      <c r="B1" s="2" t="s">
        <v>577</v>
      </c>
      <c r="C1" s="1" t="s">
        <v>49</v>
      </c>
      <c r="D1" s="1" t="s">
        <v>1</v>
      </c>
      <c r="E1" s="1" t="s">
        <v>2</v>
      </c>
    </row>
    <row r="2" spans="1:5">
      <c r="B2" s="3"/>
      <c r="C2" s="2"/>
      <c r="E2" s="1"/>
    </row>
    <row r="3" spans="1:5">
      <c r="E3" s="1"/>
    </row>
    <row r="4" spans="1:5">
      <c r="E4" s="1"/>
    </row>
    <row r="5" spans="1:5">
      <c r="A5" s="1" t="s">
        <v>1221</v>
      </c>
      <c r="B5" s="2" t="s">
        <v>393</v>
      </c>
      <c r="C5" s="1" t="str">
        <f t="shared" ref="C5:C30" si="0">DEC2HEX(HEX2DEC(A6)-(HEX2DEC(A5)+HEX2DEC(B5)))</f>
        <v>0</v>
      </c>
      <c r="D5" s="3" t="s">
        <v>1222</v>
      </c>
    </row>
    <row r="6" spans="1:5">
      <c r="A6" s="1" t="s">
        <v>1223</v>
      </c>
      <c r="C6" s="1" t="str">
        <f t="shared" si="0"/>
        <v>FFFFFF10BC</v>
      </c>
    </row>
    <row r="7" spans="1:5">
      <c r="C7" s="1" t="str">
        <f t="shared" si="0"/>
        <v>0</v>
      </c>
    </row>
    <row r="8" spans="1:5">
      <c r="C8" s="1" t="str">
        <f t="shared" si="0"/>
        <v>0</v>
      </c>
    </row>
    <row r="9" spans="1:5">
      <c r="C9" s="1" t="str">
        <f t="shared" si="0"/>
        <v>0</v>
      </c>
    </row>
    <row r="10" spans="1:5">
      <c r="C10" s="1" t="str">
        <f t="shared" si="0"/>
        <v>0</v>
      </c>
    </row>
    <row r="11" spans="1:5">
      <c r="C11" s="1" t="str">
        <f t="shared" si="0"/>
        <v>0</v>
      </c>
    </row>
    <row r="12" spans="1:5">
      <c r="C12" s="1" t="str">
        <f t="shared" si="0"/>
        <v>0</v>
      </c>
    </row>
    <row r="13" spans="1:5">
      <c r="C13" s="1" t="str">
        <f t="shared" si="0"/>
        <v>0</v>
      </c>
    </row>
    <row r="14" spans="1:5">
      <c r="C14" s="1" t="str">
        <f t="shared" si="0"/>
        <v>0</v>
      </c>
    </row>
    <row r="15" spans="1:5">
      <c r="C15" s="1" t="str">
        <f t="shared" si="0"/>
        <v>0</v>
      </c>
    </row>
    <row r="17" spans="3:3">
      <c r="C17" s="1" t="str">
        <f t="shared" si="0"/>
        <v>0</v>
      </c>
    </row>
    <row r="18" spans="3:3">
      <c r="C18" s="1" t="str">
        <f t="shared" si="0"/>
        <v>0</v>
      </c>
    </row>
    <row r="19" spans="3:3">
      <c r="C19" s="1" t="str">
        <f t="shared" si="0"/>
        <v>0</v>
      </c>
    </row>
    <row r="20" spans="3:3">
      <c r="C20" s="1" t="str">
        <f t="shared" si="0"/>
        <v>0</v>
      </c>
    </row>
    <row r="21" spans="3:3">
      <c r="C21" s="1" t="str">
        <f t="shared" si="0"/>
        <v>0</v>
      </c>
    </row>
    <row r="22" spans="3:3">
      <c r="C22" s="1" t="str">
        <f t="shared" si="0"/>
        <v>0</v>
      </c>
    </row>
    <row r="23" spans="3:3">
      <c r="C23" s="1" t="str">
        <f t="shared" si="0"/>
        <v>0</v>
      </c>
    </row>
    <row r="24" spans="3:3">
      <c r="C24" s="1" t="str">
        <f t="shared" si="0"/>
        <v>0</v>
      </c>
    </row>
    <row r="25" spans="3:3">
      <c r="C25" s="1" t="str">
        <f t="shared" si="0"/>
        <v>0</v>
      </c>
    </row>
    <row r="26" spans="3:3">
      <c r="C26" s="1" t="str">
        <f t="shared" si="0"/>
        <v>0</v>
      </c>
    </row>
    <row r="27" spans="3:3">
      <c r="C27" s="1" t="str">
        <f t="shared" si="0"/>
        <v>0</v>
      </c>
    </row>
    <row r="28" spans="3:3">
      <c r="C28" s="1" t="str">
        <f t="shared" si="0"/>
        <v>0</v>
      </c>
    </row>
    <row r="29" spans="3:3">
      <c r="C29" s="1" t="str">
        <f t="shared" si="0"/>
        <v>0</v>
      </c>
    </row>
    <row r="30" spans="3:3">
      <c r="C30" s="1" t="str">
        <f t="shared" si="0"/>
        <v>0</v>
      </c>
    </row>
    <row r="33" spans="1:3">
      <c r="C33" s="1" t="str">
        <f t="shared" ref="C33" si="1">DEC2HEX(MAX(HEX2DEC(A34)-(HEX2DEC(A33)+HEX2DEC(B33)),0))</f>
        <v>0</v>
      </c>
    </row>
    <row r="34" spans="1:3">
      <c r="A34" s="1" t="str">
        <f t="shared" ref="A34:A53" si="2">DEC2HEX(HEX2DEC(A33)+HEX2DEC(B33),8)</f>
        <v>00000000</v>
      </c>
    </row>
    <row r="35" spans="1:3">
      <c r="A35" s="1" t="str">
        <f t="shared" si="2"/>
        <v>00000000</v>
      </c>
    </row>
    <row r="36" spans="1:3">
      <c r="A36" s="1" t="str">
        <f t="shared" si="2"/>
        <v>00000000</v>
      </c>
    </row>
    <row r="37" spans="1:3">
      <c r="A37" s="1" t="str">
        <f t="shared" si="2"/>
        <v>00000000</v>
      </c>
    </row>
    <row r="38" spans="1:3">
      <c r="A38" s="1" t="str">
        <f t="shared" si="2"/>
        <v>00000000</v>
      </c>
    </row>
    <row r="39" spans="1:3">
      <c r="A39" s="1" t="str">
        <f t="shared" si="2"/>
        <v>00000000</v>
      </c>
    </row>
    <row r="40" spans="1:3">
      <c r="A40" s="1" t="str">
        <f t="shared" si="2"/>
        <v>00000000</v>
      </c>
    </row>
    <row r="41" spans="1:3">
      <c r="A41" s="1" t="str">
        <f t="shared" si="2"/>
        <v>00000000</v>
      </c>
    </row>
    <row r="42" spans="1:3">
      <c r="A42" s="1" t="str">
        <f t="shared" si="2"/>
        <v>00000000</v>
      </c>
    </row>
    <row r="43" spans="1:3">
      <c r="A43" s="1" t="str">
        <f t="shared" si="2"/>
        <v>00000000</v>
      </c>
    </row>
    <row r="44" spans="1:3">
      <c r="A44" s="1" t="str">
        <f t="shared" si="2"/>
        <v>00000000</v>
      </c>
    </row>
    <row r="45" spans="1:3">
      <c r="A45" s="1" t="str">
        <f t="shared" si="2"/>
        <v>00000000</v>
      </c>
    </row>
    <row r="46" spans="1:3">
      <c r="A46" s="1" t="str">
        <f t="shared" si="2"/>
        <v>00000000</v>
      </c>
    </row>
    <row r="47" spans="1:3">
      <c r="A47" s="1" t="str">
        <f t="shared" si="2"/>
        <v>00000000</v>
      </c>
    </row>
    <row r="48" spans="1:3">
      <c r="A48" s="1" t="str">
        <f t="shared" si="2"/>
        <v>00000000</v>
      </c>
    </row>
    <row r="49" spans="1:1">
      <c r="A49" s="1" t="str">
        <f t="shared" si="2"/>
        <v>00000000</v>
      </c>
    </row>
    <row r="50" spans="1:1">
      <c r="A50" s="1" t="str">
        <f t="shared" si="2"/>
        <v>00000000</v>
      </c>
    </row>
    <row r="51" spans="1:1">
      <c r="A51" s="1" t="str">
        <f t="shared" si="2"/>
        <v>00000000</v>
      </c>
    </row>
    <row r="52" spans="1:1">
      <c r="A52" s="1" t="str">
        <f t="shared" si="2"/>
        <v>00000000</v>
      </c>
    </row>
    <row r="53" spans="1:1">
      <c r="A53" s="1" t="str">
        <f t="shared" si="2"/>
        <v>00000000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B7BD9-6E8E-41EC-A00D-025518964C99}">
  <dimension ref="A1:E53"/>
  <sheetViews>
    <sheetView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6" sqref="A16"/>
    </sheetView>
  </sheetViews>
  <sheetFormatPr defaultColWidth="9.140625" defaultRowHeight="15.9"/>
  <cols>
    <col min="1" max="1" width="9.85546875" style="1" bestFit="1" customWidth="1"/>
    <col min="2" max="2" width="7.640625" style="2" bestFit="1" customWidth="1"/>
    <col min="3" max="3" width="8.5" style="1" customWidth="1"/>
    <col min="4" max="4" width="124.5" style="3" bestFit="1" customWidth="1"/>
    <col min="5" max="5" width="7.85546875" style="3" bestFit="1" customWidth="1"/>
    <col min="6" max="8" width="36.85546875" style="3" customWidth="1"/>
    <col min="9" max="16384" width="9.140625" style="3"/>
  </cols>
  <sheetData>
    <row r="1" spans="1:5">
      <c r="A1" s="1" t="s">
        <v>0</v>
      </c>
      <c r="B1" s="2" t="s">
        <v>577</v>
      </c>
      <c r="C1" s="1" t="s">
        <v>49</v>
      </c>
      <c r="D1" s="1" t="s">
        <v>1</v>
      </c>
      <c r="E1" s="1" t="s">
        <v>2</v>
      </c>
    </row>
    <row r="2" spans="1:5">
      <c r="A2" s="1" t="s">
        <v>1117</v>
      </c>
      <c r="B2" s="3"/>
      <c r="C2" s="2">
        <v>8</v>
      </c>
      <c r="E2" s="1"/>
    </row>
    <row r="3" spans="1:5">
      <c r="A3" s="1" t="s">
        <v>1118</v>
      </c>
      <c r="C3" s="1">
        <v>14</v>
      </c>
      <c r="E3" s="1"/>
    </row>
    <row r="4" spans="1:5">
      <c r="E4" s="1"/>
    </row>
    <row r="5" spans="1:5">
      <c r="A5" s="1" t="s">
        <v>1116</v>
      </c>
      <c r="B5" s="2" t="s">
        <v>138</v>
      </c>
      <c r="C5" s="1" t="str">
        <f t="shared" ref="C5:C30" si="0">DEC2HEX(HEX2DEC(A6)-(HEX2DEC(A5)+HEX2DEC(B5)))</f>
        <v>60</v>
      </c>
      <c r="D5" s="3" t="s">
        <v>1226</v>
      </c>
    </row>
    <row r="6" spans="1:5">
      <c r="A6" s="1" t="s">
        <v>1122</v>
      </c>
      <c r="B6" s="2">
        <v>64</v>
      </c>
      <c r="C6" s="1" t="str">
        <f t="shared" si="0"/>
        <v>0</v>
      </c>
      <c r="D6" s="3" t="s">
        <v>1123</v>
      </c>
    </row>
    <row r="7" spans="1:5">
      <c r="A7" s="1" t="s">
        <v>1126</v>
      </c>
      <c r="B7" s="2">
        <v>30</v>
      </c>
      <c r="C7" s="1" t="str">
        <f t="shared" si="0"/>
        <v>0</v>
      </c>
      <c r="D7" s="3" t="s">
        <v>1127</v>
      </c>
    </row>
    <row r="8" spans="1:5">
      <c r="A8" s="1" t="s">
        <v>1225</v>
      </c>
      <c r="B8" s="2">
        <v>110</v>
      </c>
      <c r="C8" s="1" t="str">
        <f t="shared" si="0"/>
        <v>FFFFFE9FA4</v>
      </c>
      <c r="D8" s="3" t="s">
        <v>1119</v>
      </c>
    </row>
    <row r="9" spans="1:5">
      <c r="C9" s="1" t="str">
        <f t="shared" si="0"/>
        <v>0</v>
      </c>
    </row>
    <row r="10" spans="1:5">
      <c r="C10" s="1" t="str">
        <f t="shared" si="0"/>
        <v>0</v>
      </c>
    </row>
    <row r="11" spans="1:5">
      <c r="C11" s="1" t="str">
        <f t="shared" si="0"/>
        <v>0</v>
      </c>
    </row>
    <row r="12" spans="1:5">
      <c r="C12" s="1" t="str">
        <f t="shared" si="0"/>
        <v>0</v>
      </c>
    </row>
    <row r="13" spans="1:5">
      <c r="C13" s="1" t="str">
        <f t="shared" si="0"/>
        <v>0</v>
      </c>
    </row>
    <row r="14" spans="1:5">
      <c r="C14" s="1" t="str">
        <f t="shared" si="0"/>
        <v>0</v>
      </c>
    </row>
    <row r="15" spans="1:5">
      <c r="C15" s="1" t="str">
        <f t="shared" si="0"/>
        <v>0</v>
      </c>
    </row>
    <row r="17" spans="1:4">
      <c r="A17" s="1" t="s">
        <v>1120</v>
      </c>
      <c r="B17" s="2" t="s">
        <v>250</v>
      </c>
      <c r="C17" s="1" t="str">
        <f t="shared" si="0"/>
        <v>FFFFFDCFD8</v>
      </c>
      <c r="D17" s="3" t="s">
        <v>1121</v>
      </c>
    </row>
    <row r="18" spans="1:4">
      <c r="C18" s="1" t="str">
        <f t="shared" si="0"/>
        <v>0</v>
      </c>
    </row>
    <row r="19" spans="1:4">
      <c r="C19" s="1" t="str">
        <f t="shared" si="0"/>
        <v>0</v>
      </c>
    </row>
    <row r="20" spans="1:4">
      <c r="C20" s="1" t="str">
        <f t="shared" si="0"/>
        <v>0</v>
      </c>
    </row>
    <row r="21" spans="1:4">
      <c r="C21" s="1" t="str">
        <f t="shared" si="0"/>
        <v>0</v>
      </c>
    </row>
    <row r="22" spans="1:4">
      <c r="C22" s="1" t="str">
        <f t="shared" si="0"/>
        <v>0</v>
      </c>
    </row>
    <row r="23" spans="1:4">
      <c r="C23" s="1" t="str">
        <f t="shared" si="0"/>
        <v>0</v>
      </c>
    </row>
    <row r="24" spans="1:4">
      <c r="C24" s="1" t="str">
        <f t="shared" si="0"/>
        <v>0</v>
      </c>
    </row>
    <row r="25" spans="1:4">
      <c r="C25" s="1" t="str">
        <f t="shared" si="0"/>
        <v>0</v>
      </c>
    </row>
    <row r="26" spans="1:4">
      <c r="C26" s="1" t="str">
        <f t="shared" si="0"/>
        <v>0</v>
      </c>
    </row>
    <row r="27" spans="1:4">
      <c r="C27" s="1" t="str">
        <f t="shared" si="0"/>
        <v>0</v>
      </c>
    </row>
    <row r="28" spans="1:4">
      <c r="C28" s="1" t="str">
        <f t="shared" si="0"/>
        <v>0</v>
      </c>
    </row>
    <row r="29" spans="1:4">
      <c r="C29" s="1" t="str">
        <f t="shared" si="0"/>
        <v>0</v>
      </c>
    </row>
    <row r="30" spans="1:4">
      <c r="C30" s="1" t="str">
        <f t="shared" si="0"/>
        <v>0</v>
      </c>
    </row>
    <row r="33" spans="1:3">
      <c r="C33" s="1" t="str">
        <f t="shared" ref="C33" si="1">DEC2HEX(MAX(HEX2DEC(A34)-(HEX2DEC(A33)+HEX2DEC(B33)),0))</f>
        <v>0</v>
      </c>
    </row>
    <row r="34" spans="1:3">
      <c r="A34" s="1" t="str">
        <f t="shared" ref="A34:A53" si="2">DEC2HEX(HEX2DEC(A33)+HEX2DEC(B33),8)</f>
        <v>00000000</v>
      </c>
    </row>
    <row r="35" spans="1:3">
      <c r="A35" s="1" t="str">
        <f t="shared" si="2"/>
        <v>00000000</v>
      </c>
    </row>
    <row r="36" spans="1:3">
      <c r="A36" s="1" t="str">
        <f t="shared" si="2"/>
        <v>00000000</v>
      </c>
    </row>
    <row r="37" spans="1:3">
      <c r="A37" s="1" t="str">
        <f t="shared" si="2"/>
        <v>00000000</v>
      </c>
    </row>
    <row r="38" spans="1:3">
      <c r="A38" s="1" t="str">
        <f t="shared" si="2"/>
        <v>00000000</v>
      </c>
    </row>
    <row r="39" spans="1:3">
      <c r="A39" s="1" t="str">
        <f t="shared" si="2"/>
        <v>00000000</v>
      </c>
    </row>
    <row r="40" spans="1:3">
      <c r="A40" s="1" t="str">
        <f t="shared" si="2"/>
        <v>00000000</v>
      </c>
    </row>
    <row r="41" spans="1:3">
      <c r="A41" s="1" t="str">
        <f t="shared" si="2"/>
        <v>00000000</v>
      </c>
    </row>
    <row r="42" spans="1:3">
      <c r="A42" s="1" t="str">
        <f t="shared" si="2"/>
        <v>00000000</v>
      </c>
    </row>
    <row r="43" spans="1:3">
      <c r="A43" s="1" t="str">
        <f t="shared" si="2"/>
        <v>00000000</v>
      </c>
    </row>
    <row r="44" spans="1:3">
      <c r="A44" s="1" t="str">
        <f t="shared" si="2"/>
        <v>00000000</v>
      </c>
    </row>
    <row r="45" spans="1:3">
      <c r="A45" s="1" t="str">
        <f t="shared" si="2"/>
        <v>00000000</v>
      </c>
    </row>
    <row r="46" spans="1:3">
      <c r="A46" s="1" t="str">
        <f t="shared" si="2"/>
        <v>00000000</v>
      </c>
    </row>
    <row r="47" spans="1:3">
      <c r="A47" s="1" t="str">
        <f t="shared" si="2"/>
        <v>00000000</v>
      </c>
    </row>
    <row r="48" spans="1:3">
      <c r="A48" s="1" t="str">
        <f t="shared" si="2"/>
        <v>00000000</v>
      </c>
    </row>
    <row r="49" spans="1:1">
      <c r="A49" s="1" t="str">
        <f t="shared" si="2"/>
        <v>00000000</v>
      </c>
    </row>
    <row r="50" spans="1:1">
      <c r="A50" s="1" t="str">
        <f t="shared" si="2"/>
        <v>00000000</v>
      </c>
    </row>
    <row r="51" spans="1:1">
      <c r="A51" s="1" t="str">
        <f t="shared" si="2"/>
        <v>00000000</v>
      </c>
    </row>
    <row r="52" spans="1:1">
      <c r="A52" s="1" t="str">
        <f t="shared" si="2"/>
        <v>00000000</v>
      </c>
    </row>
    <row r="53" spans="1:1">
      <c r="A53" s="1" t="str">
        <f t="shared" si="2"/>
        <v>00000000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F28D0-CD32-4B5E-BA4C-9FE98A40FAD6}">
  <dimension ref="A1:E650"/>
  <sheetViews>
    <sheetView tabSelected="1" zoomScale="70" zoomScaleNormal="70" workbookViewId="0">
      <pane xSplit="1" ySplit="1" topLeftCell="B486" activePane="bottomRight" state="frozen"/>
      <selection pane="topRight" activeCell="B1" sqref="B1"/>
      <selection pane="bottomLeft" activeCell="A2" sqref="A2"/>
      <selection pane="bottomRight" activeCell="A516" sqref="A516"/>
    </sheetView>
  </sheetViews>
  <sheetFormatPr defaultColWidth="9.140625" defaultRowHeight="15.9"/>
  <cols>
    <col min="1" max="1" width="10.5703125" style="1" bestFit="1" customWidth="1"/>
    <col min="2" max="2" width="7.640625" style="2" customWidth="1"/>
    <col min="3" max="3" width="8.5" style="1" customWidth="1"/>
    <col min="4" max="4" width="124.5" style="45" bestFit="1" customWidth="1"/>
    <col min="5" max="5" width="7.85546875" style="3" bestFit="1" customWidth="1"/>
    <col min="6" max="8" width="36.85546875" style="3" customWidth="1"/>
    <col min="9" max="16384" width="9.140625" style="3"/>
  </cols>
  <sheetData>
    <row r="1" spans="1:5">
      <c r="A1" s="1" t="s">
        <v>0</v>
      </c>
      <c r="B1" s="2" t="s">
        <v>577</v>
      </c>
      <c r="C1" s="1" t="s">
        <v>49</v>
      </c>
      <c r="D1" s="44" t="s">
        <v>1</v>
      </c>
      <c r="E1" s="1" t="s">
        <v>2</v>
      </c>
    </row>
    <row r="2" spans="1:5">
      <c r="A2" s="1" t="s">
        <v>603</v>
      </c>
      <c r="B2" s="2" t="s">
        <v>57</v>
      </c>
      <c r="D2" s="45" t="s">
        <v>628</v>
      </c>
      <c r="E2" s="1"/>
    </row>
    <row r="3" spans="1:5">
      <c r="A3" s="1" t="s">
        <v>602</v>
      </c>
      <c r="B3" s="2">
        <v>14</v>
      </c>
      <c r="D3" s="45" t="s">
        <v>617</v>
      </c>
      <c r="E3" s="1"/>
    </row>
    <row r="4" spans="1:5">
      <c r="A4" s="1" t="s">
        <v>621</v>
      </c>
      <c r="B4" s="2" t="s">
        <v>138</v>
      </c>
      <c r="D4" s="45" t="s">
        <v>619</v>
      </c>
      <c r="E4" s="1"/>
    </row>
    <row r="5" spans="1:5">
      <c r="A5" s="1" t="s">
        <v>622</v>
      </c>
      <c r="B5" s="2" t="s">
        <v>265</v>
      </c>
      <c r="D5" s="45" t="s">
        <v>620</v>
      </c>
      <c r="E5" s="1"/>
    </row>
    <row r="6" spans="1:5">
      <c r="A6" s="1" t="s">
        <v>623</v>
      </c>
      <c r="B6" s="2">
        <v>84</v>
      </c>
      <c r="D6" s="45" t="s">
        <v>618</v>
      </c>
      <c r="E6" s="1"/>
    </row>
    <row r="7" spans="1:5">
      <c r="A7" s="4" t="s">
        <v>1227</v>
      </c>
      <c r="B7" s="3"/>
      <c r="C7" s="2">
        <v>10</v>
      </c>
      <c r="E7" s="1"/>
    </row>
    <row r="8" spans="1:5">
      <c r="A8" s="1" t="s">
        <v>1139</v>
      </c>
      <c r="B8" s="2">
        <v>14</v>
      </c>
      <c r="D8" s="45" t="s">
        <v>1169</v>
      </c>
      <c r="E8" s="1"/>
    </row>
    <row r="9" spans="1:5">
      <c r="A9" s="1" t="s">
        <v>580</v>
      </c>
      <c r="B9" s="2" t="s">
        <v>281</v>
      </c>
      <c r="D9" s="45" t="s">
        <v>581</v>
      </c>
      <c r="E9" s="1"/>
    </row>
    <row r="10" spans="1:5">
      <c r="A10" s="1" t="s">
        <v>582</v>
      </c>
      <c r="B10" s="2">
        <v>14</v>
      </c>
      <c r="D10" s="45" t="s">
        <v>667</v>
      </c>
      <c r="E10" s="1"/>
    </row>
    <row r="11" spans="1:5">
      <c r="A11" s="4" t="s">
        <v>670</v>
      </c>
      <c r="B11" s="2">
        <v>14</v>
      </c>
      <c r="D11" s="45" t="s">
        <v>668</v>
      </c>
      <c r="E11" s="1"/>
    </row>
    <row r="12" spans="1:5">
      <c r="A12" s="4" t="s">
        <v>671</v>
      </c>
      <c r="B12" s="2">
        <v>10</v>
      </c>
      <c r="D12" s="45" t="s">
        <v>669</v>
      </c>
      <c r="E12" s="1"/>
    </row>
    <row r="13" spans="1:5">
      <c r="A13" s="4" t="s">
        <v>672</v>
      </c>
      <c r="B13" s="2">
        <v>34</v>
      </c>
      <c r="D13" s="45" t="s">
        <v>752</v>
      </c>
      <c r="E13" s="1"/>
    </row>
    <row r="14" spans="1:5">
      <c r="A14" s="4" t="s">
        <v>751</v>
      </c>
      <c r="B14" s="2">
        <v>14</v>
      </c>
      <c r="D14" s="45" t="s">
        <v>753</v>
      </c>
      <c r="E14" s="1"/>
    </row>
    <row r="15" spans="1:5">
      <c r="A15" s="4" t="s">
        <v>673</v>
      </c>
      <c r="B15" s="2">
        <v>60</v>
      </c>
      <c r="D15" s="45" t="s">
        <v>674</v>
      </c>
      <c r="E15" s="1"/>
    </row>
    <row r="16" spans="1:5">
      <c r="A16" s="1" t="s">
        <v>597</v>
      </c>
      <c r="B16" s="2" t="s">
        <v>598</v>
      </c>
      <c r="D16" s="45" t="s">
        <v>599</v>
      </c>
      <c r="E16" s="1"/>
    </row>
    <row r="17" spans="1:5">
      <c r="A17" s="1" t="s">
        <v>594</v>
      </c>
      <c r="B17" s="2" t="s">
        <v>293</v>
      </c>
      <c r="D17" s="45" t="s">
        <v>591</v>
      </c>
      <c r="E17" s="1"/>
    </row>
    <row r="18" spans="1:5">
      <c r="A18" s="1" t="s">
        <v>592</v>
      </c>
      <c r="B18" s="2">
        <v>40</v>
      </c>
      <c r="D18" s="45" t="s">
        <v>593</v>
      </c>
      <c r="E18" s="1"/>
    </row>
    <row r="19" spans="1:5">
      <c r="A19" s="1" t="s">
        <v>666</v>
      </c>
      <c r="B19" s="2">
        <v>8</v>
      </c>
      <c r="D19" s="45" t="s">
        <v>1039</v>
      </c>
      <c r="E19" s="1"/>
    </row>
    <row r="20" spans="1:5">
      <c r="A20" s="1" t="s">
        <v>1038</v>
      </c>
      <c r="B20" s="2">
        <v>8</v>
      </c>
      <c r="D20" s="45" t="s">
        <v>1041</v>
      </c>
      <c r="E20" s="1"/>
    </row>
    <row r="21" spans="1:5">
      <c r="A21" s="1" t="s">
        <v>1040</v>
      </c>
      <c r="B21" s="2">
        <v>8</v>
      </c>
      <c r="D21" s="45" t="s">
        <v>1193</v>
      </c>
      <c r="E21" s="1"/>
    </row>
    <row r="22" spans="1:5">
      <c r="A22" s="4" t="s">
        <v>601</v>
      </c>
      <c r="B22" s="2">
        <v>4</v>
      </c>
      <c r="D22" s="45" t="s">
        <v>910</v>
      </c>
      <c r="E22" s="1"/>
    </row>
    <row r="23" spans="1:5">
      <c r="A23" s="4" t="s">
        <v>911</v>
      </c>
      <c r="B23" s="2">
        <v>14</v>
      </c>
      <c r="D23" s="45" t="s">
        <v>913</v>
      </c>
      <c r="E23" s="1"/>
    </row>
    <row r="24" spans="1:5">
      <c r="A24" s="4" t="s">
        <v>624</v>
      </c>
      <c r="B24" s="2" t="s">
        <v>120</v>
      </c>
      <c r="D24" s="45" t="s">
        <v>645</v>
      </c>
      <c r="E24" s="1"/>
    </row>
    <row r="25" spans="1:5">
      <c r="A25" s="4" t="s">
        <v>1007</v>
      </c>
      <c r="B25" s="3"/>
      <c r="C25" s="2">
        <v>34</v>
      </c>
      <c r="E25" s="1"/>
    </row>
    <row r="26" spans="1:5">
      <c r="A26" s="4" t="s">
        <v>863</v>
      </c>
      <c r="B26" s="2">
        <v>58</v>
      </c>
      <c r="D26" s="45" t="s">
        <v>953</v>
      </c>
      <c r="E26" s="1"/>
    </row>
    <row r="27" spans="1:5">
      <c r="A27" s="4" t="s">
        <v>1044</v>
      </c>
      <c r="C27" s="1">
        <v>54</v>
      </c>
      <c r="E27" s="1"/>
    </row>
    <row r="28" spans="1:5">
      <c r="A28" s="4" t="s">
        <v>824</v>
      </c>
      <c r="B28" s="3"/>
      <c r="C28" s="2" t="s">
        <v>233</v>
      </c>
      <c r="E28" s="1"/>
    </row>
    <row r="29" spans="1:5">
      <c r="A29" s="4" t="s">
        <v>747</v>
      </c>
      <c r="B29" s="2">
        <v>30</v>
      </c>
      <c r="D29" s="45" t="s">
        <v>1174</v>
      </c>
      <c r="E29" s="1"/>
    </row>
    <row r="30" spans="1:5">
      <c r="A30" s="4" t="s">
        <v>1170</v>
      </c>
      <c r="B30" s="2" t="s">
        <v>138</v>
      </c>
      <c r="D30" s="45" t="s">
        <v>1171</v>
      </c>
      <c r="E30" s="1"/>
    </row>
    <row r="31" spans="1:5">
      <c r="A31" s="4" t="s">
        <v>948</v>
      </c>
      <c r="B31" s="2">
        <v>40</v>
      </c>
      <c r="D31" s="45" t="s">
        <v>1027</v>
      </c>
      <c r="E31" s="1"/>
    </row>
    <row r="32" spans="1:5">
      <c r="A32" s="4" t="s">
        <v>1028</v>
      </c>
      <c r="B32" s="3"/>
      <c r="C32" s="2">
        <v>34</v>
      </c>
      <c r="E32" s="1"/>
    </row>
    <row r="33" spans="1:5">
      <c r="A33" s="4" t="s">
        <v>906</v>
      </c>
      <c r="B33" s="2" t="s">
        <v>138</v>
      </c>
      <c r="D33" s="45" t="s">
        <v>907</v>
      </c>
      <c r="E33" s="1"/>
    </row>
    <row r="34" spans="1:5">
      <c r="A34" s="4" t="s">
        <v>908</v>
      </c>
      <c r="B34" s="2">
        <v>58</v>
      </c>
      <c r="D34" s="45" t="s">
        <v>1051</v>
      </c>
      <c r="E34" s="1"/>
    </row>
    <row r="35" spans="1:5">
      <c r="A35" s="4" t="s">
        <v>1050</v>
      </c>
      <c r="B35" s="2">
        <v>38</v>
      </c>
      <c r="D35" s="45" t="s">
        <v>1203</v>
      </c>
      <c r="E35" s="1"/>
    </row>
    <row r="36" spans="1:5">
      <c r="A36" s="4" t="s">
        <v>625</v>
      </c>
      <c r="B36" s="2">
        <v>14</v>
      </c>
      <c r="D36" s="45" t="s">
        <v>662</v>
      </c>
      <c r="E36" s="1"/>
    </row>
    <row r="37" spans="1:5">
      <c r="A37" s="4" t="s">
        <v>660</v>
      </c>
      <c r="B37" s="2">
        <v>14</v>
      </c>
      <c r="D37" s="45" t="s">
        <v>719</v>
      </c>
      <c r="E37" s="1"/>
    </row>
    <row r="38" spans="1:5">
      <c r="A38" s="4" t="s">
        <v>661</v>
      </c>
      <c r="B38" s="2">
        <v>14</v>
      </c>
      <c r="D38" s="45" t="s">
        <v>739</v>
      </c>
      <c r="E38" s="1"/>
    </row>
    <row r="39" spans="1:5">
      <c r="A39" s="4" t="s">
        <v>1068</v>
      </c>
      <c r="B39" s="2">
        <v>14</v>
      </c>
      <c r="D39" s="45" t="s">
        <v>1069</v>
      </c>
      <c r="E39" s="1"/>
    </row>
    <row r="40" spans="1:5">
      <c r="A40" s="1" t="s">
        <v>539</v>
      </c>
      <c r="B40" s="2">
        <v>50</v>
      </c>
      <c r="D40" s="45" t="s">
        <v>605</v>
      </c>
      <c r="E40" s="1"/>
    </row>
    <row r="41" spans="1:5">
      <c r="A41" s="1" t="s">
        <v>604</v>
      </c>
      <c r="B41" s="2">
        <v>80</v>
      </c>
      <c r="D41" s="45" t="s">
        <v>820</v>
      </c>
      <c r="E41" s="1"/>
    </row>
    <row r="42" spans="1:5">
      <c r="A42" s="1" t="s">
        <v>538</v>
      </c>
      <c r="B42" s="2">
        <v>48</v>
      </c>
      <c r="D42" s="45" t="s">
        <v>545</v>
      </c>
      <c r="E42" s="1"/>
    </row>
    <row r="43" spans="1:5">
      <c r="A43" s="1" t="s">
        <v>909</v>
      </c>
      <c r="B43" s="1">
        <v>48</v>
      </c>
      <c r="D43" s="45" t="s">
        <v>1165</v>
      </c>
      <c r="E43" s="1"/>
    </row>
    <row r="44" spans="1:5">
      <c r="A44" s="1" t="s">
        <v>626</v>
      </c>
      <c r="B44" s="2">
        <v>100</v>
      </c>
      <c r="D44" s="45" t="s">
        <v>647</v>
      </c>
      <c r="E44" s="1"/>
    </row>
    <row r="45" spans="1:5">
      <c r="A45" s="1" t="s">
        <v>650</v>
      </c>
      <c r="B45" s="2" t="s">
        <v>138</v>
      </c>
      <c r="D45" s="45" t="s">
        <v>649</v>
      </c>
      <c r="E45" s="1"/>
    </row>
    <row r="46" spans="1:5">
      <c r="A46" s="1" t="s">
        <v>651</v>
      </c>
      <c r="B46" s="2" t="s">
        <v>663</v>
      </c>
      <c r="D46" s="45" t="s">
        <v>664</v>
      </c>
      <c r="E46" s="1"/>
    </row>
    <row r="47" spans="1:5">
      <c r="A47" s="1" t="s">
        <v>665</v>
      </c>
      <c r="B47" s="3"/>
      <c r="C47" s="2">
        <v>40</v>
      </c>
      <c r="E47" s="1"/>
    </row>
    <row r="48" spans="1:5">
      <c r="A48" s="1" t="s">
        <v>561</v>
      </c>
      <c r="B48" s="2">
        <v>14</v>
      </c>
      <c r="D48" s="45" t="s">
        <v>569</v>
      </c>
      <c r="E48" s="1"/>
    </row>
    <row r="49" spans="1:5">
      <c r="A49" s="1" t="s">
        <v>639</v>
      </c>
      <c r="B49" s="2">
        <v>14</v>
      </c>
      <c r="D49" s="45" t="s">
        <v>589</v>
      </c>
      <c r="E49" s="1"/>
    </row>
    <row r="50" spans="1:5">
      <c r="A50" s="1" t="s">
        <v>640</v>
      </c>
      <c r="B50" s="2">
        <v>14</v>
      </c>
      <c r="D50" s="45" t="s">
        <v>595</v>
      </c>
      <c r="E50" s="1"/>
    </row>
    <row r="51" spans="1:5">
      <c r="A51" s="1" t="s">
        <v>641</v>
      </c>
      <c r="B51" s="2">
        <v>14</v>
      </c>
      <c r="D51" s="45" t="s">
        <v>596</v>
      </c>
      <c r="E51" s="1"/>
    </row>
    <row r="52" spans="1:5">
      <c r="A52" s="1" t="s">
        <v>642</v>
      </c>
      <c r="B52" s="2">
        <v>14</v>
      </c>
      <c r="D52" s="45" t="s">
        <v>615</v>
      </c>
      <c r="E52" s="1"/>
    </row>
    <row r="53" spans="1:5">
      <c r="A53" s="1" t="s">
        <v>533</v>
      </c>
      <c r="B53" s="2">
        <v>18</v>
      </c>
      <c r="D53" s="45" t="s">
        <v>1200</v>
      </c>
      <c r="E53" s="1"/>
    </row>
    <row r="54" spans="1:5">
      <c r="A54" s="1" t="s">
        <v>1201</v>
      </c>
      <c r="B54" s="2">
        <v>14</v>
      </c>
      <c r="D54" s="45" t="s">
        <v>1202</v>
      </c>
      <c r="E54" s="1"/>
    </row>
    <row r="55" spans="1:5">
      <c r="A55" s="1" t="s">
        <v>497</v>
      </c>
      <c r="B55" s="2" t="s">
        <v>115</v>
      </c>
      <c r="D55" s="45" t="s">
        <v>979</v>
      </c>
      <c r="E55" s="1"/>
    </row>
    <row r="56" spans="1:5">
      <c r="A56" s="1" t="s">
        <v>530</v>
      </c>
      <c r="B56" s="2" t="s">
        <v>233</v>
      </c>
      <c r="D56" s="45" t="s">
        <v>637</v>
      </c>
      <c r="E56" s="1"/>
    </row>
    <row r="57" spans="1:5">
      <c r="A57" s="1" t="s">
        <v>822</v>
      </c>
      <c r="B57" s="2" t="s">
        <v>230</v>
      </c>
      <c r="D57" s="45" t="s">
        <v>946</v>
      </c>
      <c r="E57" s="1"/>
    </row>
    <row r="58" spans="1:5">
      <c r="A58" s="1" t="s">
        <v>535</v>
      </c>
      <c r="B58" s="2">
        <v>50</v>
      </c>
      <c r="D58" s="45" t="s">
        <v>547</v>
      </c>
      <c r="E58" s="1"/>
    </row>
    <row r="59" spans="1:5">
      <c r="A59" s="1" t="s">
        <v>823</v>
      </c>
      <c r="B59" s="2">
        <v>30</v>
      </c>
      <c r="D59" s="45" t="s">
        <v>942</v>
      </c>
      <c r="E59" s="1"/>
    </row>
    <row r="60" spans="1:5">
      <c r="A60" s="1" t="s">
        <v>943</v>
      </c>
      <c r="B60" s="2">
        <v>14</v>
      </c>
      <c r="D60" s="45" t="s">
        <v>947</v>
      </c>
      <c r="E60" s="1"/>
    </row>
    <row r="61" spans="1:5">
      <c r="A61" s="1" t="s">
        <v>944</v>
      </c>
      <c r="B61" s="2">
        <v>14</v>
      </c>
      <c r="D61" s="45" t="s">
        <v>1070</v>
      </c>
      <c r="E61" s="1"/>
    </row>
    <row r="62" spans="1:5">
      <c r="A62" s="1" t="s">
        <v>370</v>
      </c>
      <c r="B62" s="2">
        <v>14</v>
      </c>
      <c r="D62" s="45" t="s">
        <v>371</v>
      </c>
      <c r="E62" s="1"/>
    </row>
    <row r="63" spans="1:5">
      <c r="A63" s="1" t="s">
        <v>368</v>
      </c>
      <c r="B63" s="2" t="s">
        <v>50</v>
      </c>
      <c r="D63" s="45" t="s">
        <v>369</v>
      </c>
      <c r="E63" s="1"/>
    </row>
    <row r="64" spans="1:5">
      <c r="A64" s="1" t="s">
        <v>534</v>
      </c>
      <c r="B64" s="2" t="s">
        <v>230</v>
      </c>
      <c r="D64" s="45" t="s">
        <v>1155</v>
      </c>
      <c r="E64" s="1"/>
    </row>
    <row r="65" spans="1:5">
      <c r="A65" s="1" t="s">
        <v>675</v>
      </c>
      <c r="B65" s="2">
        <v>14</v>
      </c>
      <c r="D65" s="45" t="s">
        <v>1161</v>
      </c>
      <c r="E65" s="1"/>
    </row>
    <row r="66" spans="1:5">
      <c r="A66" s="1" t="s">
        <v>748</v>
      </c>
      <c r="B66" s="2">
        <v>14</v>
      </c>
      <c r="D66" s="45" t="s">
        <v>758</v>
      </c>
      <c r="E66" s="1"/>
    </row>
    <row r="67" spans="1:5">
      <c r="A67" s="1" t="s">
        <v>749</v>
      </c>
      <c r="B67" s="2">
        <v>14</v>
      </c>
      <c r="D67" s="45" t="s">
        <v>759</v>
      </c>
      <c r="E67" s="1"/>
    </row>
    <row r="68" spans="1:5">
      <c r="A68" s="1" t="s">
        <v>729</v>
      </c>
      <c r="B68" s="2">
        <v>14</v>
      </c>
      <c r="D68" s="45" t="s">
        <v>743</v>
      </c>
      <c r="E68" s="1"/>
    </row>
    <row r="69" spans="1:5">
      <c r="A69" s="1" t="s">
        <v>730</v>
      </c>
      <c r="B69" s="2">
        <v>14</v>
      </c>
      <c r="D69" s="45" t="s">
        <v>744</v>
      </c>
      <c r="E69" s="1"/>
    </row>
    <row r="70" spans="1:5">
      <c r="A70" s="1" t="s">
        <v>442</v>
      </c>
      <c r="B70" s="2">
        <v>18</v>
      </c>
      <c r="D70" s="45" t="s">
        <v>446</v>
      </c>
      <c r="E70" s="1"/>
    </row>
    <row r="71" spans="1:5">
      <c r="A71" s="1" t="s">
        <v>453</v>
      </c>
      <c r="B71" s="2">
        <v>18</v>
      </c>
      <c r="D71" s="45" t="s">
        <v>456</v>
      </c>
      <c r="E71" s="1"/>
    </row>
    <row r="72" spans="1:5">
      <c r="A72" s="1" t="s">
        <v>454</v>
      </c>
      <c r="B72" s="2">
        <v>18</v>
      </c>
      <c r="D72" s="45" t="s">
        <v>488</v>
      </c>
      <c r="E72" s="1"/>
    </row>
    <row r="73" spans="1:5">
      <c r="A73" s="1" t="s">
        <v>455</v>
      </c>
      <c r="B73" s="2">
        <v>18</v>
      </c>
      <c r="D73" s="45" t="s">
        <v>501</v>
      </c>
      <c r="E73" s="1"/>
    </row>
    <row r="74" spans="1:5">
      <c r="A74" s="1" t="s">
        <v>500</v>
      </c>
      <c r="B74" s="2">
        <v>20</v>
      </c>
      <c r="D74" s="45" t="s">
        <v>853</v>
      </c>
      <c r="E74" s="1"/>
    </row>
    <row r="75" spans="1:5">
      <c r="A75" s="1" t="s">
        <v>678</v>
      </c>
      <c r="B75" s="2" t="s">
        <v>120</v>
      </c>
      <c r="D75" s="45" t="s">
        <v>731</v>
      </c>
      <c r="E75" s="1"/>
    </row>
    <row r="76" spans="1:5">
      <c r="A76" s="1" t="s">
        <v>732</v>
      </c>
      <c r="B76" s="2">
        <v>14</v>
      </c>
      <c r="D76" s="45" t="s">
        <v>762</v>
      </c>
      <c r="E76" s="1"/>
    </row>
    <row r="77" spans="1:5">
      <c r="A77" s="1" t="s">
        <v>733</v>
      </c>
      <c r="B77" s="1">
        <v>14</v>
      </c>
      <c r="D77" s="45" t="s">
        <v>765</v>
      </c>
      <c r="E77" s="1"/>
    </row>
    <row r="78" spans="1:5">
      <c r="A78" s="1" t="s">
        <v>450</v>
      </c>
      <c r="B78" s="2" t="s">
        <v>48</v>
      </c>
      <c r="D78" s="45" t="s">
        <v>462</v>
      </c>
      <c r="E78" s="1"/>
    </row>
    <row r="79" spans="1:5">
      <c r="A79" s="1" t="s">
        <v>461</v>
      </c>
      <c r="B79" s="2" t="s">
        <v>48</v>
      </c>
      <c r="D79" s="45" t="s">
        <v>462</v>
      </c>
      <c r="E79" s="1"/>
    </row>
    <row r="80" spans="1:5">
      <c r="A80" s="1" t="s">
        <v>463</v>
      </c>
      <c r="B80" s="2">
        <v>10</v>
      </c>
      <c r="D80" s="45" t="s">
        <v>496</v>
      </c>
      <c r="E80" s="1"/>
    </row>
    <row r="81" spans="1:5">
      <c r="A81" s="1" t="s">
        <v>676</v>
      </c>
      <c r="B81" s="2">
        <v>14</v>
      </c>
      <c r="D81" s="45" t="s">
        <v>770</v>
      </c>
      <c r="E81" s="1"/>
    </row>
    <row r="82" spans="1:5">
      <c r="A82" s="1" t="s">
        <v>769</v>
      </c>
      <c r="B82" s="2">
        <v>14</v>
      </c>
      <c r="D82" s="45" t="s">
        <v>794</v>
      </c>
      <c r="E82" s="1"/>
    </row>
    <row r="83" spans="1:5">
      <c r="A83" s="1" t="s">
        <v>791</v>
      </c>
      <c r="B83" s="2">
        <v>14</v>
      </c>
      <c r="D83" s="45" t="s">
        <v>805</v>
      </c>
      <c r="E83" s="1"/>
    </row>
    <row r="84" spans="1:5">
      <c r="A84" s="1" t="s">
        <v>792</v>
      </c>
      <c r="B84" s="2">
        <v>14</v>
      </c>
      <c r="D84" s="45" t="s">
        <v>814</v>
      </c>
      <c r="E84" s="1"/>
    </row>
    <row r="85" spans="1:5">
      <c r="A85" s="1" t="s">
        <v>793</v>
      </c>
      <c r="B85" s="2">
        <v>14</v>
      </c>
      <c r="D85" s="45" t="s">
        <v>809</v>
      </c>
      <c r="E85" s="1"/>
    </row>
    <row r="86" spans="1:5">
      <c r="A86" s="1" t="s">
        <v>635</v>
      </c>
      <c r="B86" s="2">
        <v>14</v>
      </c>
      <c r="D86" s="45" t="s">
        <v>659</v>
      </c>
      <c r="E86" s="1"/>
    </row>
    <row r="87" spans="1:5">
      <c r="A87" s="1" t="s">
        <v>573</v>
      </c>
      <c r="B87" s="2" t="s">
        <v>120</v>
      </c>
      <c r="D87" s="45" t="s">
        <v>864</v>
      </c>
      <c r="E87" s="1"/>
    </row>
    <row r="88" spans="1:5">
      <c r="A88" s="1" t="s">
        <v>865</v>
      </c>
      <c r="B88" s="2">
        <v>14</v>
      </c>
      <c r="D88" s="45" t="s">
        <v>869</v>
      </c>
      <c r="E88" s="1"/>
    </row>
    <row r="89" spans="1:5">
      <c r="A89" s="1" t="s">
        <v>866</v>
      </c>
      <c r="B89" s="2">
        <v>14</v>
      </c>
      <c r="D89" s="45" t="s">
        <v>876</v>
      </c>
      <c r="E89" s="1"/>
    </row>
    <row r="90" spans="1:5">
      <c r="A90" s="1" t="s">
        <v>867</v>
      </c>
      <c r="B90" s="2">
        <v>14</v>
      </c>
      <c r="D90" s="45" t="s">
        <v>889</v>
      </c>
      <c r="E90" s="1"/>
    </row>
    <row r="91" spans="1:5">
      <c r="A91" s="1" t="s">
        <v>631</v>
      </c>
      <c r="B91" s="2">
        <v>14</v>
      </c>
      <c r="D91" s="45" t="s">
        <v>629</v>
      </c>
      <c r="E91" s="1"/>
    </row>
    <row r="92" spans="1:5">
      <c r="A92" s="1" t="s">
        <v>632</v>
      </c>
      <c r="B92" s="2">
        <v>14</v>
      </c>
      <c r="D92" s="45" t="s">
        <v>630</v>
      </c>
      <c r="E92" s="1"/>
    </row>
    <row r="93" spans="1:5">
      <c r="A93" s="1" t="s">
        <v>643</v>
      </c>
      <c r="B93" s="2">
        <v>14</v>
      </c>
      <c r="D93" s="45" t="s">
        <v>646</v>
      </c>
      <c r="E93" s="1"/>
    </row>
    <row r="94" spans="1:5">
      <c r="A94" s="1" t="s">
        <v>441</v>
      </c>
      <c r="B94" s="2">
        <v>48</v>
      </c>
      <c r="D94" s="45" t="s">
        <v>464</v>
      </c>
      <c r="E94" s="1"/>
    </row>
    <row r="95" spans="1:5">
      <c r="A95" s="1" t="s">
        <v>515</v>
      </c>
      <c r="B95" s="2">
        <v>44</v>
      </c>
      <c r="D95" s="45" t="s">
        <v>590</v>
      </c>
      <c r="E95" s="1"/>
    </row>
    <row r="96" spans="1:5">
      <c r="A96" s="1" t="s">
        <v>945</v>
      </c>
      <c r="B96" s="3"/>
      <c r="C96" s="2">
        <v>4</v>
      </c>
      <c r="E96" s="1"/>
    </row>
    <row r="97" spans="1:5">
      <c r="A97" s="1" t="s">
        <v>451</v>
      </c>
      <c r="B97" s="2">
        <v>18</v>
      </c>
      <c r="D97" s="45" t="s">
        <v>495</v>
      </c>
      <c r="E97" s="1"/>
    </row>
    <row r="98" spans="1:5">
      <c r="A98" s="1" t="s">
        <v>493</v>
      </c>
      <c r="B98" s="2">
        <v>18</v>
      </c>
      <c r="D98" s="45" t="s">
        <v>1063</v>
      </c>
      <c r="E98" s="1"/>
    </row>
    <row r="99" spans="1:5">
      <c r="A99" s="1" t="s">
        <v>494</v>
      </c>
      <c r="B99" s="3"/>
      <c r="C99" s="2">
        <v>18</v>
      </c>
      <c r="E99" s="1"/>
    </row>
    <row r="100" spans="1:5">
      <c r="A100" s="1" t="s">
        <v>459</v>
      </c>
      <c r="B100" s="2">
        <v>10</v>
      </c>
      <c r="D100" s="45" t="s">
        <v>489</v>
      </c>
      <c r="E100" s="1"/>
    </row>
    <row r="101" spans="1:5">
      <c r="A101" s="1" t="s">
        <v>677</v>
      </c>
      <c r="B101" s="2" t="s">
        <v>57</v>
      </c>
      <c r="D101" s="45" t="s">
        <v>771</v>
      </c>
      <c r="E101" s="1"/>
    </row>
    <row r="102" spans="1:5">
      <c r="A102" s="1" t="s">
        <v>772</v>
      </c>
      <c r="B102" s="2">
        <v>14</v>
      </c>
      <c r="D102" s="45" t="s">
        <v>782</v>
      </c>
      <c r="E102" s="1"/>
    </row>
    <row r="103" spans="1:5">
      <c r="A103" s="1" t="s">
        <v>777</v>
      </c>
      <c r="B103" s="2">
        <v>14</v>
      </c>
      <c r="D103" s="45" t="s">
        <v>790</v>
      </c>
      <c r="E103" s="1"/>
    </row>
    <row r="104" spans="1:5">
      <c r="A104" s="1" t="s">
        <v>776</v>
      </c>
      <c r="B104" s="2">
        <v>14</v>
      </c>
      <c r="D104" s="45" t="s">
        <v>785</v>
      </c>
      <c r="E104" s="1"/>
    </row>
    <row r="105" spans="1:5">
      <c r="A105" s="1" t="s">
        <v>775</v>
      </c>
      <c r="B105" s="2">
        <v>14</v>
      </c>
      <c r="D105" s="45" t="s">
        <v>779</v>
      </c>
      <c r="E105" s="1"/>
    </row>
    <row r="106" spans="1:5">
      <c r="A106" s="1" t="s">
        <v>773</v>
      </c>
      <c r="B106" s="2">
        <v>14</v>
      </c>
      <c r="D106" s="45" t="s">
        <v>774</v>
      </c>
      <c r="E106" s="1"/>
    </row>
    <row r="107" spans="1:5">
      <c r="A107" s="1" t="s">
        <v>492</v>
      </c>
      <c r="B107" s="2">
        <v>14</v>
      </c>
      <c r="D107" s="45" t="s">
        <v>546</v>
      </c>
      <c r="E107" s="1"/>
    </row>
    <row r="108" spans="1:5">
      <c r="A108" s="1" t="s">
        <v>445</v>
      </c>
      <c r="B108" s="2">
        <v>14</v>
      </c>
      <c r="D108" s="45" t="s">
        <v>468</v>
      </c>
      <c r="E108" s="1"/>
    </row>
    <row r="109" spans="1:5">
      <c r="A109" s="1" t="s">
        <v>508</v>
      </c>
      <c r="B109" s="2">
        <v>14</v>
      </c>
      <c r="D109" s="45" t="s">
        <v>551</v>
      </c>
      <c r="E109" s="1"/>
    </row>
    <row r="110" spans="1:5">
      <c r="A110" s="1" t="s">
        <v>550</v>
      </c>
      <c r="B110" s="2">
        <v>14</v>
      </c>
      <c r="D110" s="45" t="s">
        <v>552</v>
      </c>
      <c r="E110" s="1"/>
    </row>
    <row r="111" spans="1:5">
      <c r="A111" s="1" t="s">
        <v>553</v>
      </c>
      <c r="B111" s="2" t="s">
        <v>138</v>
      </c>
      <c r="D111" s="45" t="s">
        <v>574</v>
      </c>
      <c r="E111" s="1"/>
    </row>
    <row r="112" spans="1:5">
      <c r="A112" s="1" t="s">
        <v>487</v>
      </c>
      <c r="B112" s="2">
        <v>14</v>
      </c>
      <c r="D112" s="45" t="s">
        <v>378</v>
      </c>
      <c r="E112" s="1"/>
    </row>
    <row r="113" spans="1:5">
      <c r="A113" s="1" t="s">
        <v>474</v>
      </c>
      <c r="B113" s="2">
        <v>14</v>
      </c>
      <c r="D113" s="45" t="s">
        <v>473</v>
      </c>
      <c r="E113" s="1"/>
    </row>
    <row r="114" spans="1:5">
      <c r="A114" s="1" t="s">
        <v>718</v>
      </c>
      <c r="B114" s="2">
        <v>184</v>
      </c>
      <c r="D114" s="45" t="s">
        <v>780</v>
      </c>
      <c r="E114" s="1"/>
    </row>
    <row r="115" spans="1:5">
      <c r="A115" s="1" t="s">
        <v>1142</v>
      </c>
      <c r="B115" s="3"/>
      <c r="C115" s="2">
        <v>18</v>
      </c>
      <c r="E115" s="1"/>
    </row>
    <row r="116" spans="1:5">
      <c r="A116" s="1" t="s">
        <v>781</v>
      </c>
      <c r="B116" s="2">
        <v>34</v>
      </c>
      <c r="D116" s="45" t="s">
        <v>803</v>
      </c>
      <c r="E116" s="1"/>
    </row>
    <row r="117" spans="1:5">
      <c r="A117" s="1" t="s">
        <v>804</v>
      </c>
      <c r="B117" s="2">
        <v>54</v>
      </c>
      <c r="D117" s="45" t="s">
        <v>806</v>
      </c>
      <c r="E117" s="1"/>
    </row>
    <row r="118" spans="1:5">
      <c r="A118" s="1" t="s">
        <v>402</v>
      </c>
      <c r="B118" s="2">
        <v>14</v>
      </c>
      <c r="D118" s="45" t="s">
        <v>403</v>
      </c>
      <c r="E118" s="1"/>
    </row>
    <row r="119" spans="1:5">
      <c r="A119" s="1" t="s">
        <v>452</v>
      </c>
      <c r="B119" s="2">
        <v>14</v>
      </c>
      <c r="D119" s="45" t="s">
        <v>478</v>
      </c>
      <c r="E119" s="1"/>
    </row>
    <row r="120" spans="1:5">
      <c r="A120" s="1" t="s">
        <v>518</v>
      </c>
      <c r="B120" s="2" t="s">
        <v>281</v>
      </c>
      <c r="D120" s="45" t="s">
        <v>556</v>
      </c>
      <c r="E120" s="1"/>
    </row>
    <row r="121" spans="1:5">
      <c r="A121" s="1" t="s">
        <v>555</v>
      </c>
      <c r="B121" s="2">
        <v>8</v>
      </c>
      <c r="D121" s="45" t="s">
        <v>981</v>
      </c>
      <c r="E121" s="1"/>
    </row>
    <row r="122" spans="1:5">
      <c r="A122" s="1" t="s">
        <v>923</v>
      </c>
      <c r="B122" s="2">
        <v>14</v>
      </c>
      <c r="D122" s="45" t="s">
        <v>934</v>
      </c>
      <c r="E122" s="1"/>
    </row>
    <row r="123" spans="1:5">
      <c r="A123" s="1" t="s">
        <v>636</v>
      </c>
      <c r="B123" s="2">
        <v>14</v>
      </c>
      <c r="D123" s="45" t="s">
        <v>638</v>
      </c>
      <c r="E123" s="1"/>
    </row>
    <row r="124" spans="1:5">
      <c r="A124" s="1" t="s">
        <v>519</v>
      </c>
      <c r="B124" s="2" t="s">
        <v>563</v>
      </c>
      <c r="D124" s="45" t="s">
        <v>564</v>
      </c>
      <c r="E124" s="1"/>
    </row>
    <row r="125" spans="1:5">
      <c r="A125" s="1" t="s">
        <v>565</v>
      </c>
      <c r="B125" s="3"/>
      <c r="C125" s="2">
        <v>20</v>
      </c>
      <c r="E125" s="1"/>
    </row>
    <row r="126" spans="1:5">
      <c r="A126" s="1" t="s">
        <v>1160</v>
      </c>
      <c r="B126" s="3"/>
      <c r="C126" s="2">
        <v>40</v>
      </c>
      <c r="E126" s="1"/>
    </row>
    <row r="127" spans="1:5">
      <c r="A127" s="1" t="s">
        <v>485</v>
      </c>
      <c r="B127" s="2" t="s">
        <v>120</v>
      </c>
      <c r="D127" s="45" t="s">
        <v>486</v>
      </c>
      <c r="E127" s="1"/>
    </row>
    <row r="128" spans="1:5">
      <c r="A128" s="1" t="s">
        <v>536</v>
      </c>
      <c r="B128" s="2" t="s">
        <v>138</v>
      </c>
      <c r="D128" s="45" t="s">
        <v>571</v>
      </c>
      <c r="E128" s="1"/>
    </row>
    <row r="129" spans="1:5">
      <c r="A129" s="1" t="s">
        <v>634</v>
      </c>
      <c r="B129" s="2" t="s">
        <v>230</v>
      </c>
      <c r="D129" s="45" t="s">
        <v>633</v>
      </c>
      <c r="E129" s="1"/>
    </row>
    <row r="130" spans="1:5">
      <c r="A130" s="1" t="s">
        <v>714</v>
      </c>
      <c r="B130" s="2">
        <v>24</v>
      </c>
      <c r="D130" s="45" t="s">
        <v>741</v>
      </c>
      <c r="E130" s="1"/>
    </row>
    <row r="131" spans="1:5">
      <c r="A131" s="1" t="s">
        <v>715</v>
      </c>
      <c r="B131" s="2">
        <v>18</v>
      </c>
      <c r="D131" s="45" t="s">
        <v>1035</v>
      </c>
      <c r="E131" s="1"/>
    </row>
    <row r="132" spans="1:5">
      <c r="A132" s="1" t="s">
        <v>1036</v>
      </c>
      <c r="C132" s="1">
        <v>38</v>
      </c>
      <c r="E132" s="1"/>
    </row>
    <row r="133" spans="1:5">
      <c r="A133" s="1" t="s">
        <v>734</v>
      </c>
      <c r="D133" s="45" t="s">
        <v>1037</v>
      </c>
      <c r="E133" s="1"/>
    </row>
    <row r="134" spans="1:5">
      <c r="A134" s="1" t="s">
        <v>716</v>
      </c>
      <c r="B134" s="2" t="s">
        <v>138</v>
      </c>
      <c r="D134" s="45" t="s">
        <v>735</v>
      </c>
      <c r="E134" s="1"/>
    </row>
    <row r="135" spans="1:5">
      <c r="A135" s="1" t="s">
        <v>736</v>
      </c>
      <c r="B135" s="2">
        <v>48</v>
      </c>
      <c r="D135" s="45" t="s">
        <v>783</v>
      </c>
      <c r="E135" s="1"/>
    </row>
    <row r="136" spans="1:5">
      <c r="A136" s="1" t="s">
        <v>784</v>
      </c>
      <c r="B136" s="2">
        <v>14</v>
      </c>
      <c r="D136" s="45" t="s">
        <v>815</v>
      </c>
      <c r="E136" s="1"/>
    </row>
    <row r="137" spans="1:5">
      <c r="A137" s="1" t="s">
        <v>816</v>
      </c>
      <c r="B137" s="3"/>
      <c r="C137" s="2" t="s">
        <v>233</v>
      </c>
      <c r="E137" s="1"/>
    </row>
    <row r="138" spans="1:5">
      <c r="A138" s="1" t="s">
        <v>717</v>
      </c>
      <c r="B138" s="2">
        <v>70</v>
      </c>
      <c r="C138" s="2"/>
      <c r="D138" s="45" t="s">
        <v>1173</v>
      </c>
      <c r="E138" s="1"/>
    </row>
    <row r="139" spans="1:5">
      <c r="A139" s="1" t="s">
        <v>1172</v>
      </c>
      <c r="B139" s="2">
        <v>14</v>
      </c>
      <c r="C139" s="2"/>
      <c r="D139" s="45" t="s">
        <v>1199</v>
      </c>
      <c r="E139" s="1"/>
    </row>
    <row r="140" spans="1:5">
      <c r="A140" s="1" t="s">
        <v>750</v>
      </c>
      <c r="B140" s="2">
        <v>34</v>
      </c>
      <c r="D140" s="45" t="s">
        <v>767</v>
      </c>
      <c r="E140" s="1"/>
    </row>
    <row r="141" spans="1:5">
      <c r="A141" s="1" t="s">
        <v>927</v>
      </c>
      <c r="B141" s="2">
        <v>20</v>
      </c>
      <c r="D141" s="45" t="s">
        <v>1032</v>
      </c>
      <c r="E141" s="1"/>
    </row>
    <row r="142" spans="1:5">
      <c r="A142" s="1" t="s">
        <v>766</v>
      </c>
      <c r="B142" s="2">
        <v>34</v>
      </c>
      <c r="D142" s="45" t="s">
        <v>768</v>
      </c>
      <c r="E142" s="1"/>
    </row>
    <row r="143" spans="1:5">
      <c r="A143" s="1" t="s">
        <v>928</v>
      </c>
      <c r="B143" s="2">
        <v>28</v>
      </c>
      <c r="D143" s="45" t="s">
        <v>778</v>
      </c>
      <c r="E143" s="1"/>
    </row>
    <row r="144" spans="1:5">
      <c r="A144" s="1" t="s">
        <v>932</v>
      </c>
      <c r="B144" s="2">
        <v>48</v>
      </c>
      <c r="D144" s="45" t="s">
        <v>933</v>
      </c>
      <c r="E144" s="1"/>
    </row>
    <row r="145" spans="1:5">
      <c r="A145" s="1" t="s">
        <v>1090</v>
      </c>
      <c r="B145" s="2">
        <v>14</v>
      </c>
      <c r="D145" s="45" t="s">
        <v>1091</v>
      </c>
      <c r="E145" s="1"/>
    </row>
    <row r="146" spans="1:5">
      <c r="A146" s="1" t="s">
        <v>962</v>
      </c>
      <c r="B146" s="2">
        <v>14</v>
      </c>
      <c r="D146" s="45" t="s">
        <v>1092</v>
      </c>
      <c r="E146" s="1"/>
    </row>
    <row r="147" spans="1:5">
      <c r="A147" s="1" t="s">
        <v>963</v>
      </c>
      <c r="B147" s="2">
        <v>34</v>
      </c>
      <c r="D147" s="45" t="s">
        <v>964</v>
      </c>
      <c r="E147" s="1"/>
    </row>
    <row r="148" spans="1:5">
      <c r="E148" s="1"/>
    </row>
    <row r="149" spans="1:5">
      <c r="A149" s="1" t="s">
        <v>16</v>
      </c>
      <c r="B149" s="2">
        <v>68</v>
      </c>
      <c r="C149" s="1" t="str">
        <f t="shared" ref="C149:C216" si="0">DEC2HEX(HEX2DEC(A150)-(HEX2DEC(A149)+HEX2DEC(B149)))</f>
        <v>0</v>
      </c>
      <c r="D149" s="45" t="s">
        <v>17</v>
      </c>
    </row>
    <row r="150" spans="1:5">
      <c r="A150" s="1" t="s">
        <v>62</v>
      </c>
      <c r="B150" s="2">
        <v>18</v>
      </c>
      <c r="C150" s="1" t="str">
        <f t="shared" si="0"/>
        <v>0</v>
      </c>
      <c r="D150" s="45" t="s">
        <v>63</v>
      </c>
    </row>
    <row r="151" spans="1:5">
      <c r="A151" s="1" t="s">
        <v>986</v>
      </c>
      <c r="B151" s="2">
        <v>50</v>
      </c>
      <c r="C151" s="1" t="str">
        <f t="shared" si="0"/>
        <v>0</v>
      </c>
      <c r="D151" s="45" t="s">
        <v>987</v>
      </c>
    </row>
    <row r="152" spans="1:5">
      <c r="A152" s="1" t="s">
        <v>1006</v>
      </c>
      <c r="B152" s="2">
        <v>28</v>
      </c>
      <c r="C152" s="1" t="str">
        <f t="shared" si="0"/>
        <v>0</v>
      </c>
      <c r="D152" s="45" t="s">
        <v>1071</v>
      </c>
    </row>
    <row r="153" spans="1:5">
      <c r="A153" s="1" t="s">
        <v>1072</v>
      </c>
      <c r="B153" s="2">
        <v>14</v>
      </c>
      <c r="C153" s="1" t="str">
        <f t="shared" si="0"/>
        <v>0</v>
      </c>
      <c r="D153" s="45" t="s">
        <v>1073</v>
      </c>
    </row>
    <row r="154" spans="1:5">
      <c r="A154" s="1" t="s">
        <v>397</v>
      </c>
      <c r="B154" s="2">
        <v>14</v>
      </c>
      <c r="C154" s="1" t="str">
        <f t="shared" si="0"/>
        <v>0</v>
      </c>
      <c r="D154" s="45" t="s">
        <v>399</v>
      </c>
    </row>
    <row r="155" spans="1:5">
      <c r="A155" s="1" t="s">
        <v>398</v>
      </c>
      <c r="B155" s="2">
        <v>14</v>
      </c>
      <c r="C155" s="1" t="str">
        <f t="shared" si="0"/>
        <v>0</v>
      </c>
      <c r="D155" s="45" t="s">
        <v>409</v>
      </c>
    </row>
    <row r="156" spans="1:5">
      <c r="A156" s="1" t="s">
        <v>407</v>
      </c>
      <c r="B156" s="2">
        <v>14</v>
      </c>
      <c r="C156" s="1" t="str">
        <f t="shared" si="0"/>
        <v>0</v>
      </c>
      <c r="D156" s="45" t="s">
        <v>419</v>
      </c>
    </row>
    <row r="157" spans="1:5">
      <c r="A157" s="1" t="s">
        <v>408</v>
      </c>
      <c r="B157" s="2">
        <v>14</v>
      </c>
      <c r="C157" s="1" t="str">
        <f t="shared" si="0"/>
        <v>0</v>
      </c>
      <c r="D157" s="45" t="s">
        <v>447</v>
      </c>
    </row>
    <row r="158" spans="1:5">
      <c r="A158" s="5" t="s">
        <v>29</v>
      </c>
      <c r="B158" s="6">
        <v>40</v>
      </c>
      <c r="C158" s="1" t="str">
        <f t="shared" si="0"/>
        <v>0</v>
      </c>
      <c r="D158" s="46" t="s">
        <v>30</v>
      </c>
    </row>
    <row r="159" spans="1:5">
      <c r="A159" s="7" t="s">
        <v>47</v>
      </c>
      <c r="B159" s="8" t="s">
        <v>48</v>
      </c>
      <c r="C159" s="1" t="str">
        <f t="shared" si="0"/>
        <v>0</v>
      </c>
      <c r="D159" s="47" t="s">
        <v>46</v>
      </c>
    </row>
    <row r="160" spans="1:5">
      <c r="A160" s="1" t="s">
        <v>64</v>
      </c>
      <c r="B160" s="2">
        <v>18</v>
      </c>
      <c r="C160" s="1" t="str">
        <f t="shared" si="0"/>
        <v>0</v>
      </c>
    </row>
    <row r="161" spans="1:4">
      <c r="A161" s="9" t="s">
        <v>65</v>
      </c>
      <c r="B161" s="10" t="s">
        <v>48</v>
      </c>
      <c r="C161" s="9" t="str">
        <f t="shared" si="0"/>
        <v>0</v>
      </c>
      <c r="D161" s="48" t="s">
        <v>161</v>
      </c>
    </row>
    <row r="162" spans="1:4">
      <c r="A162" s="9" t="s">
        <v>162</v>
      </c>
      <c r="B162" s="10">
        <v>48</v>
      </c>
      <c r="C162" s="9" t="str">
        <f t="shared" si="0"/>
        <v>0</v>
      </c>
      <c r="D162" s="48" t="s">
        <v>340</v>
      </c>
    </row>
    <row r="163" spans="1:4">
      <c r="A163" s="9" t="s">
        <v>532</v>
      </c>
      <c r="B163" s="10">
        <v>8</v>
      </c>
      <c r="C163" s="9" t="str">
        <f t="shared" si="0"/>
        <v>0</v>
      </c>
      <c r="D163" s="48" t="s">
        <v>531</v>
      </c>
    </row>
    <row r="164" spans="1:4">
      <c r="A164" s="11" t="s">
        <v>39</v>
      </c>
      <c r="B164" s="12">
        <v>74</v>
      </c>
      <c r="C164" s="9" t="str">
        <f t="shared" si="0"/>
        <v>C</v>
      </c>
      <c r="D164" s="49" t="s">
        <v>40</v>
      </c>
    </row>
    <row r="165" spans="1:4">
      <c r="A165" s="13" t="s">
        <v>3</v>
      </c>
      <c r="B165" s="14" t="s">
        <v>236</v>
      </c>
      <c r="C165" s="13" t="str">
        <f t="shared" si="0"/>
        <v>0</v>
      </c>
      <c r="D165" s="50" t="s">
        <v>259</v>
      </c>
    </row>
    <row r="166" spans="1:4">
      <c r="A166" s="1" t="s">
        <v>260</v>
      </c>
      <c r="B166" s="2" t="s">
        <v>265</v>
      </c>
      <c r="C166" s="1" t="str">
        <f t="shared" si="0"/>
        <v>0</v>
      </c>
      <c r="D166" s="45" t="s">
        <v>266</v>
      </c>
    </row>
    <row r="167" spans="1:4">
      <c r="A167" s="1" t="s">
        <v>264</v>
      </c>
      <c r="B167" s="2">
        <v>44</v>
      </c>
      <c r="C167" s="1" t="str">
        <f t="shared" si="0"/>
        <v>0</v>
      </c>
      <c r="D167" s="45" t="s">
        <v>1190</v>
      </c>
    </row>
    <row r="168" spans="1:4">
      <c r="A168" s="1" t="s">
        <v>1111</v>
      </c>
      <c r="B168" s="2">
        <v>14</v>
      </c>
      <c r="C168" s="1" t="str">
        <f t="shared" si="0"/>
        <v>0</v>
      </c>
      <c r="D168" s="45" t="s">
        <v>1212</v>
      </c>
    </row>
    <row r="169" spans="1:4">
      <c r="A169" s="1" t="s">
        <v>1112</v>
      </c>
      <c r="C169" s="1" t="str">
        <f t="shared" si="0"/>
        <v>14</v>
      </c>
    </row>
    <row r="170" spans="1:4">
      <c r="A170" s="1" t="s">
        <v>263</v>
      </c>
      <c r="B170" s="2">
        <v>28</v>
      </c>
      <c r="C170" s="1" t="str">
        <f t="shared" si="0"/>
        <v>0</v>
      </c>
      <c r="D170" s="45" t="s">
        <v>275</v>
      </c>
    </row>
    <row r="171" spans="1:4">
      <c r="A171" s="1" t="s">
        <v>274</v>
      </c>
      <c r="B171" s="2" t="s">
        <v>230</v>
      </c>
      <c r="C171" s="1" t="str">
        <f t="shared" si="0"/>
        <v>0</v>
      </c>
      <c r="D171" s="45" t="s">
        <v>342</v>
      </c>
    </row>
    <row r="172" spans="1:4">
      <c r="A172" s="1" t="s">
        <v>341</v>
      </c>
      <c r="B172" s="2" t="s">
        <v>203</v>
      </c>
      <c r="C172" s="1" t="str">
        <f t="shared" si="0"/>
        <v>0</v>
      </c>
      <c r="D172" s="45" t="s">
        <v>343</v>
      </c>
    </row>
    <row r="173" spans="1:4">
      <c r="A173" s="1" t="s">
        <v>344</v>
      </c>
      <c r="B173" s="2">
        <v>14</v>
      </c>
      <c r="C173" s="1" t="str">
        <f t="shared" si="0"/>
        <v>0</v>
      </c>
      <c r="D173" s="45" t="s">
        <v>350</v>
      </c>
    </row>
    <row r="174" spans="1:4">
      <c r="A174" s="1" t="s">
        <v>351</v>
      </c>
      <c r="B174" s="2">
        <v>14</v>
      </c>
      <c r="C174" s="1" t="str">
        <f t="shared" si="0"/>
        <v>0</v>
      </c>
      <c r="D174" s="45" t="s">
        <v>353</v>
      </c>
    </row>
    <row r="175" spans="1:4">
      <c r="A175" s="1" t="s">
        <v>352</v>
      </c>
      <c r="B175" s="2">
        <v>14</v>
      </c>
      <c r="C175" s="1" t="str">
        <f t="shared" si="0"/>
        <v>0</v>
      </c>
      <c r="D175" s="45" t="s">
        <v>359</v>
      </c>
    </row>
    <row r="176" spans="1:4">
      <c r="A176" s="1" t="s">
        <v>358</v>
      </c>
      <c r="B176" s="2">
        <v>14</v>
      </c>
      <c r="C176" s="1" t="str">
        <f t="shared" si="0"/>
        <v>4</v>
      </c>
      <c r="D176" s="45" t="s">
        <v>363</v>
      </c>
    </row>
    <row r="177" spans="1:4">
      <c r="A177" s="15" t="s">
        <v>77</v>
      </c>
      <c r="B177" s="16">
        <v>18</v>
      </c>
      <c r="C177" s="15" t="str">
        <f t="shared" si="0"/>
        <v>0</v>
      </c>
      <c r="D177" s="51" t="s">
        <v>78</v>
      </c>
    </row>
    <row r="178" spans="1:4">
      <c r="A178" s="1" t="s">
        <v>41</v>
      </c>
      <c r="B178" s="2">
        <v>40</v>
      </c>
      <c r="C178" s="1" t="str">
        <f t="shared" si="0"/>
        <v>0</v>
      </c>
      <c r="D178" s="45" t="s">
        <v>336</v>
      </c>
    </row>
    <row r="179" spans="1:4">
      <c r="A179" s="1" t="s">
        <v>483</v>
      </c>
      <c r="B179" s="2">
        <v>20</v>
      </c>
      <c r="C179" s="1" t="str">
        <f t="shared" si="0"/>
        <v>0</v>
      </c>
      <c r="D179" s="45" t="s">
        <v>484</v>
      </c>
    </row>
    <row r="180" spans="1:4" ht="31.75">
      <c r="A180" s="17" t="s">
        <v>19</v>
      </c>
      <c r="B180" s="18">
        <v>58</v>
      </c>
      <c r="C180" s="17" t="str">
        <f t="shared" si="0"/>
        <v>0</v>
      </c>
      <c r="D180" s="52" t="s">
        <v>22</v>
      </c>
    </row>
    <row r="181" spans="1:4" ht="31.75">
      <c r="A181" s="17" t="s">
        <v>20</v>
      </c>
      <c r="B181" s="18" t="s">
        <v>50</v>
      </c>
      <c r="C181" s="17" t="str">
        <f t="shared" si="0"/>
        <v>0</v>
      </c>
      <c r="D181" s="52" t="s">
        <v>21</v>
      </c>
    </row>
    <row r="182" spans="1:4">
      <c r="A182" s="17" t="s">
        <v>25</v>
      </c>
      <c r="B182" s="18" t="s">
        <v>51</v>
      </c>
      <c r="C182" s="17" t="str">
        <f t="shared" si="0"/>
        <v>0</v>
      </c>
      <c r="D182" s="52" t="s">
        <v>23</v>
      </c>
    </row>
    <row r="183" spans="1:4" ht="31.75">
      <c r="A183" s="17" t="s">
        <v>26</v>
      </c>
      <c r="B183" s="18" t="s">
        <v>52</v>
      </c>
      <c r="C183" s="17" t="str">
        <f t="shared" si="0"/>
        <v>0</v>
      </c>
      <c r="D183" s="52" t="s">
        <v>24</v>
      </c>
    </row>
    <row r="184" spans="1:4">
      <c r="A184" s="17" t="s">
        <v>28</v>
      </c>
      <c r="B184" s="18" t="s">
        <v>53</v>
      </c>
      <c r="C184" s="17" t="str">
        <f t="shared" si="0"/>
        <v>0</v>
      </c>
      <c r="D184" s="52" t="s">
        <v>27</v>
      </c>
    </row>
    <row r="185" spans="1:4">
      <c r="A185" s="4" t="s">
        <v>652</v>
      </c>
      <c r="B185" s="23">
        <v>18</v>
      </c>
      <c r="C185" s="4" t="str">
        <f t="shared" si="0"/>
        <v>0</v>
      </c>
      <c r="D185" s="45" t="s">
        <v>653</v>
      </c>
    </row>
    <row r="186" spans="1:4">
      <c r="A186" s="19" t="s">
        <v>42</v>
      </c>
      <c r="B186" s="20">
        <v>40</v>
      </c>
      <c r="C186" s="19" t="str">
        <f t="shared" si="0"/>
        <v>4</v>
      </c>
      <c r="D186" s="53" t="s">
        <v>44</v>
      </c>
    </row>
    <row r="187" spans="1:4">
      <c r="A187" s="21" t="s">
        <v>58</v>
      </c>
      <c r="B187" s="22">
        <v>48</v>
      </c>
      <c r="C187" s="21" t="str">
        <f t="shared" si="0"/>
        <v>4</v>
      </c>
      <c r="D187" s="54" t="s">
        <v>59</v>
      </c>
    </row>
    <row r="188" spans="1:4">
      <c r="A188" s="4" t="s">
        <v>45</v>
      </c>
      <c r="B188" s="23">
        <v>40</v>
      </c>
      <c r="C188" s="4" t="str">
        <f t="shared" si="0"/>
        <v>0</v>
      </c>
      <c r="D188" s="45" t="s">
        <v>365</v>
      </c>
    </row>
    <row r="189" spans="1:4">
      <c r="A189" s="4" t="s">
        <v>366</v>
      </c>
      <c r="B189" s="23">
        <v>48</v>
      </c>
      <c r="C189" s="4" t="str">
        <f t="shared" si="0"/>
        <v>0</v>
      </c>
      <c r="D189" s="45" t="s">
        <v>727</v>
      </c>
    </row>
    <row r="190" spans="1:4">
      <c r="A190" s="4" t="s">
        <v>728</v>
      </c>
      <c r="B190" s="23">
        <v>10</v>
      </c>
      <c r="C190" s="4" t="str">
        <f t="shared" si="0"/>
        <v>2C</v>
      </c>
      <c r="D190" s="45" t="s">
        <v>364</v>
      </c>
    </row>
    <row r="191" spans="1:4">
      <c r="A191" s="4" t="s">
        <v>367</v>
      </c>
      <c r="B191" s="23">
        <v>40</v>
      </c>
      <c r="C191" s="4" t="str">
        <f t="shared" si="0"/>
        <v>0</v>
      </c>
      <c r="D191" s="45" t="s">
        <v>381</v>
      </c>
    </row>
    <row r="192" spans="1:4">
      <c r="A192" s="4" t="s">
        <v>380</v>
      </c>
      <c r="B192" s="23">
        <v>14</v>
      </c>
      <c r="C192" s="4" t="str">
        <f t="shared" si="0"/>
        <v>0</v>
      </c>
      <c r="D192" s="45" t="s">
        <v>382</v>
      </c>
    </row>
    <row r="193" spans="1:4">
      <c r="A193" s="21" t="s">
        <v>61</v>
      </c>
      <c r="B193" s="22">
        <v>54</v>
      </c>
      <c r="C193" s="21" t="str">
        <f t="shared" si="0"/>
        <v>4</v>
      </c>
      <c r="D193" s="54" t="s">
        <v>60</v>
      </c>
    </row>
    <row r="194" spans="1:4">
      <c r="A194" s="24" t="s">
        <v>67</v>
      </c>
      <c r="B194" s="25" t="s">
        <v>230</v>
      </c>
      <c r="C194" s="24" t="str">
        <f t="shared" si="0"/>
        <v>C</v>
      </c>
      <c r="D194" s="55" t="s">
        <v>66</v>
      </c>
    </row>
    <row r="195" spans="1:4">
      <c r="A195" s="26" t="s">
        <v>68</v>
      </c>
      <c r="B195" s="27">
        <v>24</v>
      </c>
      <c r="C195" s="26" t="str">
        <f t="shared" si="0"/>
        <v>4</v>
      </c>
      <c r="D195" s="56" t="s">
        <v>69</v>
      </c>
    </row>
    <row r="196" spans="1:4">
      <c r="A196" s="1" t="s">
        <v>70</v>
      </c>
      <c r="B196" s="2">
        <v>34</v>
      </c>
      <c r="C196" s="1" t="str">
        <f t="shared" si="0"/>
        <v>0</v>
      </c>
      <c r="D196" s="45" t="s">
        <v>71</v>
      </c>
    </row>
    <row r="197" spans="1:4">
      <c r="A197" s="26" t="s">
        <v>73</v>
      </c>
      <c r="B197" s="27">
        <v>40</v>
      </c>
      <c r="C197" s="26" t="str">
        <f t="shared" si="0"/>
        <v>0</v>
      </c>
      <c r="D197" s="56" t="s">
        <v>72</v>
      </c>
    </row>
    <row r="198" spans="1:4">
      <c r="A198" s="28" t="s">
        <v>74</v>
      </c>
      <c r="B198" s="29">
        <v>14</v>
      </c>
      <c r="C198" s="28" t="str">
        <f t="shared" si="0"/>
        <v>0</v>
      </c>
      <c r="D198" s="57" t="s">
        <v>75</v>
      </c>
    </row>
    <row r="199" spans="1:4">
      <c r="A199" s="30" t="s">
        <v>76</v>
      </c>
      <c r="B199" s="31">
        <v>34</v>
      </c>
      <c r="C199" s="30" t="str">
        <f t="shared" si="0"/>
        <v>4</v>
      </c>
      <c r="D199" s="58" t="s">
        <v>627</v>
      </c>
    </row>
    <row r="200" spans="1:4">
      <c r="A200" s="30" t="s">
        <v>79</v>
      </c>
      <c r="B200" s="31">
        <v>68</v>
      </c>
      <c r="C200" s="30" t="str">
        <f t="shared" si="0"/>
        <v>0</v>
      </c>
      <c r="D200" s="58" t="s">
        <v>80</v>
      </c>
    </row>
    <row r="201" spans="1:4">
      <c r="A201" s="30" t="s">
        <v>81</v>
      </c>
      <c r="B201" s="31">
        <v>54</v>
      </c>
      <c r="C201" s="30" t="str">
        <f t="shared" si="0"/>
        <v>0</v>
      </c>
      <c r="D201" s="58" t="s">
        <v>119</v>
      </c>
    </row>
    <row r="202" spans="1:4">
      <c r="A202" s="30" t="s">
        <v>117</v>
      </c>
      <c r="B202" s="31">
        <v>14</v>
      </c>
      <c r="C202" s="30" t="str">
        <f t="shared" si="0"/>
        <v>0</v>
      </c>
      <c r="D202" s="58" t="s">
        <v>118</v>
      </c>
    </row>
    <row r="203" spans="1:4">
      <c r="A203" s="30" t="s">
        <v>82</v>
      </c>
      <c r="B203" s="31">
        <v>40</v>
      </c>
      <c r="C203" s="30" t="str">
        <f t="shared" si="0"/>
        <v>0</v>
      </c>
      <c r="D203" s="58" t="s">
        <v>1074</v>
      </c>
    </row>
    <row r="204" spans="1:4">
      <c r="A204" s="30" t="s">
        <v>1075</v>
      </c>
      <c r="B204" s="31">
        <v>14</v>
      </c>
      <c r="C204" s="30" t="str">
        <f t="shared" si="0"/>
        <v>0</v>
      </c>
      <c r="D204" s="58" t="s">
        <v>1084</v>
      </c>
    </row>
    <row r="205" spans="1:4">
      <c r="A205" s="30" t="s">
        <v>1083</v>
      </c>
      <c r="B205" s="31">
        <v>30</v>
      </c>
      <c r="C205" s="30" t="str">
        <f t="shared" si="0"/>
        <v>0</v>
      </c>
      <c r="D205" s="58" t="s">
        <v>1085</v>
      </c>
    </row>
    <row r="206" spans="1:4">
      <c r="A206" s="30" t="s">
        <v>83</v>
      </c>
      <c r="B206" s="31">
        <v>30</v>
      </c>
      <c r="C206" s="30" t="str">
        <f t="shared" si="0"/>
        <v>0</v>
      </c>
      <c r="D206" s="58" t="s">
        <v>84</v>
      </c>
    </row>
    <row r="207" spans="1:4">
      <c r="A207" s="30" t="s">
        <v>85</v>
      </c>
      <c r="B207" s="31">
        <v>14</v>
      </c>
      <c r="C207" s="30" t="str">
        <f t="shared" si="0"/>
        <v>0</v>
      </c>
      <c r="D207" s="58" t="s">
        <v>86</v>
      </c>
    </row>
    <row r="208" spans="1:4">
      <c r="A208" s="30" t="s">
        <v>87</v>
      </c>
      <c r="B208" s="31">
        <v>14</v>
      </c>
      <c r="C208" s="30" t="str">
        <f t="shared" si="0"/>
        <v>0</v>
      </c>
      <c r="D208" s="58" t="s">
        <v>125</v>
      </c>
    </row>
    <row r="209" spans="1:4">
      <c r="A209" s="30" t="s">
        <v>333</v>
      </c>
      <c r="B209" s="31">
        <v>14</v>
      </c>
      <c r="C209" s="30" t="str">
        <f t="shared" si="0"/>
        <v>0</v>
      </c>
      <c r="D209" s="58" t="s">
        <v>88</v>
      </c>
    </row>
    <row r="210" spans="1:4">
      <c r="A210" s="30" t="s">
        <v>334</v>
      </c>
      <c r="B210" s="31">
        <v>30</v>
      </c>
      <c r="C210" s="30" t="str">
        <f t="shared" si="0"/>
        <v>0</v>
      </c>
      <c r="D210" s="58" t="s">
        <v>335</v>
      </c>
    </row>
    <row r="211" spans="1:4">
      <c r="A211" s="30" t="s">
        <v>443</v>
      </c>
      <c r="B211" s="31">
        <v>10</v>
      </c>
      <c r="C211" s="30" t="str">
        <f t="shared" si="0"/>
        <v>0</v>
      </c>
      <c r="D211" s="58" t="s">
        <v>444</v>
      </c>
    </row>
    <row r="212" spans="1:4">
      <c r="A212" s="32" t="s">
        <v>4</v>
      </c>
      <c r="B212" s="33" t="s">
        <v>51</v>
      </c>
      <c r="C212" s="32" t="str">
        <f t="shared" si="0"/>
        <v>0</v>
      </c>
      <c r="D212" s="59" t="s">
        <v>7</v>
      </c>
    </row>
    <row r="213" spans="1:4">
      <c r="A213" s="32" t="s">
        <v>5</v>
      </c>
      <c r="B213" s="33" t="s">
        <v>54</v>
      </c>
      <c r="C213" s="32" t="str">
        <f t="shared" si="0"/>
        <v>0</v>
      </c>
      <c r="D213" s="59" t="s">
        <v>8</v>
      </c>
    </row>
    <row r="214" spans="1:4">
      <c r="A214" s="32" t="s">
        <v>6</v>
      </c>
      <c r="B214" s="33" t="s">
        <v>55</v>
      </c>
      <c r="C214" s="32" t="str">
        <f t="shared" si="0"/>
        <v>0</v>
      </c>
      <c r="D214" s="59" t="s">
        <v>9</v>
      </c>
    </row>
    <row r="215" spans="1:4">
      <c r="A215" s="32" t="s">
        <v>10</v>
      </c>
      <c r="B215" s="33" t="s">
        <v>56</v>
      </c>
      <c r="C215" s="32" t="str">
        <f t="shared" si="0"/>
        <v>0</v>
      </c>
      <c r="D215" s="59" t="s">
        <v>13</v>
      </c>
    </row>
    <row r="216" spans="1:4">
      <c r="A216" s="32" t="s">
        <v>11</v>
      </c>
      <c r="B216" s="33" t="s">
        <v>57</v>
      </c>
      <c r="C216" s="32" t="str">
        <f t="shared" si="0"/>
        <v>0</v>
      </c>
      <c r="D216" s="59" t="s">
        <v>14</v>
      </c>
    </row>
    <row r="217" spans="1:4">
      <c r="A217" s="32" t="s">
        <v>12</v>
      </c>
      <c r="B217" s="33">
        <v>68</v>
      </c>
      <c r="C217" s="32" t="str">
        <f t="shared" ref="C217:C288" si="1">DEC2HEX(HEX2DEC(A218)-(HEX2DEC(A217)+HEX2DEC(B217)))</f>
        <v>0</v>
      </c>
      <c r="D217" s="59" t="s">
        <v>15</v>
      </c>
    </row>
    <row r="218" spans="1:4">
      <c r="A218" s="34" t="s">
        <v>89</v>
      </c>
      <c r="B218" s="35">
        <v>18</v>
      </c>
      <c r="C218" s="34" t="str">
        <f t="shared" si="1"/>
        <v>0</v>
      </c>
      <c r="D218" s="60" t="s">
        <v>329</v>
      </c>
    </row>
    <row r="219" spans="1:4">
      <c r="A219" s="34" t="s">
        <v>337</v>
      </c>
      <c r="B219" s="35">
        <v>18</v>
      </c>
      <c r="C219" s="34" t="str">
        <f t="shared" si="1"/>
        <v>0</v>
      </c>
      <c r="D219" s="60" t="s">
        <v>330</v>
      </c>
    </row>
    <row r="220" spans="1:4">
      <c r="A220" s="34" t="s">
        <v>338</v>
      </c>
      <c r="B220" s="35">
        <v>18</v>
      </c>
      <c r="C220" s="34" t="str">
        <f t="shared" si="1"/>
        <v>0</v>
      </c>
      <c r="D220" s="60" t="s">
        <v>331</v>
      </c>
    </row>
    <row r="221" spans="1:4">
      <c r="A221" s="34" t="s">
        <v>339</v>
      </c>
      <c r="B221" s="35">
        <v>18</v>
      </c>
      <c r="C221" s="34" t="str">
        <f t="shared" si="1"/>
        <v>0</v>
      </c>
      <c r="D221" s="60" t="s">
        <v>332</v>
      </c>
    </row>
    <row r="222" spans="1:4">
      <c r="A222" s="34" t="s">
        <v>502</v>
      </c>
      <c r="B222" s="35">
        <v>10</v>
      </c>
      <c r="C222" s="34" t="str">
        <f t="shared" si="1"/>
        <v>0</v>
      </c>
      <c r="D222" s="60" t="s">
        <v>503</v>
      </c>
    </row>
    <row r="223" spans="1:4">
      <c r="A223" s="34" t="s">
        <v>90</v>
      </c>
      <c r="B223" s="35">
        <v>30</v>
      </c>
      <c r="C223" s="34" t="str">
        <f t="shared" si="1"/>
        <v>0</v>
      </c>
      <c r="D223" s="60" t="s">
        <v>91</v>
      </c>
    </row>
    <row r="224" spans="1:4">
      <c r="A224" s="34" t="s">
        <v>92</v>
      </c>
      <c r="B224" s="35">
        <v>40</v>
      </c>
      <c r="C224" s="34" t="str">
        <f t="shared" si="1"/>
        <v>0</v>
      </c>
      <c r="D224" s="60" t="s">
        <v>93</v>
      </c>
    </row>
    <row r="225" spans="1:4">
      <c r="A225" s="34" t="s">
        <v>103</v>
      </c>
      <c r="B225" s="35">
        <v>14</v>
      </c>
      <c r="C225" s="34" t="str">
        <f t="shared" si="1"/>
        <v>0</v>
      </c>
      <c r="D225" s="60" t="s">
        <v>740</v>
      </c>
    </row>
    <row r="226" spans="1:4">
      <c r="A226" s="34" t="s">
        <v>557</v>
      </c>
      <c r="B226" s="35">
        <v>8</v>
      </c>
      <c r="C226" s="34" t="str">
        <f t="shared" si="1"/>
        <v>0</v>
      </c>
      <c r="D226" s="60" t="s">
        <v>558</v>
      </c>
    </row>
    <row r="227" spans="1:4">
      <c r="A227" s="34" t="s">
        <v>104</v>
      </c>
      <c r="B227" s="35">
        <v>34</v>
      </c>
      <c r="C227" s="34" t="str">
        <f t="shared" si="1"/>
        <v>0</v>
      </c>
      <c r="D227" s="60" t="s">
        <v>105</v>
      </c>
    </row>
    <row r="228" spans="1:4">
      <c r="A228" s="34" t="s">
        <v>106</v>
      </c>
      <c r="B228" s="35">
        <v>10</v>
      </c>
      <c r="C228" s="34" t="str">
        <f t="shared" si="1"/>
        <v>0</v>
      </c>
      <c r="D228" s="60" t="s">
        <v>108</v>
      </c>
    </row>
    <row r="229" spans="1:4">
      <c r="A229" s="34" t="s">
        <v>107</v>
      </c>
      <c r="B229" s="35" t="s">
        <v>109</v>
      </c>
      <c r="C229" s="34" t="str">
        <f t="shared" si="1"/>
        <v>0</v>
      </c>
      <c r="D229" s="60" t="s">
        <v>110</v>
      </c>
    </row>
    <row r="230" spans="1:4">
      <c r="A230" s="34" t="s">
        <v>111</v>
      </c>
      <c r="B230" s="35">
        <v>14</v>
      </c>
      <c r="C230" s="34" t="str">
        <f t="shared" si="1"/>
        <v>0</v>
      </c>
      <c r="D230" s="60" t="s">
        <v>448</v>
      </c>
    </row>
    <row r="231" spans="1:4">
      <c r="A231" s="34" t="s">
        <v>112</v>
      </c>
      <c r="B231" s="36">
        <v>14</v>
      </c>
      <c r="C231" s="34" t="str">
        <f t="shared" si="1"/>
        <v>0</v>
      </c>
      <c r="D231" s="60" t="s">
        <v>131</v>
      </c>
    </row>
    <row r="232" spans="1:4">
      <c r="A232" s="34" t="s">
        <v>113</v>
      </c>
      <c r="B232" s="35">
        <v>14</v>
      </c>
      <c r="C232" s="34" t="str">
        <f t="shared" si="1"/>
        <v>0</v>
      </c>
      <c r="D232" s="60" t="s">
        <v>160</v>
      </c>
    </row>
    <row r="233" spans="1:4">
      <c r="A233" s="34" t="s">
        <v>175</v>
      </c>
      <c r="B233" s="35">
        <v>14</v>
      </c>
      <c r="C233" s="34" t="str">
        <f t="shared" si="1"/>
        <v>0</v>
      </c>
      <c r="D233" s="60" t="s">
        <v>177</v>
      </c>
    </row>
    <row r="234" spans="1:4">
      <c r="A234" s="34" t="s">
        <v>183</v>
      </c>
      <c r="B234" s="35">
        <v>14</v>
      </c>
      <c r="C234" s="34" t="str">
        <f t="shared" si="1"/>
        <v>0</v>
      </c>
      <c r="D234" s="60" t="s">
        <v>379</v>
      </c>
    </row>
    <row r="235" spans="1:4">
      <c r="A235" s="34" t="s">
        <v>114</v>
      </c>
      <c r="B235" s="35" t="s">
        <v>120</v>
      </c>
      <c r="C235" s="34" t="str">
        <f t="shared" si="1"/>
        <v>0</v>
      </c>
      <c r="D235" s="60" t="s">
        <v>121</v>
      </c>
    </row>
    <row r="236" spans="1:4">
      <c r="A236" s="34" t="s">
        <v>122</v>
      </c>
      <c r="B236" s="35">
        <v>60</v>
      </c>
      <c r="C236" s="34" t="str">
        <f t="shared" si="1"/>
        <v>0</v>
      </c>
      <c r="D236" s="60" t="s">
        <v>123</v>
      </c>
    </row>
    <row r="237" spans="1:4">
      <c r="A237" s="34" t="s">
        <v>124</v>
      </c>
      <c r="B237" s="35" t="s">
        <v>236</v>
      </c>
      <c r="C237" s="34" t="str">
        <f t="shared" si="1"/>
        <v>0</v>
      </c>
      <c r="D237" s="60" t="s">
        <v>243</v>
      </c>
    </row>
    <row r="238" spans="1:4">
      <c r="A238" s="34" t="s">
        <v>238</v>
      </c>
      <c r="B238" s="35">
        <v>8</v>
      </c>
      <c r="C238" s="34" t="str">
        <f t="shared" si="1"/>
        <v>0</v>
      </c>
      <c r="D238" s="60" t="s">
        <v>1056</v>
      </c>
    </row>
    <row r="239" spans="1:4">
      <c r="A239" s="34" t="s">
        <v>1058</v>
      </c>
      <c r="B239" s="35">
        <v>18</v>
      </c>
      <c r="C239" s="34" t="str">
        <f t="shared" si="1"/>
        <v>0</v>
      </c>
      <c r="D239" s="60" t="s">
        <v>1057</v>
      </c>
    </row>
    <row r="240" spans="1:4">
      <c r="A240" s="34" t="s">
        <v>136</v>
      </c>
      <c r="B240" s="35" t="s">
        <v>233</v>
      </c>
      <c r="C240" s="34" t="str">
        <f t="shared" si="1"/>
        <v>0</v>
      </c>
      <c r="D240" s="60" t="s">
        <v>135</v>
      </c>
    </row>
    <row r="241" spans="1:4">
      <c r="A241" s="34" t="s">
        <v>128</v>
      </c>
      <c r="B241" s="35">
        <v>50</v>
      </c>
      <c r="C241" s="34" t="str">
        <f t="shared" si="1"/>
        <v>0</v>
      </c>
      <c r="D241" s="60" t="s">
        <v>129</v>
      </c>
    </row>
    <row r="242" spans="1:4">
      <c r="A242" s="34" t="s">
        <v>261</v>
      </c>
      <c r="B242" s="35" t="s">
        <v>48</v>
      </c>
      <c r="C242" s="34" t="str">
        <f t="shared" si="1"/>
        <v>0</v>
      </c>
      <c r="D242" s="60" t="s">
        <v>262</v>
      </c>
    </row>
    <row r="243" spans="1:4">
      <c r="A243" s="34" t="s">
        <v>600</v>
      </c>
      <c r="B243" s="35">
        <v>8</v>
      </c>
      <c r="C243" s="34" t="str">
        <f t="shared" si="1"/>
        <v>0</v>
      </c>
      <c r="D243" s="60" t="s">
        <v>965</v>
      </c>
    </row>
    <row r="244" spans="1:4">
      <c r="A244" s="34" t="s">
        <v>967</v>
      </c>
      <c r="B244" s="35">
        <v>8</v>
      </c>
      <c r="C244" s="34" t="str">
        <f t="shared" si="1"/>
        <v>0</v>
      </c>
      <c r="D244" s="60" t="s">
        <v>966</v>
      </c>
    </row>
    <row r="245" spans="1:4">
      <c r="A245" s="34" t="s">
        <v>130</v>
      </c>
      <c r="B245" s="35">
        <v>58</v>
      </c>
      <c r="C245" s="34" t="str">
        <f t="shared" si="1"/>
        <v>0</v>
      </c>
      <c r="D245" s="60" t="s">
        <v>1128</v>
      </c>
    </row>
    <row r="246" spans="1:4">
      <c r="A246" s="34" t="s">
        <v>1129</v>
      </c>
      <c r="B246" s="35"/>
      <c r="C246" s="34" t="str">
        <f t="shared" si="1"/>
        <v>38</v>
      </c>
      <c r="D246" s="60"/>
    </row>
    <row r="247" spans="1:4">
      <c r="A247" s="34" t="s">
        <v>134</v>
      </c>
      <c r="B247" s="35">
        <v>14</v>
      </c>
      <c r="C247" s="34" t="str">
        <f t="shared" si="1"/>
        <v>0</v>
      </c>
      <c r="D247" s="60" t="s">
        <v>133</v>
      </c>
    </row>
    <row r="248" spans="1:4">
      <c r="A248" s="34" t="s">
        <v>152</v>
      </c>
      <c r="B248" s="35" t="s">
        <v>138</v>
      </c>
      <c r="C248" s="34" t="str">
        <f t="shared" si="1"/>
        <v>0</v>
      </c>
      <c r="D248" s="60" t="s">
        <v>163</v>
      </c>
    </row>
    <row r="249" spans="1:4">
      <c r="A249" s="34" t="s">
        <v>457</v>
      </c>
      <c r="B249" s="35">
        <v>10</v>
      </c>
      <c r="C249" s="34" t="str">
        <f t="shared" si="1"/>
        <v>0</v>
      </c>
      <c r="D249" s="60" t="s">
        <v>458</v>
      </c>
    </row>
    <row r="250" spans="1:4">
      <c r="A250" s="34" t="s">
        <v>137</v>
      </c>
      <c r="B250" s="35" t="s">
        <v>138</v>
      </c>
      <c r="C250" s="34" t="str">
        <f t="shared" si="1"/>
        <v>0</v>
      </c>
      <c r="D250" s="61" t="s">
        <v>244</v>
      </c>
    </row>
    <row r="251" spans="1:4" ht="31.75">
      <c r="A251" s="34" t="s">
        <v>132</v>
      </c>
      <c r="B251" s="35">
        <v>40</v>
      </c>
      <c r="C251" s="34" t="str">
        <f t="shared" si="1"/>
        <v>0</v>
      </c>
      <c r="D251" s="60" t="s">
        <v>394</v>
      </c>
    </row>
    <row r="252" spans="1:4">
      <c r="A252" s="34" t="s">
        <v>939</v>
      </c>
      <c r="B252" s="35">
        <v>10</v>
      </c>
      <c r="C252" s="34" t="str">
        <f t="shared" si="1"/>
        <v>0</v>
      </c>
      <c r="D252" s="60" t="s">
        <v>940</v>
      </c>
    </row>
    <row r="253" spans="1:4">
      <c r="A253" s="34" t="s">
        <v>949</v>
      </c>
      <c r="B253" s="35">
        <v>14</v>
      </c>
      <c r="C253" s="34" t="str">
        <f t="shared" si="1"/>
        <v>0</v>
      </c>
      <c r="D253" s="60" t="s">
        <v>988</v>
      </c>
    </row>
    <row r="254" spans="1:4">
      <c r="A254" s="34" t="s">
        <v>345</v>
      </c>
      <c r="B254" s="35">
        <v>14</v>
      </c>
      <c r="C254" s="34" t="str">
        <f t="shared" si="1"/>
        <v>0</v>
      </c>
      <c r="D254" s="60" t="s">
        <v>989</v>
      </c>
    </row>
    <row r="255" spans="1:4">
      <c r="A255" s="34" t="s">
        <v>950</v>
      </c>
      <c r="B255" s="35">
        <v>14</v>
      </c>
      <c r="C255" s="34" t="str">
        <f t="shared" si="1"/>
        <v>0</v>
      </c>
      <c r="D255" s="60" t="s">
        <v>1054</v>
      </c>
    </row>
    <row r="256" spans="1:4">
      <c r="A256" s="34" t="s">
        <v>951</v>
      </c>
      <c r="B256" s="35">
        <v>14</v>
      </c>
      <c r="C256" s="34" t="str">
        <f t="shared" si="1"/>
        <v>0</v>
      </c>
      <c r="D256" s="60" t="s">
        <v>1055</v>
      </c>
    </row>
    <row r="257" spans="1:4">
      <c r="A257" s="34" t="s">
        <v>952</v>
      </c>
      <c r="B257" s="35">
        <v>14</v>
      </c>
      <c r="C257" s="34" t="str">
        <f t="shared" si="1"/>
        <v>0</v>
      </c>
      <c r="D257" s="60" t="s">
        <v>1066</v>
      </c>
    </row>
    <row r="258" spans="1:4">
      <c r="A258" s="34" t="s">
        <v>139</v>
      </c>
      <c r="B258" s="35">
        <v>14</v>
      </c>
      <c r="C258" s="34" t="str">
        <f t="shared" si="1"/>
        <v>0</v>
      </c>
      <c r="D258" s="60" t="s">
        <v>140</v>
      </c>
    </row>
    <row r="259" spans="1:4">
      <c r="A259" s="34" t="s">
        <v>141</v>
      </c>
      <c r="B259" s="35"/>
      <c r="C259" s="34" t="str">
        <f t="shared" si="1"/>
        <v>54</v>
      </c>
      <c r="D259" s="60"/>
    </row>
    <row r="260" spans="1:4">
      <c r="A260" s="34" t="s">
        <v>142</v>
      </c>
      <c r="B260" s="35">
        <v>30</v>
      </c>
      <c r="C260" s="34" t="str">
        <f t="shared" si="1"/>
        <v>0</v>
      </c>
      <c r="D260" s="60" t="s">
        <v>235</v>
      </c>
    </row>
    <row r="261" spans="1:4">
      <c r="A261" s="34" t="s">
        <v>242</v>
      </c>
      <c r="B261" s="35">
        <v>60</v>
      </c>
      <c r="C261" s="34" t="str">
        <f t="shared" si="1"/>
        <v>0</v>
      </c>
      <c r="D261" s="60" t="s">
        <v>372</v>
      </c>
    </row>
    <row r="262" spans="1:4">
      <c r="A262" s="34" t="s">
        <v>373</v>
      </c>
      <c r="B262" s="35">
        <v>48</v>
      </c>
      <c r="C262" s="34" t="str">
        <f t="shared" si="1"/>
        <v>0</v>
      </c>
      <c r="D262" s="60" t="s">
        <v>374</v>
      </c>
    </row>
    <row r="263" spans="1:4">
      <c r="A263" s="34" t="s">
        <v>376</v>
      </c>
      <c r="B263" s="35">
        <v>14</v>
      </c>
      <c r="C263" s="34" t="str">
        <f t="shared" si="1"/>
        <v>0</v>
      </c>
      <c r="D263" s="60" t="s">
        <v>375</v>
      </c>
    </row>
    <row r="264" spans="1:4">
      <c r="A264" s="34" t="s">
        <v>181</v>
      </c>
      <c r="B264" s="35">
        <v>58</v>
      </c>
      <c r="C264" s="34" t="str">
        <f t="shared" si="1"/>
        <v>0</v>
      </c>
      <c r="D264" s="60" t="s">
        <v>180</v>
      </c>
    </row>
    <row r="265" spans="1:4">
      <c r="A265" s="34" t="s">
        <v>182</v>
      </c>
      <c r="B265" s="35">
        <v>40</v>
      </c>
      <c r="C265" s="34" t="str">
        <f t="shared" si="1"/>
        <v>4</v>
      </c>
      <c r="D265" s="60" t="s">
        <v>179</v>
      </c>
    </row>
    <row r="266" spans="1:4">
      <c r="A266" s="34" t="s">
        <v>145</v>
      </c>
      <c r="B266" s="35">
        <v>14</v>
      </c>
      <c r="C266" s="34" t="str">
        <f t="shared" si="1"/>
        <v>0</v>
      </c>
      <c r="D266" s="60" t="s">
        <v>147</v>
      </c>
    </row>
    <row r="267" spans="1:4">
      <c r="A267" s="34" t="s">
        <v>148</v>
      </c>
      <c r="B267" s="35">
        <v>38</v>
      </c>
      <c r="C267" s="34" t="str">
        <f t="shared" si="1"/>
        <v>0</v>
      </c>
      <c r="D267" s="60" t="s">
        <v>146</v>
      </c>
    </row>
    <row r="268" spans="1:4">
      <c r="A268" s="34" t="s">
        <v>150</v>
      </c>
      <c r="B268" s="35" t="s">
        <v>138</v>
      </c>
      <c r="C268" s="34" t="str">
        <f t="shared" si="1"/>
        <v>0</v>
      </c>
      <c r="D268" s="60" t="s">
        <v>151</v>
      </c>
    </row>
    <row r="269" spans="1:4">
      <c r="A269" s="34" t="s">
        <v>153</v>
      </c>
      <c r="B269" s="35">
        <v>70</v>
      </c>
      <c r="C269" s="34" t="str">
        <f t="shared" si="1"/>
        <v>0</v>
      </c>
      <c r="D269" s="60" t="s">
        <v>154</v>
      </c>
    </row>
    <row r="270" spans="1:4">
      <c r="A270" s="34" t="s">
        <v>157</v>
      </c>
      <c r="B270" s="35" t="s">
        <v>115</v>
      </c>
      <c r="C270" s="34" t="str">
        <f t="shared" si="1"/>
        <v>0</v>
      </c>
      <c r="D270" s="60" t="s">
        <v>1001</v>
      </c>
    </row>
    <row r="271" spans="1:4">
      <c r="A271" s="34" t="s">
        <v>164</v>
      </c>
      <c r="B271" s="35">
        <v>14</v>
      </c>
      <c r="C271" s="34" t="str">
        <f t="shared" si="1"/>
        <v>0</v>
      </c>
      <c r="D271" s="60" t="s">
        <v>1102</v>
      </c>
    </row>
    <row r="272" spans="1:4">
      <c r="A272" s="34" t="s">
        <v>1104</v>
      </c>
      <c r="B272" s="35">
        <v>14</v>
      </c>
      <c r="C272" s="34" t="str">
        <f t="shared" si="1"/>
        <v>0</v>
      </c>
      <c r="D272" s="60" t="s">
        <v>1110</v>
      </c>
    </row>
    <row r="273" spans="1:4">
      <c r="A273" s="34" t="s">
        <v>1105</v>
      </c>
      <c r="B273" s="35">
        <v>14</v>
      </c>
      <c r="C273" s="34" t="str">
        <f t="shared" si="1"/>
        <v>0</v>
      </c>
      <c r="D273" s="60" t="s">
        <v>1114</v>
      </c>
    </row>
    <row r="274" spans="1:4">
      <c r="A274" s="34" t="s">
        <v>1106</v>
      </c>
      <c r="B274" s="35">
        <v>14</v>
      </c>
      <c r="C274" s="34" t="str">
        <f t="shared" si="1"/>
        <v>0</v>
      </c>
      <c r="D274" s="60" t="s">
        <v>1220</v>
      </c>
    </row>
    <row r="275" spans="1:4">
      <c r="A275" s="34" t="s">
        <v>173</v>
      </c>
      <c r="B275" s="35">
        <v>44</v>
      </c>
      <c r="C275" s="34" t="str">
        <f t="shared" si="1"/>
        <v>0</v>
      </c>
      <c r="D275" s="60" t="s">
        <v>172</v>
      </c>
    </row>
    <row r="276" spans="1:4">
      <c r="A276" s="34" t="s">
        <v>174</v>
      </c>
      <c r="B276" s="35">
        <v>68</v>
      </c>
      <c r="C276" s="34" t="str">
        <f t="shared" si="1"/>
        <v>0</v>
      </c>
      <c r="D276" s="60" t="s">
        <v>549</v>
      </c>
    </row>
    <row r="277" spans="1:4">
      <c r="A277" s="34" t="s">
        <v>554</v>
      </c>
      <c r="B277" s="35">
        <v>10</v>
      </c>
      <c r="C277" s="34" t="str">
        <f t="shared" si="1"/>
        <v>0</v>
      </c>
      <c r="D277" s="60" t="s">
        <v>644</v>
      </c>
    </row>
    <row r="278" spans="1:4">
      <c r="A278" s="34" t="s">
        <v>656</v>
      </c>
      <c r="B278" s="35">
        <v>20</v>
      </c>
      <c r="C278" s="34" t="str">
        <f t="shared" si="1"/>
        <v>0</v>
      </c>
      <c r="D278" s="60" t="s">
        <v>657</v>
      </c>
    </row>
    <row r="279" spans="1:4">
      <c r="A279" s="34" t="s">
        <v>795</v>
      </c>
      <c r="B279" s="35">
        <v>8</v>
      </c>
      <c r="C279" s="34" t="str">
        <f t="shared" si="1"/>
        <v>0</v>
      </c>
      <c r="D279" s="60" t="s">
        <v>971</v>
      </c>
    </row>
    <row r="280" spans="1:4">
      <c r="A280" s="34" t="s">
        <v>969</v>
      </c>
      <c r="B280" s="35">
        <v>8</v>
      </c>
      <c r="C280" s="34" t="str">
        <f t="shared" si="1"/>
        <v>0</v>
      </c>
      <c r="D280" s="60" t="s">
        <v>972</v>
      </c>
    </row>
    <row r="281" spans="1:4">
      <c r="A281" s="34" t="s">
        <v>968</v>
      </c>
      <c r="B281" s="35">
        <v>8</v>
      </c>
      <c r="C281" s="34" t="str">
        <f t="shared" si="1"/>
        <v>0</v>
      </c>
      <c r="D281" s="60" t="s">
        <v>1014</v>
      </c>
    </row>
    <row r="282" spans="1:4">
      <c r="A282" s="34" t="s">
        <v>1013</v>
      </c>
      <c r="B282" s="35">
        <v>8</v>
      </c>
      <c r="C282" s="34" t="str">
        <f t="shared" si="1"/>
        <v>0</v>
      </c>
      <c r="D282" s="60" t="s">
        <v>1015</v>
      </c>
    </row>
    <row r="283" spans="1:4">
      <c r="A283" s="34" t="s">
        <v>796</v>
      </c>
      <c r="B283" s="35">
        <v>28</v>
      </c>
      <c r="C283" s="34" t="str">
        <f t="shared" si="1"/>
        <v>0</v>
      </c>
      <c r="D283" s="60" t="s">
        <v>1217</v>
      </c>
    </row>
    <row r="284" spans="1:4">
      <c r="A284" s="34" t="s">
        <v>1107</v>
      </c>
      <c r="B284" s="35"/>
      <c r="C284" s="34" t="str">
        <f t="shared" si="1"/>
        <v>14</v>
      </c>
      <c r="D284" s="60"/>
    </row>
    <row r="285" spans="1:4">
      <c r="A285" s="34" t="s">
        <v>1108</v>
      </c>
      <c r="B285" s="35"/>
      <c r="C285" s="34" t="str">
        <f t="shared" si="1"/>
        <v>14</v>
      </c>
      <c r="D285" s="60"/>
    </row>
    <row r="286" spans="1:4">
      <c r="A286" s="34" t="s">
        <v>1109</v>
      </c>
      <c r="B286" s="35"/>
      <c r="C286" s="34" t="str">
        <f t="shared" si="1"/>
        <v>14</v>
      </c>
      <c r="D286" s="60"/>
    </row>
    <row r="287" spans="1:4">
      <c r="A287" s="34" t="s">
        <v>165</v>
      </c>
      <c r="B287" s="35" t="s">
        <v>167</v>
      </c>
      <c r="C287" s="34" t="str">
        <f t="shared" si="1"/>
        <v>0</v>
      </c>
      <c r="D287" s="60" t="s">
        <v>169</v>
      </c>
    </row>
    <row r="288" spans="1:4">
      <c r="A288" s="34" t="s">
        <v>166</v>
      </c>
      <c r="B288" s="35" t="s">
        <v>50</v>
      </c>
      <c r="C288" s="34" t="str">
        <f t="shared" si="1"/>
        <v>0</v>
      </c>
      <c r="D288" s="60" t="s">
        <v>170</v>
      </c>
    </row>
    <row r="289" spans="1:4">
      <c r="A289" s="34" t="s">
        <v>168</v>
      </c>
      <c r="B289" s="35">
        <v>14</v>
      </c>
      <c r="C289" s="34" t="str">
        <f t="shared" ref="C289:C291" si="2">DEC2HEX(HEX2DEC(A290)-(HEX2DEC(A289)+HEX2DEC(B289)))</f>
        <v>0</v>
      </c>
      <c r="D289" s="60" t="s">
        <v>171</v>
      </c>
    </row>
    <row r="290" spans="1:4">
      <c r="A290" s="34" t="s">
        <v>189</v>
      </c>
      <c r="B290" s="35">
        <v>14</v>
      </c>
      <c r="C290" s="34" t="str">
        <f t="shared" si="2"/>
        <v>0</v>
      </c>
      <c r="D290" s="60" t="s">
        <v>185</v>
      </c>
    </row>
    <row r="291" spans="1:4">
      <c r="A291" s="34" t="s">
        <v>190</v>
      </c>
      <c r="B291" s="35">
        <v>50</v>
      </c>
      <c r="C291" s="34" t="str">
        <f t="shared" si="2"/>
        <v>0</v>
      </c>
      <c r="D291" s="60" t="s">
        <v>186</v>
      </c>
    </row>
    <row r="292" spans="1:4">
      <c r="A292" s="34" t="s">
        <v>217</v>
      </c>
      <c r="B292" s="35">
        <v>38</v>
      </c>
      <c r="C292" s="34" t="str">
        <f t="shared" ref="C292:C293" si="3">DEC2HEX(HEX2DEC(A293)-(HEX2DEC(A292)+HEX2DEC(B292)))</f>
        <v>0</v>
      </c>
      <c r="D292" s="60" t="s">
        <v>187</v>
      </c>
    </row>
    <row r="293" spans="1:4">
      <c r="A293" s="34" t="s">
        <v>218</v>
      </c>
      <c r="B293" s="35">
        <v>48</v>
      </c>
      <c r="C293" s="34" t="str">
        <f t="shared" si="3"/>
        <v>0</v>
      </c>
      <c r="D293" s="60" t="s">
        <v>188</v>
      </c>
    </row>
    <row r="294" spans="1:4">
      <c r="A294" s="34" t="s">
        <v>237</v>
      </c>
      <c r="B294" s="35">
        <v>14</v>
      </c>
      <c r="C294" s="34" t="str">
        <f t="shared" ref="C294:C352" si="4">DEC2HEX(HEX2DEC(A295)-(HEX2DEC(A294)+HEX2DEC(B294)))</f>
        <v>0</v>
      </c>
      <c r="D294" s="60" t="s">
        <v>1067</v>
      </c>
    </row>
    <row r="295" spans="1:4">
      <c r="A295" s="34" t="s">
        <v>194</v>
      </c>
      <c r="B295" s="35" t="s">
        <v>200</v>
      </c>
      <c r="C295" s="34" t="str">
        <f t="shared" si="4"/>
        <v>0</v>
      </c>
      <c r="D295" s="60" t="s">
        <v>204</v>
      </c>
    </row>
    <row r="296" spans="1:4">
      <c r="A296" s="34" t="s">
        <v>195</v>
      </c>
      <c r="B296" s="35" t="s">
        <v>53</v>
      </c>
      <c r="C296" s="34" t="str">
        <f t="shared" si="4"/>
        <v>0</v>
      </c>
      <c r="D296" s="60" t="s">
        <v>209</v>
      </c>
    </row>
    <row r="297" spans="1:4">
      <c r="A297" s="34" t="s">
        <v>196</v>
      </c>
      <c r="B297" s="35" t="s">
        <v>51</v>
      </c>
      <c r="C297" s="34" t="str">
        <f t="shared" si="4"/>
        <v>0</v>
      </c>
      <c r="D297" s="60" t="s">
        <v>208</v>
      </c>
    </row>
    <row r="298" spans="1:4">
      <c r="A298" s="34" t="s">
        <v>197</v>
      </c>
      <c r="B298" s="35" t="s">
        <v>201</v>
      </c>
      <c r="C298" s="34" t="str">
        <f t="shared" si="4"/>
        <v>0</v>
      </c>
      <c r="D298" s="60" t="s">
        <v>207</v>
      </c>
    </row>
    <row r="299" spans="1:4">
      <c r="A299" s="34" t="s">
        <v>198</v>
      </c>
      <c r="B299" s="35" t="s">
        <v>202</v>
      </c>
      <c r="C299" s="34" t="str">
        <f t="shared" si="4"/>
        <v>0</v>
      </c>
      <c r="D299" s="60" t="s">
        <v>206</v>
      </c>
    </row>
    <row r="300" spans="1:4">
      <c r="A300" s="34" t="s">
        <v>199</v>
      </c>
      <c r="B300" s="35" t="s">
        <v>203</v>
      </c>
      <c r="C300" s="34" t="str">
        <f t="shared" si="4"/>
        <v>0</v>
      </c>
      <c r="D300" s="60" t="s">
        <v>205</v>
      </c>
    </row>
    <row r="301" spans="1:4">
      <c r="A301" s="34" t="s">
        <v>214</v>
      </c>
      <c r="B301" s="35" t="s">
        <v>167</v>
      </c>
      <c r="C301" s="34" t="str">
        <f t="shared" si="4"/>
        <v>0</v>
      </c>
      <c r="D301" s="60" t="s">
        <v>211</v>
      </c>
    </row>
    <row r="302" spans="1:4">
      <c r="A302" s="34" t="s">
        <v>215</v>
      </c>
      <c r="B302" s="35" t="s">
        <v>50</v>
      </c>
      <c r="C302" s="34" t="str">
        <f t="shared" si="4"/>
        <v>0</v>
      </c>
      <c r="D302" s="60" t="s">
        <v>212</v>
      </c>
    </row>
    <row r="303" spans="1:4">
      <c r="A303" s="34" t="s">
        <v>216</v>
      </c>
      <c r="B303" s="35">
        <v>14</v>
      </c>
      <c r="C303" s="34" t="str">
        <f t="shared" si="4"/>
        <v>0</v>
      </c>
      <c r="D303" s="60" t="s">
        <v>213</v>
      </c>
    </row>
    <row r="304" spans="1:4">
      <c r="A304" s="34" t="s">
        <v>219</v>
      </c>
      <c r="B304" s="35">
        <v>14</v>
      </c>
      <c r="C304" s="34" t="str">
        <f t="shared" si="4"/>
        <v>0</v>
      </c>
      <c r="D304" s="60" t="s">
        <v>220</v>
      </c>
    </row>
    <row r="305" spans="1:4">
      <c r="A305" s="34" t="s">
        <v>224</v>
      </c>
      <c r="B305" s="35" t="s">
        <v>226</v>
      </c>
      <c r="C305" s="34" t="str">
        <f t="shared" si="4"/>
        <v>0</v>
      </c>
      <c r="D305" s="60" t="s">
        <v>221</v>
      </c>
    </row>
    <row r="306" spans="1:4">
      <c r="A306" s="34" t="s">
        <v>225</v>
      </c>
      <c r="B306" s="35" t="s">
        <v>230</v>
      </c>
      <c r="C306" s="34" t="str">
        <f t="shared" si="4"/>
        <v>0</v>
      </c>
      <c r="D306" s="60" t="s">
        <v>222</v>
      </c>
    </row>
    <row r="307" spans="1:4">
      <c r="A307" s="34" t="s">
        <v>229</v>
      </c>
      <c r="B307" s="35" t="s">
        <v>228</v>
      </c>
      <c r="C307" s="34" t="str">
        <f t="shared" si="4"/>
        <v>0</v>
      </c>
      <c r="D307" s="60" t="s">
        <v>223</v>
      </c>
    </row>
    <row r="308" spans="1:4">
      <c r="A308" s="34" t="s">
        <v>232</v>
      </c>
      <c r="B308" s="35"/>
      <c r="C308" s="34" t="str">
        <f t="shared" si="4"/>
        <v>34</v>
      </c>
      <c r="D308" s="60"/>
    </row>
    <row r="309" spans="1:4">
      <c r="A309" s="34" t="s">
        <v>234</v>
      </c>
      <c r="B309" s="35" t="s">
        <v>356</v>
      </c>
      <c r="C309" s="34" t="str">
        <f t="shared" si="4"/>
        <v>0</v>
      </c>
      <c r="D309" s="60" t="s">
        <v>1023</v>
      </c>
    </row>
    <row r="310" spans="1:4">
      <c r="A310" s="34" t="s">
        <v>1029</v>
      </c>
      <c r="B310" s="35" t="s">
        <v>120</v>
      </c>
      <c r="C310" s="34" t="str">
        <f t="shared" si="4"/>
        <v>0</v>
      </c>
      <c r="D310" s="60" t="s">
        <v>1204</v>
      </c>
    </row>
    <row r="311" spans="1:4">
      <c r="A311" s="34" t="s">
        <v>1157</v>
      </c>
      <c r="B311" s="35"/>
      <c r="C311" s="34" t="str">
        <f t="shared" si="4"/>
        <v>2C</v>
      </c>
      <c r="D311" s="60"/>
    </row>
    <row r="312" spans="1:4">
      <c r="A312" s="34" t="s">
        <v>887</v>
      </c>
      <c r="B312" s="35">
        <v>10</v>
      </c>
      <c r="C312" s="34" t="str">
        <f t="shared" si="4"/>
        <v>0</v>
      </c>
      <c r="D312" s="60" t="s">
        <v>886</v>
      </c>
    </row>
    <row r="313" spans="1:4">
      <c r="A313" s="34" t="s">
        <v>430</v>
      </c>
      <c r="B313" s="35">
        <v>14</v>
      </c>
      <c r="C313" s="34" t="str">
        <f t="shared" si="4"/>
        <v>0</v>
      </c>
      <c r="D313" s="60" t="s">
        <v>449</v>
      </c>
    </row>
    <row r="314" spans="1:4">
      <c r="A314" s="34" t="s">
        <v>276</v>
      </c>
      <c r="B314" s="35">
        <v>14</v>
      </c>
      <c r="C314" s="34" t="str">
        <f t="shared" si="4"/>
        <v>0</v>
      </c>
      <c r="D314" s="60" t="s">
        <v>277</v>
      </c>
    </row>
    <row r="315" spans="1:4">
      <c r="A315" s="34" t="s">
        <v>268</v>
      </c>
      <c r="B315" s="35">
        <v>14</v>
      </c>
      <c r="C315" s="34" t="str">
        <f t="shared" si="4"/>
        <v>0</v>
      </c>
      <c r="D315" s="60" t="s">
        <v>271</v>
      </c>
    </row>
    <row r="316" spans="1:4">
      <c r="A316" s="34" t="s">
        <v>269</v>
      </c>
      <c r="B316" s="35">
        <v>14</v>
      </c>
      <c r="C316" s="34" t="str">
        <f t="shared" si="4"/>
        <v>0</v>
      </c>
      <c r="D316" s="60" t="s">
        <v>272</v>
      </c>
    </row>
    <row r="317" spans="1:4">
      <c r="A317" s="34" t="s">
        <v>270</v>
      </c>
      <c r="B317" s="35">
        <v>14</v>
      </c>
      <c r="C317" s="34" t="str">
        <f t="shared" si="4"/>
        <v>0</v>
      </c>
      <c r="D317" s="60" t="s">
        <v>273</v>
      </c>
    </row>
    <row r="318" spans="1:4">
      <c r="A318" s="34" t="s">
        <v>267</v>
      </c>
      <c r="B318" s="35">
        <v>14</v>
      </c>
      <c r="C318" s="34" t="str">
        <f t="shared" si="4"/>
        <v>0</v>
      </c>
      <c r="D318" s="60" t="s">
        <v>1046</v>
      </c>
    </row>
    <row r="319" spans="1:4">
      <c r="A319" s="34" t="s">
        <v>239</v>
      </c>
      <c r="B319" s="35">
        <v>98</v>
      </c>
      <c r="C319" s="34" t="str">
        <f t="shared" si="4"/>
        <v>0</v>
      </c>
      <c r="D319" s="60" t="s">
        <v>246</v>
      </c>
    </row>
    <row r="320" spans="1:4">
      <c r="A320" s="34" t="s">
        <v>249</v>
      </c>
      <c r="B320" s="35" t="s">
        <v>254</v>
      </c>
      <c r="C320" s="34" t="str">
        <f t="shared" si="4"/>
        <v>0</v>
      </c>
      <c r="D320" s="60" t="s">
        <v>247</v>
      </c>
    </row>
    <row r="321" spans="1:4">
      <c r="A321" s="34" t="s">
        <v>253</v>
      </c>
      <c r="B321" s="35" t="s">
        <v>250</v>
      </c>
      <c r="C321" s="34" t="str">
        <f t="shared" si="4"/>
        <v>0</v>
      </c>
      <c r="D321" s="60" t="s">
        <v>248</v>
      </c>
    </row>
    <row r="322" spans="1:4">
      <c r="A322" s="34" t="s">
        <v>255</v>
      </c>
      <c r="B322" s="35" t="s">
        <v>115</v>
      </c>
      <c r="C322" s="34" t="str">
        <f t="shared" si="4"/>
        <v>0</v>
      </c>
      <c r="D322" s="60" t="s">
        <v>251</v>
      </c>
    </row>
    <row r="323" spans="1:4">
      <c r="A323" s="34" t="s">
        <v>256</v>
      </c>
      <c r="B323" s="35" t="s">
        <v>281</v>
      </c>
      <c r="C323" s="34" t="str">
        <f t="shared" si="4"/>
        <v>0</v>
      </c>
      <c r="D323" s="60" t="s">
        <v>252</v>
      </c>
    </row>
    <row r="324" spans="1:4">
      <c r="A324" s="34" t="s">
        <v>280</v>
      </c>
      <c r="B324" s="35" t="s">
        <v>200</v>
      </c>
      <c r="C324" s="34" t="str">
        <f t="shared" si="4"/>
        <v>0</v>
      </c>
      <c r="D324" s="60" t="s">
        <v>279</v>
      </c>
    </row>
    <row r="325" spans="1:4">
      <c r="A325" s="34" t="s">
        <v>282</v>
      </c>
      <c r="B325" s="35" t="s">
        <v>120</v>
      </c>
      <c r="C325" s="34" t="str">
        <f t="shared" si="4"/>
        <v>0</v>
      </c>
      <c r="D325" s="60" t="s">
        <v>300</v>
      </c>
    </row>
    <row r="326" spans="1:4">
      <c r="A326" s="34" t="s">
        <v>283</v>
      </c>
      <c r="B326" s="35" t="s">
        <v>265</v>
      </c>
      <c r="C326" s="34" t="str">
        <f t="shared" si="4"/>
        <v>0</v>
      </c>
      <c r="D326" s="60" t="s">
        <v>301</v>
      </c>
    </row>
    <row r="327" spans="1:4">
      <c r="A327" s="34" t="s">
        <v>320</v>
      </c>
      <c r="B327" s="35" t="s">
        <v>284</v>
      </c>
      <c r="C327" s="34" t="str">
        <f t="shared" si="4"/>
        <v>0</v>
      </c>
      <c r="D327" s="60" t="s">
        <v>302</v>
      </c>
    </row>
    <row r="328" spans="1:4">
      <c r="A328" s="34" t="s">
        <v>321</v>
      </c>
      <c r="B328" s="35" t="s">
        <v>226</v>
      </c>
      <c r="C328" s="34" t="str">
        <f t="shared" si="4"/>
        <v>0</v>
      </c>
      <c r="D328" s="60" t="s">
        <v>303</v>
      </c>
    </row>
    <row r="329" spans="1:4">
      <c r="A329" s="34" t="s">
        <v>322</v>
      </c>
      <c r="B329" s="35" t="s">
        <v>285</v>
      </c>
      <c r="C329" s="34" t="str">
        <f t="shared" si="4"/>
        <v>0</v>
      </c>
      <c r="D329" s="60" t="s">
        <v>304</v>
      </c>
    </row>
    <row r="330" spans="1:4">
      <c r="A330" s="34" t="s">
        <v>323</v>
      </c>
      <c r="B330" s="35" t="s">
        <v>281</v>
      </c>
      <c r="C330" s="34" t="str">
        <f t="shared" si="4"/>
        <v>0</v>
      </c>
      <c r="D330" s="60" t="s">
        <v>305</v>
      </c>
    </row>
    <row r="331" spans="1:4">
      <c r="A331" s="34" t="s">
        <v>324</v>
      </c>
      <c r="B331" s="35">
        <v>64</v>
      </c>
      <c r="C331" s="34" t="str">
        <f t="shared" si="4"/>
        <v>0</v>
      </c>
      <c r="D331" s="60" t="s">
        <v>306</v>
      </c>
    </row>
    <row r="332" spans="1:4">
      <c r="A332" s="34" t="s">
        <v>325</v>
      </c>
      <c r="B332" s="35" t="s">
        <v>138</v>
      </c>
      <c r="C332" s="34" t="str">
        <f t="shared" si="4"/>
        <v>0</v>
      </c>
      <c r="D332" s="60" t="s">
        <v>307</v>
      </c>
    </row>
    <row r="333" spans="1:4">
      <c r="A333" s="34" t="s">
        <v>326</v>
      </c>
      <c r="B333" s="35" t="s">
        <v>50</v>
      </c>
      <c r="C333" s="34" t="str">
        <f t="shared" si="4"/>
        <v>0</v>
      </c>
      <c r="D333" s="60" t="s">
        <v>308</v>
      </c>
    </row>
    <row r="334" spans="1:4">
      <c r="A334" s="34" t="s">
        <v>327</v>
      </c>
      <c r="B334" s="35" t="s">
        <v>102</v>
      </c>
      <c r="C334" s="34" t="str">
        <f t="shared" si="4"/>
        <v>0</v>
      </c>
      <c r="D334" s="60" t="s">
        <v>309</v>
      </c>
    </row>
    <row r="335" spans="1:4">
      <c r="A335" s="34" t="s">
        <v>548</v>
      </c>
      <c r="B335" s="35">
        <v>18</v>
      </c>
      <c r="C335" s="34" t="str">
        <f t="shared" si="4"/>
        <v>0</v>
      </c>
      <c r="D335" s="60" t="s">
        <v>562</v>
      </c>
    </row>
    <row r="336" spans="1:4">
      <c r="A336" s="34" t="s">
        <v>328</v>
      </c>
      <c r="B336" s="35">
        <v>10</v>
      </c>
      <c r="C336" s="34" t="str">
        <f t="shared" si="4"/>
        <v>0</v>
      </c>
      <c r="D336" s="60" t="s">
        <v>278</v>
      </c>
    </row>
    <row r="337" spans="1:4">
      <c r="A337" s="34" t="s">
        <v>291</v>
      </c>
      <c r="B337" s="35" t="s">
        <v>293</v>
      </c>
      <c r="C337" s="34" t="str">
        <f t="shared" si="4"/>
        <v>0</v>
      </c>
      <c r="D337" s="60" t="s">
        <v>294</v>
      </c>
    </row>
    <row r="338" spans="1:4">
      <c r="A338" s="34" t="s">
        <v>292</v>
      </c>
      <c r="B338" s="35" t="s">
        <v>50</v>
      </c>
      <c r="C338" s="34" t="str">
        <f t="shared" si="4"/>
        <v>0</v>
      </c>
      <c r="D338" s="60" t="s">
        <v>295</v>
      </c>
    </row>
    <row r="339" spans="1:4">
      <c r="A339" s="34" t="s">
        <v>296</v>
      </c>
      <c r="B339" s="35" t="s">
        <v>298</v>
      </c>
      <c r="C339" s="34" t="str">
        <f t="shared" si="4"/>
        <v>0</v>
      </c>
      <c r="D339" s="60" t="s">
        <v>297</v>
      </c>
    </row>
    <row r="340" spans="1:4">
      <c r="A340" s="34" t="s">
        <v>299</v>
      </c>
      <c r="B340" s="35" t="s">
        <v>233</v>
      </c>
      <c r="C340" s="34" t="str">
        <f t="shared" si="4"/>
        <v>0</v>
      </c>
      <c r="D340" s="60" t="s">
        <v>475</v>
      </c>
    </row>
    <row r="341" spans="1:4">
      <c r="A341" s="34" t="s">
        <v>314</v>
      </c>
      <c r="B341" s="35" t="s">
        <v>318</v>
      </c>
      <c r="C341" s="34" t="str">
        <f t="shared" si="4"/>
        <v>0</v>
      </c>
      <c r="D341" s="60" t="s">
        <v>310</v>
      </c>
    </row>
    <row r="342" spans="1:4">
      <c r="A342" s="34" t="s">
        <v>315</v>
      </c>
      <c r="B342" s="35" t="s">
        <v>138</v>
      </c>
      <c r="C342" s="34" t="str">
        <f t="shared" si="4"/>
        <v>0</v>
      </c>
      <c r="D342" s="60" t="s">
        <v>311</v>
      </c>
    </row>
    <row r="343" spans="1:4">
      <c r="A343" s="34" t="s">
        <v>316</v>
      </c>
      <c r="B343" s="35" t="s">
        <v>319</v>
      </c>
      <c r="C343" s="34" t="str">
        <f t="shared" si="4"/>
        <v>0</v>
      </c>
      <c r="D343" s="60" t="s">
        <v>312</v>
      </c>
    </row>
    <row r="344" spans="1:4">
      <c r="A344" s="34" t="s">
        <v>317</v>
      </c>
      <c r="B344" s="35" t="s">
        <v>102</v>
      </c>
      <c r="C344" s="34" t="str">
        <f t="shared" si="4"/>
        <v>0</v>
      </c>
      <c r="D344" s="60" t="s">
        <v>313</v>
      </c>
    </row>
    <row r="345" spans="1:4">
      <c r="A345" s="34" t="s">
        <v>346</v>
      </c>
      <c r="B345" s="35">
        <v>40</v>
      </c>
      <c r="C345" s="34" t="str">
        <f t="shared" si="4"/>
        <v>0</v>
      </c>
      <c r="D345" s="60" t="s">
        <v>347</v>
      </c>
    </row>
    <row r="346" spans="1:4">
      <c r="A346" s="34" t="s">
        <v>349</v>
      </c>
      <c r="B346" s="35">
        <v>58</v>
      </c>
      <c r="C346" s="34" t="str">
        <f t="shared" si="4"/>
        <v>0</v>
      </c>
      <c r="D346" s="60" t="s">
        <v>348</v>
      </c>
    </row>
    <row r="347" spans="1:4">
      <c r="A347" s="34" t="s">
        <v>355</v>
      </c>
      <c r="B347" s="35" t="s">
        <v>541</v>
      </c>
      <c r="C347" s="34" t="str">
        <f t="shared" si="4"/>
        <v>0</v>
      </c>
      <c r="D347" s="60" t="s">
        <v>354</v>
      </c>
    </row>
    <row r="348" spans="1:4">
      <c r="A348" s="34" t="s">
        <v>357</v>
      </c>
      <c r="B348" s="35">
        <v>40</v>
      </c>
      <c r="C348" s="34" t="str">
        <f t="shared" si="4"/>
        <v>0</v>
      </c>
      <c r="D348" s="60" t="s">
        <v>401</v>
      </c>
    </row>
    <row r="349" spans="1:4">
      <c r="A349" s="34" t="s">
        <v>400</v>
      </c>
      <c r="B349" s="35">
        <v>30</v>
      </c>
      <c r="C349" s="34" t="str">
        <f t="shared" si="4"/>
        <v>0</v>
      </c>
      <c r="D349" s="60" t="s">
        <v>821</v>
      </c>
    </row>
    <row r="350" spans="1:4">
      <c r="A350" s="34" t="s">
        <v>396</v>
      </c>
      <c r="B350" s="35" t="s">
        <v>356</v>
      </c>
      <c r="C350" s="34" t="str">
        <f t="shared" si="4"/>
        <v>0</v>
      </c>
      <c r="D350" s="60" t="s">
        <v>360</v>
      </c>
    </row>
    <row r="351" spans="1:4">
      <c r="A351" s="34" t="s">
        <v>362</v>
      </c>
      <c r="B351" s="35">
        <v>70</v>
      </c>
      <c r="C351" s="34" t="str">
        <f t="shared" si="4"/>
        <v>0</v>
      </c>
      <c r="D351" s="60" t="s">
        <v>377</v>
      </c>
    </row>
    <row r="352" spans="1:4">
      <c r="A352" s="34" t="s">
        <v>387</v>
      </c>
      <c r="B352" s="35" t="s">
        <v>236</v>
      </c>
      <c r="C352" s="34" t="str">
        <f t="shared" si="4"/>
        <v>0</v>
      </c>
      <c r="D352" s="60" t="s">
        <v>383</v>
      </c>
    </row>
    <row r="353" spans="1:4">
      <c r="A353" s="34" t="s">
        <v>388</v>
      </c>
      <c r="B353" s="35" t="s">
        <v>120</v>
      </c>
      <c r="C353" s="34" t="str">
        <f t="shared" ref="C353:C426" si="5">DEC2HEX(HEX2DEC(A354)-(HEX2DEC(A353)+HEX2DEC(B353)))</f>
        <v>0</v>
      </c>
      <c r="D353" s="60" t="s">
        <v>384</v>
      </c>
    </row>
    <row r="354" spans="1:4">
      <c r="A354" s="34" t="s">
        <v>389</v>
      </c>
      <c r="B354" s="35" t="s">
        <v>391</v>
      </c>
      <c r="C354" s="34" t="str">
        <f t="shared" si="5"/>
        <v>0</v>
      </c>
      <c r="D354" s="60" t="s">
        <v>385</v>
      </c>
    </row>
    <row r="355" spans="1:4">
      <c r="A355" s="34" t="s">
        <v>390</v>
      </c>
      <c r="B355" s="35" t="s">
        <v>393</v>
      </c>
      <c r="C355" s="34" t="str">
        <f t="shared" si="5"/>
        <v>0</v>
      </c>
      <c r="D355" s="60" t="s">
        <v>386</v>
      </c>
    </row>
    <row r="356" spans="1:4">
      <c r="A356" s="34" t="s">
        <v>392</v>
      </c>
      <c r="B356" s="35" t="s">
        <v>50</v>
      </c>
      <c r="C356" s="34" t="str">
        <f t="shared" si="5"/>
        <v>0</v>
      </c>
      <c r="D356" s="60" t="s">
        <v>395</v>
      </c>
    </row>
    <row r="357" spans="1:4">
      <c r="A357" s="34" t="s">
        <v>404</v>
      </c>
      <c r="B357" s="35">
        <v>14</v>
      </c>
      <c r="C357" s="34" t="str">
        <f t="shared" si="5"/>
        <v>0</v>
      </c>
      <c r="D357" s="60" t="s">
        <v>1095</v>
      </c>
    </row>
    <row r="358" spans="1:4">
      <c r="A358" s="34" t="s">
        <v>1093</v>
      </c>
      <c r="B358" s="35">
        <v>14</v>
      </c>
      <c r="C358" s="34" t="str">
        <f t="shared" si="5"/>
        <v>0</v>
      </c>
      <c r="D358" s="60" t="s">
        <v>1098</v>
      </c>
    </row>
    <row r="359" spans="1:4">
      <c r="A359" s="34" t="s">
        <v>1094</v>
      </c>
      <c r="B359" s="35">
        <v>14</v>
      </c>
      <c r="C359" s="34" t="str">
        <f t="shared" si="5"/>
        <v>0</v>
      </c>
      <c r="D359" s="60" t="s">
        <v>1100</v>
      </c>
    </row>
    <row r="360" spans="1:4">
      <c r="A360" s="34" t="s">
        <v>406</v>
      </c>
      <c r="B360" s="35">
        <v>34</v>
      </c>
      <c r="C360" s="34" t="str">
        <f t="shared" si="5"/>
        <v>0</v>
      </c>
      <c r="D360" s="60" t="s">
        <v>405</v>
      </c>
    </row>
    <row r="361" spans="1:4">
      <c r="A361" s="34" t="s">
        <v>410</v>
      </c>
      <c r="B361" s="35">
        <v>80</v>
      </c>
      <c r="C361" s="34" t="str">
        <f t="shared" si="5"/>
        <v>0</v>
      </c>
      <c r="D361" s="60" t="s">
        <v>411</v>
      </c>
    </row>
    <row r="362" spans="1:4">
      <c r="A362" s="34" t="s">
        <v>412</v>
      </c>
      <c r="B362" s="35">
        <v>60</v>
      </c>
      <c r="C362" s="34" t="str">
        <f t="shared" si="5"/>
        <v>0</v>
      </c>
      <c r="D362" s="60" t="s">
        <v>413</v>
      </c>
    </row>
    <row r="363" spans="1:4">
      <c r="A363" s="34" t="s">
        <v>415</v>
      </c>
      <c r="B363" s="35">
        <v>20</v>
      </c>
      <c r="C363" s="34" t="str">
        <f t="shared" si="5"/>
        <v>0</v>
      </c>
      <c r="D363" s="60" t="s">
        <v>414</v>
      </c>
    </row>
    <row r="364" spans="1:4">
      <c r="A364" s="34" t="s">
        <v>416</v>
      </c>
      <c r="B364" s="35" t="s">
        <v>102</v>
      </c>
      <c r="C364" s="34" t="str">
        <f t="shared" si="5"/>
        <v>0</v>
      </c>
      <c r="D364" s="60" t="s">
        <v>417</v>
      </c>
    </row>
    <row r="365" spans="1:4">
      <c r="A365" s="37" t="s">
        <v>418</v>
      </c>
      <c r="B365" s="35" t="s">
        <v>230</v>
      </c>
      <c r="C365" s="34" t="str">
        <f t="shared" si="5"/>
        <v>0</v>
      </c>
      <c r="D365" s="60" t="s">
        <v>420</v>
      </c>
    </row>
    <row r="366" spans="1:4">
      <c r="A366" s="37" t="s">
        <v>422</v>
      </c>
      <c r="B366" s="35" t="s">
        <v>230</v>
      </c>
      <c r="C366" s="34" t="str">
        <f t="shared" si="5"/>
        <v>0</v>
      </c>
      <c r="D366" s="60" t="s">
        <v>421</v>
      </c>
    </row>
    <row r="367" spans="1:4">
      <c r="A367" s="37" t="s">
        <v>423</v>
      </c>
      <c r="B367" s="35">
        <v>38</v>
      </c>
      <c r="C367" s="34" t="str">
        <f t="shared" si="5"/>
        <v>0</v>
      </c>
      <c r="D367" s="60" t="s">
        <v>424</v>
      </c>
    </row>
    <row r="368" spans="1:4">
      <c r="A368" s="37" t="s">
        <v>425</v>
      </c>
      <c r="B368" s="35" t="s">
        <v>120</v>
      </c>
      <c r="C368" s="34" t="str">
        <f t="shared" si="5"/>
        <v>0</v>
      </c>
      <c r="D368" s="60" t="s">
        <v>746</v>
      </c>
    </row>
    <row r="369" spans="1:4">
      <c r="A369" s="37" t="s">
        <v>426</v>
      </c>
      <c r="B369" s="35" t="s">
        <v>228</v>
      </c>
      <c r="C369" s="34" t="str">
        <f t="shared" si="5"/>
        <v>0</v>
      </c>
      <c r="D369" s="60" t="s">
        <v>427</v>
      </c>
    </row>
    <row r="370" spans="1:4">
      <c r="A370" s="37" t="s">
        <v>429</v>
      </c>
      <c r="B370" s="35">
        <v>48</v>
      </c>
      <c r="C370" s="34" t="str">
        <f t="shared" si="5"/>
        <v>0</v>
      </c>
      <c r="D370" s="60" t="s">
        <v>428</v>
      </c>
    </row>
    <row r="371" spans="1:4">
      <c r="A371" s="37" t="s">
        <v>431</v>
      </c>
      <c r="B371" s="35">
        <v>70</v>
      </c>
      <c r="C371" s="34" t="str">
        <f t="shared" si="5"/>
        <v>0</v>
      </c>
      <c r="D371" s="60" t="s">
        <v>434</v>
      </c>
    </row>
    <row r="372" spans="1:4">
      <c r="A372" s="37" t="s">
        <v>432</v>
      </c>
      <c r="B372" s="35">
        <v>38</v>
      </c>
      <c r="C372" s="34" t="str">
        <f t="shared" si="5"/>
        <v>0</v>
      </c>
      <c r="D372" s="60" t="s">
        <v>435</v>
      </c>
    </row>
    <row r="373" spans="1:4">
      <c r="A373" s="34" t="s">
        <v>433</v>
      </c>
      <c r="B373" s="35">
        <v>40</v>
      </c>
      <c r="C373" s="34" t="str">
        <f t="shared" si="5"/>
        <v>0</v>
      </c>
      <c r="D373" s="60" t="s">
        <v>436</v>
      </c>
    </row>
    <row r="374" spans="1:4">
      <c r="A374" s="37" t="s">
        <v>437</v>
      </c>
      <c r="B374" s="35" t="s">
        <v>230</v>
      </c>
      <c r="C374" s="34" t="str">
        <f t="shared" si="5"/>
        <v>0</v>
      </c>
      <c r="D374" s="60" t="s">
        <v>438</v>
      </c>
    </row>
    <row r="375" spans="1:4">
      <c r="A375" s="34" t="s">
        <v>440</v>
      </c>
      <c r="B375" s="35" t="s">
        <v>460</v>
      </c>
      <c r="C375" s="34" t="str">
        <f t="shared" si="5"/>
        <v>0</v>
      </c>
      <c r="D375" s="60" t="s">
        <v>439</v>
      </c>
    </row>
    <row r="376" spans="1:4">
      <c r="A376" s="37" t="s">
        <v>465</v>
      </c>
      <c r="B376" s="35" t="s">
        <v>120</v>
      </c>
      <c r="C376" s="34" t="str">
        <f t="shared" si="5"/>
        <v>0</v>
      </c>
      <c r="D376" s="60" t="s">
        <v>466</v>
      </c>
    </row>
    <row r="377" spans="1:4">
      <c r="A377" s="34" t="s">
        <v>467</v>
      </c>
      <c r="B377" s="35" t="s">
        <v>391</v>
      </c>
      <c r="C377" s="34" t="str">
        <f t="shared" si="5"/>
        <v>0</v>
      </c>
      <c r="D377" s="60" t="s">
        <v>469</v>
      </c>
    </row>
    <row r="378" spans="1:4">
      <c r="A378" s="34" t="s">
        <v>470</v>
      </c>
      <c r="B378" s="35" t="s">
        <v>471</v>
      </c>
      <c r="C378" s="34" t="str">
        <f t="shared" si="5"/>
        <v>0</v>
      </c>
      <c r="D378" s="60" t="s">
        <v>472</v>
      </c>
    </row>
    <row r="379" spans="1:4">
      <c r="A379" s="37" t="s">
        <v>476</v>
      </c>
      <c r="B379" s="35" t="s">
        <v>233</v>
      </c>
      <c r="C379" s="34" t="str">
        <f t="shared" si="5"/>
        <v>0</v>
      </c>
      <c r="D379" s="60" t="s">
        <v>477</v>
      </c>
    </row>
    <row r="380" spans="1:4">
      <c r="A380" s="34" t="s">
        <v>479</v>
      </c>
      <c r="B380" s="35" t="s">
        <v>230</v>
      </c>
      <c r="C380" s="34" t="str">
        <f t="shared" si="5"/>
        <v>0</v>
      </c>
      <c r="D380" s="60" t="s">
        <v>481</v>
      </c>
    </row>
    <row r="381" spans="1:4">
      <c r="A381" s="34" t="s">
        <v>480</v>
      </c>
      <c r="B381" s="35" t="s">
        <v>228</v>
      </c>
      <c r="C381" s="34" t="str">
        <f t="shared" si="5"/>
        <v>0</v>
      </c>
      <c r="D381" s="60" t="s">
        <v>482</v>
      </c>
    </row>
    <row r="382" spans="1:4">
      <c r="A382" s="34" t="s">
        <v>490</v>
      </c>
      <c r="B382" s="35">
        <v>54</v>
      </c>
      <c r="C382" s="34" t="str">
        <f t="shared" si="5"/>
        <v>0</v>
      </c>
      <c r="D382" s="60" t="s">
        <v>491</v>
      </c>
    </row>
    <row r="383" spans="1:4">
      <c r="A383" s="37" t="s">
        <v>498</v>
      </c>
      <c r="B383" s="35" t="s">
        <v>115</v>
      </c>
      <c r="C383" s="34" t="str">
        <f t="shared" si="5"/>
        <v>0</v>
      </c>
      <c r="D383" s="60" t="s">
        <v>499</v>
      </c>
    </row>
    <row r="384" spans="1:4">
      <c r="A384" s="34" t="s">
        <v>504</v>
      </c>
      <c r="B384" s="35">
        <v>70</v>
      </c>
      <c r="C384" s="34" t="str">
        <f t="shared" si="5"/>
        <v>0</v>
      </c>
      <c r="D384" s="60" t="s">
        <v>505</v>
      </c>
    </row>
    <row r="385" spans="1:4">
      <c r="A385" s="34" t="s">
        <v>506</v>
      </c>
      <c r="B385" s="35" t="s">
        <v>293</v>
      </c>
      <c r="C385" s="34" t="str">
        <f t="shared" si="5"/>
        <v>0</v>
      </c>
      <c r="D385" s="60" t="s">
        <v>507</v>
      </c>
    </row>
    <row r="386" spans="1:4">
      <c r="A386" s="34" t="s">
        <v>509</v>
      </c>
      <c r="B386" s="35">
        <v>94</v>
      </c>
      <c r="C386" s="34" t="str">
        <f t="shared" si="5"/>
        <v>0</v>
      </c>
      <c r="D386" s="60" t="s">
        <v>513</v>
      </c>
    </row>
    <row r="387" spans="1:4">
      <c r="A387" s="34" t="s">
        <v>511</v>
      </c>
      <c r="B387" s="35" t="s">
        <v>167</v>
      </c>
      <c r="C387" s="34" t="str">
        <f t="shared" si="5"/>
        <v>0</v>
      </c>
      <c r="D387" s="60" t="s">
        <v>510</v>
      </c>
    </row>
    <row r="388" spans="1:4">
      <c r="A388" s="34" t="s">
        <v>512</v>
      </c>
      <c r="B388" s="35">
        <v>50</v>
      </c>
      <c r="C388" s="34" t="str">
        <f t="shared" si="5"/>
        <v>0</v>
      </c>
      <c r="D388" s="60" t="s">
        <v>514</v>
      </c>
    </row>
    <row r="389" spans="1:4">
      <c r="A389" s="34" t="s">
        <v>524</v>
      </c>
      <c r="B389" s="35">
        <v>84</v>
      </c>
      <c r="C389" s="34" t="str">
        <f t="shared" si="5"/>
        <v>0</v>
      </c>
      <c r="D389" s="60" t="s">
        <v>520</v>
      </c>
    </row>
    <row r="390" spans="1:4">
      <c r="A390" s="34" t="s">
        <v>525</v>
      </c>
      <c r="B390" s="35">
        <v>40</v>
      </c>
      <c r="C390" s="34" t="str">
        <f t="shared" si="5"/>
        <v>0</v>
      </c>
      <c r="D390" s="60" t="s">
        <v>521</v>
      </c>
    </row>
    <row r="391" spans="1:4">
      <c r="A391" s="34" t="s">
        <v>526</v>
      </c>
      <c r="B391" s="35">
        <v>64</v>
      </c>
      <c r="C391" s="34" t="str">
        <f t="shared" si="5"/>
        <v>0</v>
      </c>
      <c r="D391" s="60" t="s">
        <v>522</v>
      </c>
    </row>
    <row r="392" spans="1:4">
      <c r="A392" s="34" t="s">
        <v>527</v>
      </c>
      <c r="B392" s="35">
        <v>84</v>
      </c>
      <c r="C392" s="34" t="str">
        <f t="shared" si="5"/>
        <v>0</v>
      </c>
      <c r="D392" s="60" t="s">
        <v>523</v>
      </c>
    </row>
    <row r="393" spans="1:4">
      <c r="A393" s="34" t="s">
        <v>528</v>
      </c>
      <c r="B393" s="35">
        <v>34</v>
      </c>
      <c r="C393" s="34" t="str">
        <f t="shared" si="5"/>
        <v>0</v>
      </c>
      <c r="D393" s="60" t="s">
        <v>529</v>
      </c>
    </row>
    <row r="394" spans="1:4">
      <c r="A394" s="37" t="s">
        <v>540</v>
      </c>
      <c r="B394" s="35" t="s">
        <v>541</v>
      </c>
      <c r="C394" s="34" t="str">
        <f t="shared" si="5"/>
        <v>0</v>
      </c>
      <c r="D394" s="60" t="s">
        <v>543</v>
      </c>
    </row>
    <row r="395" spans="1:4">
      <c r="A395" s="34" t="s">
        <v>542</v>
      </c>
      <c r="B395" s="35">
        <v>54</v>
      </c>
      <c r="C395" s="34" t="str">
        <f t="shared" si="5"/>
        <v>0</v>
      </c>
      <c r="D395" s="60" t="s">
        <v>537</v>
      </c>
    </row>
    <row r="396" spans="1:4">
      <c r="A396" s="34" t="s">
        <v>559</v>
      </c>
      <c r="B396" s="35">
        <v>70</v>
      </c>
      <c r="C396" s="34" t="str">
        <f t="shared" si="5"/>
        <v>0</v>
      </c>
      <c r="D396" s="60" t="s">
        <v>560</v>
      </c>
    </row>
    <row r="397" spans="1:4">
      <c r="A397" s="37" t="s">
        <v>566</v>
      </c>
      <c r="B397" s="35" t="s">
        <v>567</v>
      </c>
      <c r="C397" s="34" t="str">
        <f t="shared" si="5"/>
        <v>0</v>
      </c>
      <c r="D397" s="60" t="s">
        <v>568</v>
      </c>
    </row>
    <row r="398" spans="1:4">
      <c r="A398" s="37" t="s">
        <v>570</v>
      </c>
      <c r="B398" s="35" t="s">
        <v>265</v>
      </c>
      <c r="C398" s="34" t="str">
        <f t="shared" si="5"/>
        <v>0</v>
      </c>
      <c r="D398" s="60" t="s">
        <v>576</v>
      </c>
    </row>
    <row r="399" spans="1:4">
      <c r="A399" s="37" t="s">
        <v>1158</v>
      </c>
      <c r="B399" s="35">
        <v>84</v>
      </c>
      <c r="C399" s="34" t="str">
        <f t="shared" si="5"/>
        <v>0</v>
      </c>
      <c r="D399" s="60" t="s">
        <v>578</v>
      </c>
    </row>
    <row r="400" spans="1:4">
      <c r="A400" s="37" t="s">
        <v>1159</v>
      </c>
      <c r="B400" s="35">
        <v>30</v>
      </c>
      <c r="C400" s="34" t="str">
        <f t="shared" si="5"/>
        <v>0</v>
      </c>
      <c r="D400" s="60" t="s">
        <v>1176</v>
      </c>
    </row>
    <row r="401" spans="1:4">
      <c r="A401" s="37" t="s">
        <v>1175</v>
      </c>
      <c r="B401" s="35" t="s">
        <v>138</v>
      </c>
      <c r="C401" s="34" t="str">
        <f t="shared" si="5"/>
        <v>0</v>
      </c>
      <c r="D401" s="60" t="s">
        <v>1192</v>
      </c>
    </row>
    <row r="402" spans="1:4">
      <c r="A402" s="37" t="s">
        <v>1191</v>
      </c>
      <c r="B402" s="35">
        <v>8</v>
      </c>
      <c r="C402" s="34" t="str">
        <f t="shared" si="5"/>
        <v>0</v>
      </c>
      <c r="D402" s="60" t="s">
        <v>1196</v>
      </c>
    </row>
    <row r="403" spans="1:4">
      <c r="A403" s="37" t="s">
        <v>1194</v>
      </c>
      <c r="B403" s="35">
        <v>8</v>
      </c>
      <c r="C403" s="34" t="str">
        <f t="shared" si="5"/>
        <v>0</v>
      </c>
      <c r="D403" s="60" t="s">
        <v>1198</v>
      </c>
    </row>
    <row r="404" spans="1:4">
      <c r="A404" s="37" t="s">
        <v>1195</v>
      </c>
      <c r="B404" s="35">
        <v>14</v>
      </c>
      <c r="C404" s="34" t="str">
        <f t="shared" si="5"/>
        <v>0</v>
      </c>
      <c r="D404" s="60" t="s">
        <v>1197</v>
      </c>
    </row>
    <row r="405" spans="1:4">
      <c r="A405" s="34" t="s">
        <v>572</v>
      </c>
      <c r="B405" s="35">
        <v>14</v>
      </c>
      <c r="C405" s="34" t="str">
        <f t="shared" si="5"/>
        <v>0</v>
      </c>
      <c r="D405" s="60" t="s">
        <v>849</v>
      </c>
    </row>
    <row r="406" spans="1:4">
      <c r="A406" s="34" t="s">
        <v>846</v>
      </c>
      <c r="B406" s="35">
        <v>14</v>
      </c>
      <c r="C406" s="34" t="str">
        <f t="shared" si="5"/>
        <v>0</v>
      </c>
      <c r="D406" s="60" t="s">
        <v>852</v>
      </c>
    </row>
    <row r="407" spans="1:4">
      <c r="A407" s="37" t="s">
        <v>847</v>
      </c>
      <c r="B407" s="35">
        <v>14</v>
      </c>
      <c r="C407" s="34" t="str">
        <f t="shared" si="5"/>
        <v>0</v>
      </c>
      <c r="D407" s="60" t="s">
        <v>882</v>
      </c>
    </row>
    <row r="408" spans="1:4">
      <c r="A408" s="37" t="s">
        <v>848</v>
      </c>
      <c r="B408" s="35">
        <v>14</v>
      </c>
      <c r="C408" s="34" t="str">
        <f t="shared" si="5"/>
        <v>0</v>
      </c>
      <c r="D408" s="60" t="s">
        <v>885</v>
      </c>
    </row>
    <row r="409" spans="1:4">
      <c r="A409" s="37" t="s">
        <v>575</v>
      </c>
      <c r="B409" s="35" t="s">
        <v>471</v>
      </c>
      <c r="C409" s="34" t="str">
        <f t="shared" si="5"/>
        <v>0</v>
      </c>
      <c r="D409" s="60" t="s">
        <v>1210</v>
      </c>
    </row>
    <row r="410" spans="1:4">
      <c r="A410" s="37" t="s">
        <v>1213</v>
      </c>
      <c r="B410" s="35">
        <v>28</v>
      </c>
      <c r="C410" s="34" t="str">
        <f t="shared" si="5"/>
        <v>0</v>
      </c>
      <c r="D410" s="60" t="s">
        <v>1214</v>
      </c>
    </row>
    <row r="411" spans="1:4">
      <c r="A411" s="37" t="s">
        <v>1215</v>
      </c>
      <c r="B411" s="35">
        <v>14</v>
      </c>
      <c r="C411" s="34" t="str">
        <f t="shared" si="5"/>
        <v>0</v>
      </c>
      <c r="D411" s="60" t="s">
        <v>1216</v>
      </c>
    </row>
    <row r="412" spans="1:4">
      <c r="A412" s="37" t="s">
        <v>584</v>
      </c>
      <c r="B412" s="35" t="s">
        <v>228</v>
      </c>
      <c r="C412" s="34" t="str">
        <f t="shared" si="5"/>
        <v>0</v>
      </c>
      <c r="D412" s="60" t="s">
        <v>579</v>
      </c>
    </row>
    <row r="413" spans="1:4">
      <c r="A413" s="37" t="s">
        <v>585</v>
      </c>
      <c r="B413" s="35">
        <v>90</v>
      </c>
      <c r="C413" s="34" t="str">
        <f t="shared" si="5"/>
        <v>0</v>
      </c>
      <c r="D413" s="60" t="s">
        <v>586</v>
      </c>
    </row>
    <row r="414" spans="1:4">
      <c r="A414" s="34" t="s">
        <v>588</v>
      </c>
      <c r="B414" s="35">
        <v>50</v>
      </c>
      <c r="C414" s="34" t="str">
        <f t="shared" si="5"/>
        <v>0</v>
      </c>
      <c r="D414" s="60" t="s">
        <v>587</v>
      </c>
    </row>
    <row r="415" spans="1:4">
      <c r="A415" s="37" t="s">
        <v>606</v>
      </c>
      <c r="B415" s="35" t="s">
        <v>614</v>
      </c>
      <c r="C415" s="34" t="str">
        <f t="shared" si="5"/>
        <v>0</v>
      </c>
      <c r="D415" s="60" t="s">
        <v>607</v>
      </c>
    </row>
    <row r="416" spans="1:4">
      <c r="A416" s="34" t="s">
        <v>611</v>
      </c>
      <c r="B416" s="35" t="s">
        <v>138</v>
      </c>
      <c r="C416" s="34" t="str">
        <f t="shared" si="5"/>
        <v>0</v>
      </c>
      <c r="D416" s="60" t="s">
        <v>608</v>
      </c>
    </row>
    <row r="417" spans="1:4">
      <c r="A417" s="34" t="s">
        <v>612</v>
      </c>
      <c r="B417" s="35">
        <v>34</v>
      </c>
      <c r="C417" s="34" t="str">
        <f t="shared" si="5"/>
        <v>0</v>
      </c>
      <c r="D417" s="60" t="s">
        <v>609</v>
      </c>
    </row>
    <row r="418" spans="1:4">
      <c r="A418" s="34" t="s">
        <v>613</v>
      </c>
      <c r="B418" s="35">
        <v>34</v>
      </c>
      <c r="C418" s="34" t="str">
        <f t="shared" si="5"/>
        <v>0</v>
      </c>
      <c r="D418" s="60" t="s">
        <v>610</v>
      </c>
    </row>
    <row r="419" spans="1:4" ht="31.75">
      <c r="A419" s="37" t="s">
        <v>713</v>
      </c>
      <c r="B419" s="35">
        <v>90</v>
      </c>
      <c r="C419" s="34" t="str">
        <f t="shared" si="5"/>
        <v>0</v>
      </c>
      <c r="D419" s="60" t="s">
        <v>1135</v>
      </c>
    </row>
    <row r="420" spans="1:4">
      <c r="A420" s="37" t="s">
        <v>1144</v>
      </c>
      <c r="B420" s="35" t="s">
        <v>265</v>
      </c>
      <c r="C420" s="34" t="str">
        <f t="shared" si="5"/>
        <v>48</v>
      </c>
      <c r="D420" s="60" t="s">
        <v>1043</v>
      </c>
    </row>
    <row r="421" spans="1:4">
      <c r="A421" s="34" t="s">
        <v>721</v>
      </c>
      <c r="B421" s="35" t="s">
        <v>391</v>
      </c>
      <c r="C421" s="34" t="str">
        <f t="shared" si="5"/>
        <v>0</v>
      </c>
      <c r="D421" s="60" t="s">
        <v>720</v>
      </c>
    </row>
    <row r="422" spans="1:4">
      <c r="A422" s="34" t="s">
        <v>722</v>
      </c>
      <c r="B422" s="35" t="s">
        <v>230</v>
      </c>
      <c r="C422" s="34" t="str">
        <f t="shared" si="5"/>
        <v>0</v>
      </c>
      <c r="D422" s="60" t="s">
        <v>723</v>
      </c>
    </row>
    <row r="423" spans="1:4">
      <c r="A423" s="34" t="s">
        <v>725</v>
      </c>
      <c r="B423" s="35">
        <v>58</v>
      </c>
      <c r="C423" s="34" t="str">
        <f t="shared" si="5"/>
        <v>0</v>
      </c>
      <c r="D423" s="60" t="s">
        <v>724</v>
      </c>
    </row>
    <row r="424" spans="1:4">
      <c r="A424" s="34" t="s">
        <v>726</v>
      </c>
      <c r="B424" s="35">
        <v>14</v>
      </c>
      <c r="C424" s="34" t="str">
        <f t="shared" si="5"/>
        <v>0</v>
      </c>
      <c r="D424" s="60" t="s">
        <v>1076</v>
      </c>
    </row>
    <row r="425" spans="1:4">
      <c r="A425" s="34" t="s">
        <v>1077</v>
      </c>
      <c r="B425" s="35">
        <v>38</v>
      </c>
      <c r="C425" s="34" t="str">
        <f t="shared" si="5"/>
        <v>0</v>
      </c>
      <c r="D425" s="60" t="s">
        <v>1078</v>
      </c>
    </row>
    <row r="426" spans="1:4">
      <c r="A426" s="34" t="s">
        <v>738</v>
      </c>
      <c r="B426" s="35" t="s">
        <v>230</v>
      </c>
      <c r="C426" s="34" t="str">
        <f t="shared" si="5"/>
        <v>0</v>
      </c>
      <c r="D426" s="60" t="s">
        <v>737</v>
      </c>
    </row>
    <row r="427" spans="1:4">
      <c r="A427" s="34" t="s">
        <v>742</v>
      </c>
      <c r="B427" s="35">
        <v>8</v>
      </c>
      <c r="C427" s="34" t="str">
        <f t="shared" ref="C427:C435" si="6">DEC2HEX(HEX2DEC(A428)-(HEX2DEC(A427)+HEX2DEC(B427)))</f>
        <v>0</v>
      </c>
      <c r="D427" s="60" t="s">
        <v>1034</v>
      </c>
    </row>
    <row r="428" spans="1:4">
      <c r="A428" s="34" t="s">
        <v>1087</v>
      </c>
      <c r="B428" s="35">
        <v>48</v>
      </c>
      <c r="C428" s="34" t="str">
        <f t="shared" si="6"/>
        <v>0</v>
      </c>
      <c r="D428" s="60" t="s">
        <v>1086</v>
      </c>
    </row>
    <row r="429" spans="1:4">
      <c r="A429" s="34" t="s">
        <v>745</v>
      </c>
      <c r="B429" s="35">
        <v>8</v>
      </c>
      <c r="C429" s="34" t="str">
        <f t="shared" si="6"/>
        <v>0</v>
      </c>
      <c r="D429" s="60" t="s">
        <v>1033</v>
      </c>
    </row>
    <row r="430" spans="1:4">
      <c r="A430" s="34" t="s">
        <v>1207</v>
      </c>
      <c r="B430" s="35">
        <v>40</v>
      </c>
      <c r="C430" s="34" t="str">
        <f t="shared" si="6"/>
        <v>8</v>
      </c>
      <c r="D430" s="60" t="s">
        <v>1209</v>
      </c>
    </row>
    <row r="431" spans="1:4">
      <c r="A431" s="34" t="s">
        <v>754</v>
      </c>
      <c r="B431" s="35">
        <v>48</v>
      </c>
      <c r="C431" s="34" t="str">
        <f t="shared" si="6"/>
        <v>0</v>
      </c>
      <c r="D431" s="60" t="s">
        <v>755</v>
      </c>
    </row>
    <row r="432" spans="1:4">
      <c r="A432" s="34" t="s">
        <v>756</v>
      </c>
      <c r="B432" s="35">
        <v>48</v>
      </c>
      <c r="C432" s="34" t="str">
        <f t="shared" si="6"/>
        <v>0</v>
      </c>
      <c r="D432" s="60" t="s">
        <v>757</v>
      </c>
    </row>
    <row r="433" spans="1:4">
      <c r="A433" s="37" t="s">
        <v>760</v>
      </c>
      <c r="B433" s="35">
        <v>28</v>
      </c>
      <c r="C433" s="34" t="str">
        <f t="shared" si="6"/>
        <v>20</v>
      </c>
      <c r="D433" s="60" t="s">
        <v>761</v>
      </c>
    </row>
    <row r="434" spans="1:4">
      <c r="A434" s="34" t="s">
        <v>763</v>
      </c>
      <c r="B434" s="35">
        <v>30</v>
      </c>
      <c r="C434" s="34" t="str">
        <f t="shared" si="6"/>
        <v>0</v>
      </c>
      <c r="D434" s="60" t="s">
        <v>764</v>
      </c>
    </row>
    <row r="435" spans="1:4">
      <c r="A435" s="34" t="s">
        <v>1059</v>
      </c>
      <c r="B435" s="35">
        <v>20</v>
      </c>
      <c r="C435" s="34" t="str">
        <f t="shared" si="6"/>
        <v>0</v>
      </c>
      <c r="D435" s="60" t="s">
        <v>1060</v>
      </c>
    </row>
    <row r="436" spans="1:4">
      <c r="A436" s="34" t="s">
        <v>786</v>
      </c>
      <c r="B436" s="35">
        <v>48</v>
      </c>
      <c r="C436" s="34" t="str">
        <f t="shared" ref="C436:C495" si="7">DEC2HEX(HEX2DEC(A437)-(HEX2DEC(A436)+HEX2DEC(B436)))</f>
        <v>0</v>
      </c>
      <c r="D436" s="60" t="s">
        <v>787</v>
      </c>
    </row>
    <row r="437" spans="1:4">
      <c r="A437" s="34" t="s">
        <v>788</v>
      </c>
      <c r="B437" s="35">
        <v>48</v>
      </c>
      <c r="C437" s="34" t="str">
        <f t="shared" si="7"/>
        <v>0</v>
      </c>
      <c r="D437" s="60" t="s">
        <v>789</v>
      </c>
    </row>
    <row r="438" spans="1:4">
      <c r="A438" s="34" t="s">
        <v>797</v>
      </c>
      <c r="B438" s="35">
        <v>48</v>
      </c>
      <c r="C438" s="34" t="str">
        <f t="shared" si="7"/>
        <v>0</v>
      </c>
      <c r="D438" s="60" t="s">
        <v>799</v>
      </c>
    </row>
    <row r="439" spans="1:4">
      <c r="A439" s="34" t="s">
        <v>798</v>
      </c>
      <c r="B439" s="35">
        <v>44</v>
      </c>
      <c r="C439" s="34" t="str">
        <f t="shared" si="7"/>
        <v>18</v>
      </c>
      <c r="D439" s="60" t="s">
        <v>800</v>
      </c>
    </row>
    <row r="440" spans="1:4">
      <c r="A440" s="34" t="s">
        <v>807</v>
      </c>
      <c r="B440" s="35" t="s">
        <v>120</v>
      </c>
      <c r="C440" s="34" t="str">
        <f t="shared" si="7"/>
        <v>20</v>
      </c>
      <c r="D440" s="60" t="s">
        <v>808</v>
      </c>
    </row>
    <row r="441" spans="1:4">
      <c r="A441" s="34" t="s">
        <v>811</v>
      </c>
      <c r="B441" s="35">
        <v>28</v>
      </c>
      <c r="C441" s="34" t="str">
        <f t="shared" si="7"/>
        <v>0</v>
      </c>
      <c r="D441" s="60" t="s">
        <v>810</v>
      </c>
    </row>
    <row r="442" spans="1:4">
      <c r="A442" s="37" t="s">
        <v>1101</v>
      </c>
      <c r="B442" s="35">
        <v>20</v>
      </c>
      <c r="C442" s="34" t="str">
        <f t="shared" si="7"/>
        <v>0</v>
      </c>
      <c r="D442" s="60" t="s">
        <v>1103</v>
      </c>
    </row>
    <row r="443" spans="1:4">
      <c r="A443" s="34" t="s">
        <v>812</v>
      </c>
      <c r="B443" s="35" t="s">
        <v>138</v>
      </c>
      <c r="C443" s="34" t="str">
        <f t="shared" si="7"/>
        <v>0</v>
      </c>
      <c r="D443" s="60" t="s">
        <v>813</v>
      </c>
    </row>
    <row r="444" spans="1:4">
      <c r="A444" s="34" t="s">
        <v>817</v>
      </c>
      <c r="B444" s="35">
        <v>30</v>
      </c>
      <c r="C444" s="34" t="str">
        <f t="shared" si="7"/>
        <v>0</v>
      </c>
      <c r="D444" s="60" t="s">
        <v>862</v>
      </c>
    </row>
    <row r="445" spans="1:4">
      <c r="A445" s="37" t="s">
        <v>918</v>
      </c>
      <c r="B445" s="35">
        <v>14</v>
      </c>
      <c r="C445" s="34" t="str">
        <f t="shared" si="7"/>
        <v>C</v>
      </c>
      <c r="D445" s="60" t="s">
        <v>919</v>
      </c>
    </row>
    <row r="446" spans="1:4">
      <c r="A446" s="37" t="s">
        <v>861</v>
      </c>
      <c r="B446" s="35">
        <v>30</v>
      </c>
      <c r="C446" s="34" t="str">
        <f t="shared" si="7"/>
        <v>0</v>
      </c>
      <c r="D446" s="60" t="s">
        <v>870</v>
      </c>
    </row>
    <row r="447" spans="1:4">
      <c r="A447" s="37" t="s">
        <v>1012</v>
      </c>
      <c r="B447" s="35">
        <v>20</v>
      </c>
      <c r="C447" s="34" t="str">
        <f t="shared" si="7"/>
        <v>0</v>
      </c>
      <c r="D447" s="60" t="s">
        <v>1011</v>
      </c>
    </row>
    <row r="448" spans="1:4">
      <c r="A448" s="37" t="s">
        <v>871</v>
      </c>
      <c r="B448" s="35">
        <v>30</v>
      </c>
      <c r="C448" s="34" t="str">
        <f t="shared" si="7"/>
        <v>0</v>
      </c>
      <c r="D448" s="60" t="s">
        <v>872</v>
      </c>
    </row>
    <row r="449" spans="1:4">
      <c r="A449" s="37" t="s">
        <v>873</v>
      </c>
      <c r="B449" s="35">
        <v>14</v>
      </c>
      <c r="C449" s="34" t="str">
        <f t="shared" si="7"/>
        <v>0</v>
      </c>
      <c r="D449" s="60" t="s">
        <v>868</v>
      </c>
    </row>
    <row r="450" spans="1:4">
      <c r="A450" s="34" t="s">
        <v>818</v>
      </c>
      <c r="B450" s="35">
        <v>130</v>
      </c>
      <c r="C450" s="34" t="str">
        <f t="shared" si="7"/>
        <v>0</v>
      </c>
      <c r="D450" s="60" t="s">
        <v>819</v>
      </c>
    </row>
    <row r="451" spans="1:4">
      <c r="A451" s="34" t="s">
        <v>825</v>
      </c>
      <c r="B451" s="35">
        <v>14</v>
      </c>
      <c r="C451" s="34" t="str">
        <f t="shared" si="7"/>
        <v>0</v>
      </c>
      <c r="D451" s="60" t="s">
        <v>826</v>
      </c>
    </row>
    <row r="452" spans="1:4">
      <c r="A452" s="37" t="s">
        <v>827</v>
      </c>
      <c r="B452" s="35">
        <v>14</v>
      </c>
      <c r="C452" s="34" t="str">
        <f t="shared" si="7"/>
        <v>0</v>
      </c>
      <c r="D452" s="60" t="s">
        <v>829</v>
      </c>
    </row>
    <row r="453" spans="1:4">
      <c r="A453" s="34" t="s">
        <v>828</v>
      </c>
      <c r="B453" s="35" t="s">
        <v>833</v>
      </c>
      <c r="C453" s="34" t="str">
        <f t="shared" si="7"/>
        <v>0</v>
      </c>
      <c r="D453" s="60" t="s">
        <v>830</v>
      </c>
    </row>
    <row r="454" spans="1:4">
      <c r="A454" s="37" t="s">
        <v>834</v>
      </c>
      <c r="B454" s="35">
        <v>64</v>
      </c>
      <c r="C454" s="34" t="str">
        <f t="shared" si="7"/>
        <v>0</v>
      </c>
      <c r="D454" s="60" t="s">
        <v>831</v>
      </c>
    </row>
    <row r="455" spans="1:4">
      <c r="A455" s="37" t="s">
        <v>835</v>
      </c>
      <c r="B455" s="35">
        <v>14</v>
      </c>
      <c r="C455" s="34" t="str">
        <f t="shared" si="7"/>
        <v>0</v>
      </c>
      <c r="D455" s="60" t="s">
        <v>839</v>
      </c>
    </row>
    <row r="456" spans="1:4">
      <c r="A456" s="34" t="s">
        <v>836</v>
      </c>
      <c r="B456" s="35" t="s">
        <v>138</v>
      </c>
      <c r="C456" s="34" t="str">
        <f t="shared" si="7"/>
        <v>0</v>
      </c>
      <c r="D456" s="60" t="s">
        <v>840</v>
      </c>
    </row>
    <row r="457" spans="1:4">
      <c r="A457" s="34" t="s">
        <v>837</v>
      </c>
      <c r="B457" s="35">
        <v>54</v>
      </c>
      <c r="C457" s="34" t="str">
        <f t="shared" si="7"/>
        <v>0</v>
      </c>
      <c r="D457" s="60" t="s">
        <v>841</v>
      </c>
    </row>
    <row r="458" spans="1:4">
      <c r="A458" s="34" t="s">
        <v>838</v>
      </c>
      <c r="B458" s="35">
        <v>54</v>
      </c>
      <c r="C458" s="34" t="str">
        <f t="shared" si="7"/>
        <v>0</v>
      </c>
      <c r="D458" s="60" t="s">
        <v>842</v>
      </c>
    </row>
    <row r="459" spans="1:4">
      <c r="A459" s="34" t="s">
        <v>843</v>
      </c>
      <c r="B459" s="35" t="s">
        <v>138</v>
      </c>
      <c r="C459" s="34" t="str">
        <f t="shared" si="7"/>
        <v>0</v>
      </c>
      <c r="D459" s="60" t="s">
        <v>844</v>
      </c>
    </row>
    <row r="460" spans="1:4">
      <c r="A460" s="34" t="s">
        <v>845</v>
      </c>
      <c r="B460" s="35"/>
      <c r="C460" s="34" t="str">
        <f t="shared" si="7"/>
        <v>60</v>
      </c>
      <c r="D460" s="60"/>
    </row>
    <row r="461" spans="1:4">
      <c r="A461" s="34" t="s">
        <v>850</v>
      </c>
      <c r="B461" s="35">
        <v>64</v>
      </c>
      <c r="C461" s="34" t="str">
        <f t="shared" si="7"/>
        <v>0</v>
      </c>
      <c r="D461" s="60" t="s">
        <v>851</v>
      </c>
    </row>
    <row r="462" spans="1:4">
      <c r="A462" s="34" t="s">
        <v>854</v>
      </c>
      <c r="B462" s="35">
        <v>50</v>
      </c>
      <c r="C462" s="34" t="str">
        <f t="shared" si="7"/>
        <v>0</v>
      </c>
      <c r="D462" s="60" t="s">
        <v>855</v>
      </c>
    </row>
    <row r="463" spans="1:4">
      <c r="A463" s="34" t="s">
        <v>856</v>
      </c>
      <c r="B463" s="35" t="s">
        <v>115</v>
      </c>
      <c r="C463" s="34" t="str">
        <f t="shared" si="7"/>
        <v>0</v>
      </c>
      <c r="D463" s="60" t="s">
        <v>857</v>
      </c>
    </row>
    <row r="464" spans="1:4">
      <c r="A464" s="34" t="s">
        <v>860</v>
      </c>
      <c r="B464" s="35" t="s">
        <v>393</v>
      </c>
      <c r="C464" s="34" t="str">
        <f t="shared" si="7"/>
        <v>0</v>
      </c>
      <c r="D464" s="60" t="s">
        <v>859</v>
      </c>
    </row>
    <row r="465" spans="1:4">
      <c r="A465" s="37" t="s">
        <v>874</v>
      </c>
      <c r="B465" s="35">
        <v>28</v>
      </c>
      <c r="C465" s="34" t="str">
        <f t="shared" si="7"/>
        <v>0</v>
      </c>
      <c r="D465" s="60" t="s">
        <v>920</v>
      </c>
    </row>
    <row r="466" spans="1:4">
      <c r="A466" s="37" t="s">
        <v>875</v>
      </c>
      <c r="B466" s="35">
        <v>8</v>
      </c>
      <c r="C466" s="34" t="str">
        <f t="shared" si="7"/>
        <v>0</v>
      </c>
      <c r="D466" s="60" t="s">
        <v>921</v>
      </c>
    </row>
    <row r="467" spans="1:4">
      <c r="A467" s="37" t="s">
        <v>998</v>
      </c>
      <c r="B467" s="35">
        <v>48</v>
      </c>
      <c r="C467" s="34" t="str">
        <f t="shared" si="7"/>
        <v>0</v>
      </c>
      <c r="D467" s="60" t="s">
        <v>999</v>
      </c>
    </row>
    <row r="468" spans="1:4">
      <c r="A468" s="37" t="s">
        <v>984</v>
      </c>
      <c r="B468" s="35">
        <v>78</v>
      </c>
      <c r="C468" s="34" t="str">
        <f t="shared" si="7"/>
        <v>0</v>
      </c>
      <c r="D468" s="60" t="s">
        <v>877</v>
      </c>
    </row>
    <row r="469" spans="1:4">
      <c r="A469" s="34" t="s">
        <v>878</v>
      </c>
      <c r="B469" s="35">
        <v>38</v>
      </c>
      <c r="C469" s="34" t="str">
        <f t="shared" si="7"/>
        <v>0</v>
      </c>
      <c r="D469" s="60" t="s">
        <v>924</v>
      </c>
    </row>
    <row r="470" spans="1:4">
      <c r="A470" s="37" t="s">
        <v>879</v>
      </c>
      <c r="B470" s="35" t="s">
        <v>50</v>
      </c>
      <c r="C470" s="34" t="str">
        <f t="shared" si="7"/>
        <v>0</v>
      </c>
      <c r="D470" s="60" t="s">
        <v>985</v>
      </c>
    </row>
    <row r="471" spans="1:4">
      <c r="A471" s="37" t="s">
        <v>1010</v>
      </c>
      <c r="B471" s="35" t="s">
        <v>48</v>
      </c>
      <c r="C471" s="34" t="str">
        <f t="shared" si="7"/>
        <v>0</v>
      </c>
      <c r="D471" s="60" t="s">
        <v>1020</v>
      </c>
    </row>
    <row r="472" spans="1:4">
      <c r="A472" s="37" t="s">
        <v>880</v>
      </c>
      <c r="B472" s="35">
        <v>48</v>
      </c>
      <c r="C472" s="34" t="str">
        <f t="shared" si="7"/>
        <v>0</v>
      </c>
      <c r="D472" s="60" t="s">
        <v>881</v>
      </c>
    </row>
    <row r="473" spans="1:4">
      <c r="A473" s="34" t="s">
        <v>883</v>
      </c>
      <c r="B473" s="35">
        <v>28</v>
      </c>
      <c r="C473" s="34" t="str">
        <f t="shared" si="7"/>
        <v>0</v>
      </c>
      <c r="D473" s="60" t="s">
        <v>922</v>
      </c>
    </row>
    <row r="474" spans="1:4">
      <c r="A474" s="34" t="s">
        <v>884</v>
      </c>
      <c r="B474" s="35"/>
      <c r="C474" s="34" t="str">
        <f t="shared" si="7"/>
        <v>5C</v>
      </c>
      <c r="D474" s="60"/>
    </row>
    <row r="475" spans="1:4">
      <c r="A475" s="34" t="s">
        <v>888</v>
      </c>
      <c r="B475" s="35">
        <v>8</v>
      </c>
      <c r="C475" s="34" t="str">
        <f t="shared" si="7"/>
        <v>0</v>
      </c>
      <c r="D475" s="60" t="s">
        <v>926</v>
      </c>
    </row>
    <row r="476" spans="1:4">
      <c r="A476" s="34" t="s">
        <v>931</v>
      </c>
      <c r="B476" s="35">
        <v>8</v>
      </c>
      <c r="C476" s="34" t="str">
        <f t="shared" si="7"/>
        <v>0</v>
      </c>
      <c r="D476" s="60" t="s">
        <v>982</v>
      </c>
    </row>
    <row r="477" spans="1:4">
      <c r="A477" s="34" t="s">
        <v>941</v>
      </c>
      <c r="B477" s="35" t="s">
        <v>138</v>
      </c>
      <c r="C477" s="34" t="str">
        <f t="shared" si="7"/>
        <v>0</v>
      </c>
      <c r="D477" s="60" t="s">
        <v>1003</v>
      </c>
    </row>
    <row r="478" spans="1:4">
      <c r="A478" s="34" t="s">
        <v>1002</v>
      </c>
      <c r="B478" s="35">
        <v>34</v>
      </c>
      <c r="C478" s="34" t="str">
        <f t="shared" si="7"/>
        <v>0</v>
      </c>
      <c r="D478" s="60" t="s">
        <v>1099</v>
      </c>
    </row>
    <row r="479" spans="1:4">
      <c r="A479" s="34" t="s">
        <v>890</v>
      </c>
      <c r="B479" s="35">
        <v>64</v>
      </c>
      <c r="C479" s="34" t="str">
        <f t="shared" si="7"/>
        <v>0</v>
      </c>
      <c r="D479" s="60" t="s">
        <v>891</v>
      </c>
    </row>
    <row r="480" spans="1:4">
      <c r="A480" s="34" t="s">
        <v>892</v>
      </c>
      <c r="B480" s="35">
        <v>14</v>
      </c>
      <c r="C480" s="34" t="str">
        <f t="shared" si="7"/>
        <v>0</v>
      </c>
      <c r="D480" s="60" t="s">
        <v>893</v>
      </c>
    </row>
    <row r="481" spans="1:4">
      <c r="A481" s="34" t="s">
        <v>894</v>
      </c>
      <c r="B481" s="35">
        <v>8</v>
      </c>
      <c r="C481" s="34" t="str">
        <f t="shared" si="7"/>
        <v>0</v>
      </c>
      <c r="D481" s="60" t="s">
        <v>1219</v>
      </c>
    </row>
    <row r="482" spans="1:4">
      <c r="A482" s="34" t="s">
        <v>976</v>
      </c>
      <c r="B482" s="35">
        <v>30</v>
      </c>
      <c r="C482" s="34" t="str">
        <f t="shared" si="7"/>
        <v>0</v>
      </c>
      <c r="D482" s="60" t="s">
        <v>978</v>
      </c>
    </row>
    <row r="483" spans="1:4">
      <c r="A483" s="34" t="s">
        <v>977</v>
      </c>
      <c r="B483" s="35">
        <v>14</v>
      </c>
      <c r="C483" s="34" t="str">
        <f t="shared" si="7"/>
        <v>0</v>
      </c>
      <c r="D483" s="60" t="s">
        <v>1000</v>
      </c>
    </row>
    <row r="484" spans="1:4">
      <c r="A484" s="34" t="s">
        <v>896</v>
      </c>
      <c r="B484" s="35">
        <v>14</v>
      </c>
      <c r="C484" s="34" t="str">
        <f t="shared" si="7"/>
        <v>0</v>
      </c>
      <c r="D484" s="60" t="s">
        <v>895</v>
      </c>
    </row>
    <row r="485" spans="1:4">
      <c r="A485" s="34" t="s">
        <v>897</v>
      </c>
      <c r="B485" s="35">
        <v>8</v>
      </c>
      <c r="C485" s="34" t="str">
        <f t="shared" si="7"/>
        <v>0</v>
      </c>
      <c r="D485" s="60" t="s">
        <v>925</v>
      </c>
    </row>
    <row r="486" spans="1:4">
      <c r="A486" s="34" t="s">
        <v>930</v>
      </c>
      <c r="B486" s="35">
        <v>30</v>
      </c>
      <c r="C486" s="34" t="str">
        <f t="shared" si="7"/>
        <v>0</v>
      </c>
      <c r="D486" s="60" t="s">
        <v>929</v>
      </c>
    </row>
    <row r="487" spans="1:4">
      <c r="A487" s="34" t="s">
        <v>898</v>
      </c>
      <c r="B487" s="35" t="s">
        <v>120</v>
      </c>
      <c r="C487" s="34" t="str">
        <f t="shared" si="7"/>
        <v>0</v>
      </c>
      <c r="D487" s="60" t="s">
        <v>1205</v>
      </c>
    </row>
    <row r="488" spans="1:4">
      <c r="A488" s="34" t="s">
        <v>1206</v>
      </c>
      <c r="B488" s="35">
        <v>14</v>
      </c>
      <c r="C488" s="34" t="str">
        <f t="shared" si="7"/>
        <v>0</v>
      </c>
      <c r="D488" s="60" t="s">
        <v>1208</v>
      </c>
    </row>
    <row r="489" spans="1:4">
      <c r="A489" s="34" t="s">
        <v>900</v>
      </c>
      <c r="B489" s="35">
        <v>14</v>
      </c>
      <c r="C489" s="34" t="str">
        <f t="shared" si="7"/>
        <v>0</v>
      </c>
      <c r="D489" s="60" t="s">
        <v>899</v>
      </c>
    </row>
    <row r="490" spans="1:4">
      <c r="A490" s="34" t="s">
        <v>901</v>
      </c>
      <c r="B490" s="35">
        <v>14</v>
      </c>
      <c r="C490" s="34" t="str">
        <f t="shared" si="7"/>
        <v>0</v>
      </c>
      <c r="D490" s="60" t="s">
        <v>970</v>
      </c>
    </row>
    <row r="491" spans="1:4">
      <c r="A491" s="34" t="s">
        <v>956</v>
      </c>
      <c r="B491" s="35">
        <v>14</v>
      </c>
      <c r="C491" s="34" t="str">
        <f t="shared" si="7"/>
        <v>0</v>
      </c>
      <c r="D491" s="60" t="s">
        <v>992</v>
      </c>
    </row>
    <row r="492" spans="1:4">
      <c r="A492" s="34" t="s">
        <v>902</v>
      </c>
      <c r="B492" s="35"/>
      <c r="C492" s="34" t="str">
        <f t="shared" si="7"/>
        <v>5C</v>
      </c>
      <c r="D492" s="60"/>
    </row>
    <row r="493" spans="1:4">
      <c r="A493" s="34" t="s">
        <v>903</v>
      </c>
      <c r="B493" s="35">
        <v>8</v>
      </c>
      <c r="C493" s="34" t="str">
        <f t="shared" si="7"/>
        <v>0</v>
      </c>
      <c r="D493" s="60" t="s">
        <v>983</v>
      </c>
    </row>
    <row r="494" spans="1:4">
      <c r="A494" s="34" t="s">
        <v>957</v>
      </c>
      <c r="B494" s="35">
        <v>24</v>
      </c>
      <c r="C494" s="34" t="str">
        <f t="shared" si="7"/>
        <v>0</v>
      </c>
      <c r="D494" s="60" t="s">
        <v>958</v>
      </c>
    </row>
    <row r="495" spans="1:4">
      <c r="A495" s="34" t="s">
        <v>959</v>
      </c>
      <c r="B495" s="35">
        <v>14</v>
      </c>
      <c r="C495" s="34" t="str">
        <f t="shared" si="7"/>
        <v>0</v>
      </c>
      <c r="D495" s="60" t="s">
        <v>975</v>
      </c>
    </row>
    <row r="496" spans="1:4">
      <c r="A496" s="34" t="s">
        <v>960</v>
      </c>
      <c r="B496" s="35">
        <v>14</v>
      </c>
      <c r="C496" s="34" t="str">
        <f t="shared" ref="C496:C552" si="8">DEC2HEX(HEX2DEC(A497)-(HEX2DEC(A496)+HEX2DEC(B496)))</f>
        <v>0</v>
      </c>
      <c r="D496" s="60" t="s">
        <v>961</v>
      </c>
    </row>
    <row r="497" spans="1:4">
      <c r="A497" s="34" t="s">
        <v>905</v>
      </c>
      <c r="B497" s="35">
        <v>14</v>
      </c>
      <c r="C497" s="34" t="str">
        <f t="shared" si="8"/>
        <v>0</v>
      </c>
      <c r="D497" s="60" t="s">
        <v>904</v>
      </c>
    </row>
    <row r="498" spans="1:4">
      <c r="A498" s="34" t="s">
        <v>912</v>
      </c>
      <c r="B498" s="35">
        <v>44</v>
      </c>
      <c r="C498" s="34" t="str">
        <f t="shared" si="8"/>
        <v>0</v>
      </c>
      <c r="D498" s="60" t="s">
        <v>1156</v>
      </c>
    </row>
    <row r="499" spans="1:4">
      <c r="A499" s="34" t="s">
        <v>914</v>
      </c>
      <c r="B499" s="35">
        <v>30</v>
      </c>
      <c r="C499" s="34" t="str">
        <f t="shared" si="8"/>
        <v>0</v>
      </c>
      <c r="D499" s="60" t="s">
        <v>915</v>
      </c>
    </row>
    <row r="500" spans="1:4">
      <c r="A500" s="37" t="s">
        <v>916</v>
      </c>
      <c r="B500" s="35">
        <v>30</v>
      </c>
      <c r="C500" s="34" t="str">
        <f t="shared" si="8"/>
        <v>0</v>
      </c>
      <c r="D500" s="60" t="s">
        <v>917</v>
      </c>
    </row>
    <row r="501" spans="1:4">
      <c r="A501" s="34" t="s">
        <v>935</v>
      </c>
      <c r="B501" s="35" t="s">
        <v>391</v>
      </c>
      <c r="C501" s="34" t="str">
        <f t="shared" si="8"/>
        <v>0</v>
      </c>
      <c r="D501" s="60" t="s">
        <v>936</v>
      </c>
    </row>
    <row r="502" spans="1:4">
      <c r="A502" s="34" t="s">
        <v>954</v>
      </c>
      <c r="B502" s="35">
        <v>60</v>
      </c>
      <c r="C502" s="34" t="str">
        <f t="shared" si="8"/>
        <v>0</v>
      </c>
      <c r="D502" s="60" t="s">
        <v>955</v>
      </c>
    </row>
    <row r="503" spans="1:4">
      <c r="A503" s="34" t="s">
        <v>973</v>
      </c>
      <c r="B503" s="35">
        <v>28</v>
      </c>
      <c r="C503" s="34" t="str">
        <f t="shared" si="8"/>
        <v>0</v>
      </c>
      <c r="D503" s="60" t="s">
        <v>974</v>
      </c>
    </row>
    <row r="504" spans="1:4">
      <c r="A504" s="34" t="s">
        <v>980</v>
      </c>
      <c r="B504" s="35">
        <v>0</v>
      </c>
      <c r="C504" s="34" t="str">
        <f t="shared" si="8"/>
        <v>54</v>
      </c>
      <c r="D504" s="62"/>
    </row>
    <row r="505" spans="1:4">
      <c r="A505" s="34" t="s">
        <v>990</v>
      </c>
      <c r="B505" s="35">
        <v>88</v>
      </c>
      <c r="C505" s="34" t="str">
        <f t="shared" si="8"/>
        <v>0</v>
      </c>
      <c r="D505" s="60" t="s">
        <v>991</v>
      </c>
    </row>
    <row r="506" spans="1:4">
      <c r="A506" s="34" t="s">
        <v>993</v>
      </c>
      <c r="B506" s="35" t="s">
        <v>48</v>
      </c>
      <c r="C506" s="34" t="str">
        <f t="shared" si="8"/>
        <v>0</v>
      </c>
      <c r="D506" s="60" t="s">
        <v>1016</v>
      </c>
    </row>
    <row r="507" spans="1:4">
      <c r="A507" s="37" t="s">
        <v>1018</v>
      </c>
      <c r="B507" s="35">
        <v>38</v>
      </c>
      <c r="C507" s="34" t="str">
        <f t="shared" si="8"/>
        <v>0</v>
      </c>
      <c r="D507" s="60" t="s">
        <v>1019</v>
      </c>
    </row>
    <row r="508" spans="1:4">
      <c r="A508" s="34" t="s">
        <v>996</v>
      </c>
      <c r="B508" s="35" t="s">
        <v>138</v>
      </c>
      <c r="C508" s="34" t="str">
        <f t="shared" si="8"/>
        <v>0</v>
      </c>
      <c r="D508" s="60" t="s">
        <v>994</v>
      </c>
    </row>
    <row r="509" spans="1:4">
      <c r="A509" s="34" t="s">
        <v>997</v>
      </c>
      <c r="B509" s="35">
        <v>58</v>
      </c>
      <c r="C509" s="34" t="str">
        <f t="shared" si="8"/>
        <v>0</v>
      </c>
      <c r="D509" s="60" t="s">
        <v>995</v>
      </c>
    </row>
    <row r="510" spans="1:4">
      <c r="A510" s="37" t="s">
        <v>1008</v>
      </c>
      <c r="B510" s="35" t="s">
        <v>50</v>
      </c>
      <c r="C510" s="34" t="str">
        <f t="shared" si="8"/>
        <v>0</v>
      </c>
      <c r="D510" s="60" t="s">
        <v>1164</v>
      </c>
    </row>
    <row r="511" spans="1:4">
      <c r="A511" s="37" t="s">
        <v>1162</v>
      </c>
      <c r="B511" s="35">
        <v>14</v>
      </c>
      <c r="C511" s="34" t="str">
        <f t="shared" si="8"/>
        <v>0</v>
      </c>
      <c r="D511" s="60" t="s">
        <v>1211</v>
      </c>
    </row>
    <row r="512" spans="1:4">
      <c r="A512" s="37" t="s">
        <v>1163</v>
      </c>
      <c r="B512" s="35">
        <v>14</v>
      </c>
      <c r="C512" s="34" t="str">
        <f t="shared" si="8"/>
        <v>0</v>
      </c>
      <c r="D512" s="60" t="s">
        <v>1186</v>
      </c>
    </row>
    <row r="513" spans="1:4">
      <c r="A513" s="37" t="s">
        <v>1017</v>
      </c>
      <c r="B513" s="35">
        <v>70</v>
      </c>
      <c r="C513" s="34" t="str">
        <f t="shared" si="8"/>
        <v>0</v>
      </c>
      <c r="D513" s="60" t="s">
        <v>1026</v>
      </c>
    </row>
    <row r="514" spans="1:4">
      <c r="A514" s="34" t="s">
        <v>1021</v>
      </c>
      <c r="B514" s="35">
        <v>74</v>
      </c>
      <c r="C514" s="34" t="str">
        <f t="shared" si="8"/>
        <v>0</v>
      </c>
      <c r="D514" s="60" t="s">
        <v>1022</v>
      </c>
    </row>
    <row r="515" spans="1:4">
      <c r="A515" s="34" t="s">
        <v>1030</v>
      </c>
      <c r="B515" s="35">
        <v>74</v>
      </c>
      <c r="C515" s="34" t="str">
        <f t="shared" si="8"/>
        <v>0</v>
      </c>
      <c r="D515" s="60" t="s">
        <v>1031</v>
      </c>
    </row>
    <row r="516" spans="1:4">
      <c r="A516" s="34" t="s">
        <v>1042</v>
      </c>
      <c r="B516" s="35">
        <v>40</v>
      </c>
      <c r="C516" s="34" t="str">
        <f t="shared" si="8"/>
        <v>5C</v>
      </c>
      <c r="D516" s="60" t="s">
        <v>1228</v>
      </c>
    </row>
    <row r="517" spans="1:4">
      <c r="A517" s="34" t="s">
        <v>1047</v>
      </c>
      <c r="B517" s="35" t="s">
        <v>281</v>
      </c>
      <c r="C517" s="34" t="str">
        <f t="shared" si="8"/>
        <v>0</v>
      </c>
      <c r="D517" s="60" t="s">
        <v>1045</v>
      </c>
    </row>
    <row r="518" spans="1:4">
      <c r="A518" s="34" t="s">
        <v>1048</v>
      </c>
      <c r="B518" s="35"/>
      <c r="C518" s="34" t="str">
        <f t="shared" si="8"/>
        <v>74</v>
      </c>
      <c r="D518" s="60"/>
    </row>
    <row r="519" spans="1:4">
      <c r="A519" s="34" t="s">
        <v>1052</v>
      </c>
      <c r="B519" s="35">
        <v>80</v>
      </c>
      <c r="C519" s="34" t="str">
        <f t="shared" si="8"/>
        <v>0</v>
      </c>
      <c r="D519" s="60" t="s">
        <v>1053</v>
      </c>
    </row>
    <row r="520" spans="1:4">
      <c r="A520" s="34" t="s">
        <v>1061</v>
      </c>
      <c r="B520" s="35">
        <v>28</v>
      </c>
      <c r="C520" s="34" t="str">
        <f t="shared" si="8"/>
        <v>0</v>
      </c>
      <c r="D520" s="60" t="s">
        <v>1062</v>
      </c>
    </row>
    <row r="521" spans="1:4">
      <c r="A521" s="34" t="s">
        <v>1064</v>
      </c>
      <c r="B521" s="35">
        <v>60</v>
      </c>
      <c r="C521" s="34" t="str">
        <f t="shared" si="8"/>
        <v>0</v>
      </c>
      <c r="D521" s="60" t="s">
        <v>1065</v>
      </c>
    </row>
    <row r="522" spans="1:4">
      <c r="A522" s="34" t="s">
        <v>1079</v>
      </c>
      <c r="B522" s="35">
        <v>78</v>
      </c>
      <c r="C522" s="34" t="str">
        <f t="shared" si="8"/>
        <v>0</v>
      </c>
      <c r="D522" s="60" t="s">
        <v>1080</v>
      </c>
    </row>
    <row r="523" spans="1:4">
      <c r="A523" s="34" t="s">
        <v>1082</v>
      </c>
      <c r="B523" s="35">
        <v>58</v>
      </c>
      <c r="C523" s="34" t="str">
        <f t="shared" si="8"/>
        <v>0</v>
      </c>
      <c r="D523" s="60" t="s">
        <v>1081</v>
      </c>
    </row>
    <row r="524" spans="1:4">
      <c r="A524" s="34" t="s">
        <v>1088</v>
      </c>
      <c r="B524" s="35">
        <v>44</v>
      </c>
      <c r="C524" s="34" t="str">
        <f t="shared" si="8"/>
        <v>0</v>
      </c>
      <c r="D524" s="60" t="s">
        <v>1089</v>
      </c>
    </row>
    <row r="525" spans="1:4">
      <c r="A525" s="34" t="s">
        <v>1096</v>
      </c>
      <c r="B525" s="35">
        <v>74</v>
      </c>
      <c r="C525" s="34" t="str">
        <f t="shared" si="8"/>
        <v>0</v>
      </c>
      <c r="D525" s="60" t="s">
        <v>1097</v>
      </c>
    </row>
    <row r="526" spans="1:4">
      <c r="A526" s="34" t="s">
        <v>1115</v>
      </c>
      <c r="B526" s="35">
        <v>58</v>
      </c>
      <c r="C526" s="34" t="str">
        <f t="shared" si="8"/>
        <v>0</v>
      </c>
      <c r="D526" s="60" t="s">
        <v>1113</v>
      </c>
    </row>
    <row r="527" spans="1:4">
      <c r="A527" s="34" t="s">
        <v>1130</v>
      </c>
      <c r="B527" s="35">
        <v>74</v>
      </c>
      <c r="C527" s="34" t="str">
        <f t="shared" si="8"/>
        <v>0</v>
      </c>
      <c r="D527" s="60" t="s">
        <v>1132</v>
      </c>
    </row>
    <row r="528" spans="1:4">
      <c r="A528" s="34" t="s">
        <v>1131</v>
      </c>
      <c r="B528" s="35" t="s">
        <v>281</v>
      </c>
      <c r="C528" s="34" t="str">
        <f t="shared" si="8"/>
        <v>0</v>
      </c>
      <c r="D528" s="60" t="s">
        <v>1133</v>
      </c>
    </row>
    <row r="529" spans="1:4">
      <c r="A529" s="34" t="s">
        <v>1134</v>
      </c>
      <c r="B529" s="35" t="s">
        <v>391</v>
      </c>
      <c r="C529" s="34" t="str">
        <f t="shared" si="8"/>
        <v>4</v>
      </c>
      <c r="D529" s="60" t="s">
        <v>1009</v>
      </c>
    </row>
    <row r="530" spans="1:4">
      <c r="A530" s="34" t="s">
        <v>1136</v>
      </c>
      <c r="B530" s="35" t="s">
        <v>203</v>
      </c>
      <c r="C530" s="34" t="str">
        <f t="shared" si="8"/>
        <v>0</v>
      </c>
      <c r="D530" s="60" t="s">
        <v>1187</v>
      </c>
    </row>
    <row r="531" spans="1:4">
      <c r="A531" s="34" t="s">
        <v>1188</v>
      </c>
      <c r="B531" s="35">
        <v>34</v>
      </c>
      <c r="C531" s="34" t="str">
        <f t="shared" si="8"/>
        <v>0</v>
      </c>
      <c r="D531" s="60" t="s">
        <v>1189</v>
      </c>
    </row>
    <row r="532" spans="1:4">
      <c r="A532" s="34" t="s">
        <v>1224</v>
      </c>
      <c r="B532" s="35" t="s">
        <v>203</v>
      </c>
      <c r="C532" s="34" t="str">
        <f t="shared" si="8"/>
        <v>64</v>
      </c>
      <c r="D532" s="60" t="s">
        <v>1049</v>
      </c>
    </row>
    <row r="533" spans="1:4">
      <c r="A533" s="34" t="s">
        <v>1141</v>
      </c>
      <c r="B533" s="35">
        <v>198</v>
      </c>
      <c r="C533" s="34" t="str">
        <f t="shared" si="8"/>
        <v>0</v>
      </c>
      <c r="D533" s="60" t="s">
        <v>1140</v>
      </c>
    </row>
    <row r="534" spans="1:4">
      <c r="A534" s="34" t="s">
        <v>1143</v>
      </c>
      <c r="B534" s="35" t="s">
        <v>1145</v>
      </c>
      <c r="C534" s="34" t="str">
        <f t="shared" si="8"/>
        <v>0</v>
      </c>
      <c r="D534" s="60" t="s">
        <v>1137</v>
      </c>
    </row>
    <row r="535" spans="1:4">
      <c r="A535" s="34" t="s">
        <v>1150</v>
      </c>
      <c r="B535" s="35">
        <v>168</v>
      </c>
      <c r="C535" s="34" t="str">
        <f t="shared" si="8"/>
        <v>0</v>
      </c>
      <c r="D535" s="60" t="s">
        <v>1146</v>
      </c>
    </row>
    <row r="536" spans="1:4">
      <c r="A536" s="34" t="s">
        <v>1151</v>
      </c>
      <c r="B536" s="35" t="s">
        <v>203</v>
      </c>
      <c r="C536" s="34" t="str">
        <f t="shared" si="8"/>
        <v>0</v>
      </c>
      <c r="D536" s="60" t="s">
        <v>1147</v>
      </c>
    </row>
    <row r="537" spans="1:4">
      <c r="A537" s="37" t="s">
        <v>1152</v>
      </c>
      <c r="B537" s="35">
        <v>124</v>
      </c>
      <c r="C537" s="34" t="str">
        <f t="shared" si="8"/>
        <v>0</v>
      </c>
      <c r="D537" s="60" t="s">
        <v>1148</v>
      </c>
    </row>
    <row r="538" spans="1:4">
      <c r="A538" s="37" t="s">
        <v>1153</v>
      </c>
      <c r="B538" s="35" t="s">
        <v>120</v>
      </c>
      <c r="C538" s="34" t="str">
        <f t="shared" si="8"/>
        <v>0</v>
      </c>
      <c r="D538" s="60" t="s">
        <v>1149</v>
      </c>
    </row>
    <row r="539" spans="1:4">
      <c r="A539" s="37" t="s">
        <v>1184</v>
      </c>
      <c r="B539" s="35" t="s">
        <v>1218</v>
      </c>
      <c r="C539" s="34" t="str">
        <f t="shared" si="8"/>
        <v>FFFFEFBCCC</v>
      </c>
      <c r="D539" s="60" t="s">
        <v>1185</v>
      </c>
    </row>
    <row r="540" spans="1:4">
      <c r="A540" s="34"/>
      <c r="B540" s="35"/>
      <c r="C540" s="34" t="str">
        <f t="shared" si="8"/>
        <v>0</v>
      </c>
      <c r="D540" s="60"/>
    </row>
    <row r="541" spans="1:4">
      <c r="A541" s="34"/>
      <c r="B541" s="35"/>
      <c r="C541" s="34" t="str">
        <f t="shared" si="8"/>
        <v>0</v>
      </c>
      <c r="D541" s="60"/>
    </row>
    <row r="542" spans="1:4">
      <c r="A542" s="34"/>
      <c r="B542" s="35"/>
      <c r="C542" s="34" t="str">
        <f t="shared" si="8"/>
        <v>0</v>
      </c>
      <c r="D542" s="60"/>
    </row>
    <row r="543" spans="1:4">
      <c r="A543" s="34"/>
      <c r="B543" s="35"/>
      <c r="C543" s="34" t="str">
        <f t="shared" si="8"/>
        <v>0</v>
      </c>
      <c r="D543" s="60"/>
    </row>
    <row r="544" spans="1:4">
      <c r="A544" s="34"/>
      <c r="B544" s="35"/>
      <c r="C544" s="34" t="str">
        <f t="shared" si="8"/>
        <v>0</v>
      </c>
      <c r="D544" s="60"/>
    </row>
    <row r="545" spans="1:4">
      <c r="A545" s="34"/>
      <c r="B545" s="35"/>
      <c r="C545" s="34" t="str">
        <f t="shared" si="8"/>
        <v>0</v>
      </c>
      <c r="D545" s="60"/>
    </row>
    <row r="546" spans="1:4">
      <c r="A546" s="34"/>
      <c r="B546" s="35"/>
      <c r="C546" s="34" t="str">
        <f t="shared" si="8"/>
        <v>0</v>
      </c>
      <c r="D546" s="60"/>
    </row>
    <row r="547" spans="1:4">
      <c r="A547" s="34"/>
      <c r="B547" s="35"/>
      <c r="C547" s="34" t="str">
        <f t="shared" si="8"/>
        <v>0</v>
      </c>
      <c r="D547" s="60"/>
    </row>
    <row r="548" spans="1:4">
      <c r="A548" s="34"/>
      <c r="B548" s="35"/>
      <c r="C548" s="34" t="str">
        <f t="shared" si="8"/>
        <v>0</v>
      </c>
      <c r="D548" s="60"/>
    </row>
    <row r="549" spans="1:4">
      <c r="A549" s="34"/>
      <c r="B549" s="35"/>
      <c r="C549" s="34" t="str">
        <f t="shared" si="8"/>
        <v>0</v>
      </c>
      <c r="D549" s="60"/>
    </row>
    <row r="550" spans="1:4">
      <c r="A550" s="34"/>
      <c r="B550" s="35"/>
      <c r="C550" s="34" t="str">
        <f t="shared" si="8"/>
        <v>0</v>
      </c>
      <c r="D550" s="60"/>
    </row>
    <row r="551" spans="1:4">
      <c r="A551" s="34"/>
      <c r="B551" s="35"/>
      <c r="C551" s="34" t="str">
        <f t="shared" si="8"/>
        <v>0</v>
      </c>
      <c r="D551" s="60"/>
    </row>
    <row r="552" spans="1:4">
      <c r="A552" s="34"/>
      <c r="B552" s="35"/>
      <c r="C552" s="34" t="str">
        <f t="shared" si="8"/>
        <v>0</v>
      </c>
      <c r="D552" s="60"/>
    </row>
    <row r="554" spans="1:4">
      <c r="C554" s="1" t="str">
        <f>DEC2HEX(HEX2DEC(A555)-(HEX2DEC(A554)+HEX2DEC(B554)))</f>
        <v>144BC8</v>
      </c>
    </row>
    <row r="555" spans="1:4">
      <c r="A555" s="38" t="s">
        <v>679</v>
      </c>
      <c r="B555" s="39">
        <v>178</v>
      </c>
      <c r="C555" s="38" t="str">
        <f t="shared" ref="C555:C586" si="9">DEC2HEX(MAX(HEX2DEC(A556)-(HEX2DEC(A555)+HEX2DEC(B555)),0))</f>
        <v>210</v>
      </c>
      <c r="D555" s="52" t="s">
        <v>18</v>
      </c>
    </row>
    <row r="556" spans="1:4">
      <c r="A556" s="1" t="s">
        <v>680</v>
      </c>
      <c r="B556" s="2">
        <v>0</v>
      </c>
      <c r="C556" s="1" t="str">
        <f t="shared" si="9"/>
        <v>0</v>
      </c>
      <c r="D556" s="45" t="s">
        <v>583</v>
      </c>
    </row>
    <row r="557" spans="1:4">
      <c r="C557" s="1" t="str">
        <f t="shared" si="9"/>
        <v>145500</v>
      </c>
    </row>
    <row r="558" spans="1:4">
      <c r="A558" s="19" t="s">
        <v>681</v>
      </c>
      <c r="B558" s="40">
        <v>24</v>
      </c>
      <c r="C558" s="41" t="str">
        <f t="shared" si="9"/>
        <v>0</v>
      </c>
      <c r="D558" s="53" t="s">
        <v>43</v>
      </c>
    </row>
    <row r="559" spans="1:4">
      <c r="A559" s="24" t="s">
        <v>682</v>
      </c>
      <c r="B559" s="42">
        <v>174</v>
      </c>
      <c r="C559" s="43" t="str">
        <f t="shared" si="9"/>
        <v>180</v>
      </c>
      <c r="D559" s="55" t="s">
        <v>66</v>
      </c>
    </row>
    <row r="560" spans="1:4">
      <c r="A560" s="4" t="s">
        <v>683</v>
      </c>
      <c r="B560" s="2">
        <v>34</v>
      </c>
      <c r="C560" s="1" t="str">
        <f t="shared" si="9"/>
        <v>12</v>
      </c>
      <c r="D560" s="45" t="s">
        <v>100</v>
      </c>
    </row>
    <row r="561" spans="1:4">
      <c r="A561" s="4" t="s">
        <v>684</v>
      </c>
      <c r="B561" s="2" t="s">
        <v>286</v>
      </c>
      <c r="C561" s="1" t="str">
        <f t="shared" si="9"/>
        <v>100</v>
      </c>
      <c r="D561" s="45" t="s">
        <v>240</v>
      </c>
    </row>
    <row r="562" spans="1:4">
      <c r="A562" s="4" t="s">
        <v>685</v>
      </c>
      <c r="B562" s="2" t="s">
        <v>288</v>
      </c>
      <c r="C562" s="1" t="str">
        <f t="shared" si="9"/>
        <v>15F2</v>
      </c>
      <c r="D562" s="45" t="s">
        <v>287</v>
      </c>
    </row>
    <row r="563" spans="1:4">
      <c r="A563" s="4" t="s">
        <v>686</v>
      </c>
      <c r="B563" s="2">
        <v>628</v>
      </c>
      <c r="C563" s="1" t="str">
        <f t="shared" si="9"/>
        <v>9D8</v>
      </c>
      <c r="D563" s="45" t="s">
        <v>101</v>
      </c>
    </row>
    <row r="564" spans="1:4">
      <c r="A564" s="4" t="s">
        <v>687</v>
      </c>
      <c r="B564" s="23" t="s">
        <v>96</v>
      </c>
      <c r="C564" s="1" t="str">
        <f t="shared" si="9"/>
        <v>0</v>
      </c>
      <c r="D564" s="45" t="s">
        <v>97</v>
      </c>
    </row>
    <row r="565" spans="1:4">
      <c r="A565" s="4" t="s">
        <v>688</v>
      </c>
      <c r="B565" s="2">
        <v>10</v>
      </c>
      <c r="C565" s="1" t="str">
        <f t="shared" si="9"/>
        <v>0</v>
      </c>
      <c r="D565" s="45" t="s">
        <v>94</v>
      </c>
    </row>
    <row r="566" spans="1:4">
      <c r="A566" s="1" t="s">
        <v>689</v>
      </c>
      <c r="B566" s="2">
        <v>10</v>
      </c>
      <c r="C566" s="1" t="str">
        <f t="shared" si="9"/>
        <v>0</v>
      </c>
      <c r="D566" s="45" t="s">
        <v>95</v>
      </c>
    </row>
    <row r="567" spans="1:4">
      <c r="A567" s="1" t="s">
        <v>690</v>
      </c>
      <c r="B567" s="2">
        <v>30</v>
      </c>
      <c r="C567" s="1" t="str">
        <f t="shared" si="9"/>
        <v>0</v>
      </c>
      <c r="D567" s="45" t="s">
        <v>98</v>
      </c>
    </row>
    <row r="568" spans="1:4">
      <c r="A568" s="1" t="s">
        <v>691</v>
      </c>
      <c r="B568" s="2">
        <v>30</v>
      </c>
      <c r="C568" s="1" t="str">
        <f t="shared" si="9"/>
        <v>0</v>
      </c>
      <c r="D568" s="45" t="s">
        <v>99</v>
      </c>
    </row>
    <row r="569" spans="1:4">
      <c r="A569" s="1" t="s">
        <v>692</v>
      </c>
      <c r="B569" s="2">
        <v>18</v>
      </c>
      <c r="C569" s="1" t="str">
        <f t="shared" si="9"/>
        <v>8</v>
      </c>
      <c r="D569" s="45" t="s">
        <v>176</v>
      </c>
    </row>
    <row r="570" spans="1:4">
      <c r="A570" s="1" t="s">
        <v>693</v>
      </c>
      <c r="B570" s="2" t="s">
        <v>115</v>
      </c>
      <c r="C570" s="1" t="str">
        <f t="shared" si="9"/>
        <v>34</v>
      </c>
      <c r="D570" s="45" t="s">
        <v>116</v>
      </c>
    </row>
    <row r="571" spans="1:4">
      <c r="A571" s="1" t="s">
        <v>694</v>
      </c>
      <c r="B571" s="2">
        <v>6</v>
      </c>
      <c r="C571" s="1" t="str">
        <f t="shared" si="9"/>
        <v>1A</v>
      </c>
      <c r="D571" s="45" t="s">
        <v>126</v>
      </c>
    </row>
    <row r="572" spans="1:4">
      <c r="A572" s="1" t="s">
        <v>695</v>
      </c>
      <c r="B572" s="2">
        <v>30</v>
      </c>
      <c r="C572" s="1" t="str">
        <f t="shared" si="9"/>
        <v>0</v>
      </c>
      <c r="D572" s="45" t="s">
        <v>127</v>
      </c>
    </row>
    <row r="573" spans="1:4">
      <c r="A573" s="1" t="s">
        <v>696</v>
      </c>
      <c r="B573" s="2">
        <v>18</v>
      </c>
      <c r="C573" s="1" t="str">
        <f t="shared" si="9"/>
        <v>0</v>
      </c>
      <c r="D573" s="45" t="s">
        <v>143</v>
      </c>
    </row>
    <row r="574" spans="1:4">
      <c r="A574" s="1" t="s">
        <v>697</v>
      </c>
      <c r="B574" s="2">
        <v>10</v>
      </c>
      <c r="C574" s="1" t="str">
        <f t="shared" si="9"/>
        <v>0</v>
      </c>
    </row>
    <row r="575" spans="1:4">
      <c r="A575" s="1" t="s">
        <v>698</v>
      </c>
      <c r="B575" s="2">
        <v>30</v>
      </c>
      <c r="C575" s="1" t="str">
        <f t="shared" si="9"/>
        <v>0</v>
      </c>
      <c r="D575" s="45" t="s">
        <v>144</v>
      </c>
    </row>
    <row r="576" spans="1:4">
      <c r="A576" s="1" t="s">
        <v>699</v>
      </c>
      <c r="B576" s="2">
        <v>18</v>
      </c>
      <c r="C576" s="1" t="str">
        <f t="shared" si="9"/>
        <v>20</v>
      </c>
      <c r="D576" s="45" t="s">
        <v>149</v>
      </c>
    </row>
    <row r="577" spans="1:4">
      <c r="A577" s="1" t="s">
        <v>700</v>
      </c>
      <c r="B577" s="2">
        <v>30</v>
      </c>
      <c r="C577" s="1" t="str">
        <f t="shared" si="9"/>
        <v>0</v>
      </c>
      <c r="D577" s="45" t="s">
        <v>210</v>
      </c>
    </row>
    <row r="578" spans="1:4">
      <c r="A578" s="1" t="s">
        <v>701</v>
      </c>
      <c r="B578" s="2">
        <v>18</v>
      </c>
      <c r="C578" s="1" t="str">
        <f t="shared" si="9"/>
        <v>2B8</v>
      </c>
      <c r="D578" s="45" t="s">
        <v>227</v>
      </c>
    </row>
    <row r="579" spans="1:4">
      <c r="A579" s="1" t="s">
        <v>702</v>
      </c>
      <c r="B579" s="2">
        <v>6</v>
      </c>
      <c r="C579" s="1" t="str">
        <f t="shared" si="9"/>
        <v>332</v>
      </c>
    </row>
    <row r="580" spans="1:4">
      <c r="A580" s="4" t="s">
        <v>703</v>
      </c>
      <c r="B580" s="2">
        <v>10</v>
      </c>
      <c r="C580" s="1" t="str">
        <f t="shared" si="9"/>
        <v>0</v>
      </c>
      <c r="D580" s="45" t="s">
        <v>155</v>
      </c>
    </row>
    <row r="581" spans="1:4">
      <c r="A581" s="4" t="s">
        <v>704</v>
      </c>
      <c r="B581" s="2">
        <v>8</v>
      </c>
      <c r="C581" s="1" t="str">
        <f t="shared" si="9"/>
        <v>0</v>
      </c>
      <c r="D581" s="45" t="s">
        <v>158</v>
      </c>
    </row>
    <row r="582" spans="1:4">
      <c r="A582" s="4" t="s">
        <v>705</v>
      </c>
      <c r="B582" s="2">
        <v>10</v>
      </c>
      <c r="C582" s="1" t="str">
        <f t="shared" si="9"/>
        <v>0</v>
      </c>
      <c r="D582" s="45" t="s">
        <v>178</v>
      </c>
    </row>
    <row r="583" spans="1:4">
      <c r="A583" s="4" t="s">
        <v>706</v>
      </c>
      <c r="B583" s="2">
        <v>10</v>
      </c>
      <c r="C583" s="1" t="str">
        <f t="shared" si="9"/>
        <v>0</v>
      </c>
      <c r="D583" s="45" t="s">
        <v>156</v>
      </c>
    </row>
    <row r="584" spans="1:4">
      <c r="A584" s="4" t="s">
        <v>707</v>
      </c>
      <c r="B584" s="2">
        <v>10</v>
      </c>
      <c r="C584" s="1" t="str">
        <f t="shared" si="9"/>
        <v>80</v>
      </c>
      <c r="D584" s="45" t="s">
        <v>159</v>
      </c>
    </row>
    <row r="585" spans="1:4">
      <c r="A585" s="4" t="s">
        <v>708</v>
      </c>
      <c r="B585" s="2">
        <v>28</v>
      </c>
      <c r="C585" s="1" t="str">
        <f t="shared" si="9"/>
        <v>0</v>
      </c>
    </row>
    <row r="586" spans="1:4">
      <c r="A586" s="4" t="s">
        <v>709</v>
      </c>
      <c r="B586" s="2" t="s">
        <v>48</v>
      </c>
      <c r="C586" s="1" t="str">
        <f t="shared" si="9"/>
        <v>0</v>
      </c>
    </row>
    <row r="587" spans="1:4">
      <c r="A587" s="4" t="s">
        <v>710</v>
      </c>
      <c r="B587" s="2" t="s">
        <v>258</v>
      </c>
      <c r="C587" s="1" t="str">
        <f t="shared" ref="C587:C618" si="10">DEC2HEX(MAX(HEX2DEC(A588)-(HEX2DEC(A587)+HEX2DEC(B587)),0))</f>
        <v>2</v>
      </c>
    </row>
    <row r="588" spans="1:4">
      <c r="A588" s="4" t="s">
        <v>711</v>
      </c>
      <c r="B588" s="2">
        <v>640</v>
      </c>
      <c r="C588" s="1" t="str">
        <f t="shared" si="10"/>
        <v>0</v>
      </c>
    </row>
    <row r="589" spans="1:4">
      <c r="A589" s="4" t="s">
        <v>712</v>
      </c>
      <c r="B589" s="2">
        <v>640</v>
      </c>
      <c r="C589" s="1" t="str">
        <f t="shared" si="10"/>
        <v>80</v>
      </c>
    </row>
    <row r="590" spans="1:4">
      <c r="A590" s="4" t="s">
        <v>801</v>
      </c>
      <c r="B590" s="2">
        <v>40</v>
      </c>
      <c r="C590" s="1" t="str">
        <f t="shared" si="10"/>
        <v>0</v>
      </c>
      <c r="D590" s="45" t="s">
        <v>802</v>
      </c>
    </row>
    <row r="591" spans="1:4">
      <c r="A591" s="4"/>
      <c r="C591" s="1" t="str">
        <f t="shared" si="10"/>
        <v>0</v>
      </c>
    </row>
    <row r="592" spans="1:4">
      <c r="A592" s="4"/>
      <c r="C592" s="1" t="str">
        <f t="shared" si="10"/>
        <v>14AF30</v>
      </c>
    </row>
    <row r="593" spans="1:4">
      <c r="A593" s="4" t="s">
        <v>1004</v>
      </c>
      <c r="B593" s="2" t="s">
        <v>563</v>
      </c>
      <c r="C593" s="1" t="str">
        <f t="shared" si="10"/>
        <v>0</v>
      </c>
      <c r="D593" s="45" t="s">
        <v>1005</v>
      </c>
    </row>
    <row r="594" spans="1:4">
      <c r="A594" s="4" t="s">
        <v>937</v>
      </c>
      <c r="B594" s="2">
        <v>12</v>
      </c>
      <c r="C594" s="1" t="str">
        <f t="shared" si="10"/>
        <v>0</v>
      </c>
      <c r="D594" s="45" t="s">
        <v>938</v>
      </c>
    </row>
    <row r="595" spans="1:4">
      <c r="A595" s="4"/>
      <c r="C595" s="1" t="str">
        <f t="shared" si="10"/>
        <v>0</v>
      </c>
    </row>
    <row r="596" spans="1:4">
      <c r="A596" s="4"/>
      <c r="C596" s="1" t="str">
        <f t="shared" si="10"/>
        <v>0</v>
      </c>
    </row>
    <row r="597" spans="1:4">
      <c r="A597" s="4"/>
      <c r="C597" s="1" t="str">
        <f t="shared" si="10"/>
        <v>0</v>
      </c>
    </row>
    <row r="598" spans="1:4">
      <c r="A598" s="4"/>
      <c r="C598" s="1" t="str">
        <f t="shared" si="10"/>
        <v>0</v>
      </c>
    </row>
    <row r="599" spans="1:4">
      <c r="A599" s="4"/>
      <c r="C599" s="1" t="str">
        <f t="shared" si="10"/>
        <v>0</v>
      </c>
    </row>
    <row r="600" spans="1:4">
      <c r="A600" s="4"/>
      <c r="C600" s="1" t="str">
        <f t="shared" si="10"/>
        <v>0</v>
      </c>
    </row>
    <row r="601" spans="1:4">
      <c r="A601" s="4"/>
      <c r="C601" s="1" t="str">
        <f t="shared" si="10"/>
        <v>0</v>
      </c>
    </row>
    <row r="602" spans="1:4">
      <c r="A602" s="4"/>
      <c r="C602" s="1" t="str">
        <f t="shared" si="10"/>
        <v>0</v>
      </c>
    </row>
    <row r="603" spans="1:4">
      <c r="A603" s="4"/>
      <c r="C603" s="1" t="str">
        <f t="shared" si="10"/>
        <v>0</v>
      </c>
    </row>
    <row r="604" spans="1:4">
      <c r="A604" s="4"/>
      <c r="C604" s="1" t="str">
        <f t="shared" si="10"/>
        <v>0</v>
      </c>
    </row>
    <row r="605" spans="1:4">
      <c r="A605" s="4"/>
      <c r="C605" s="1" t="str">
        <f t="shared" si="10"/>
        <v>0</v>
      </c>
    </row>
    <row r="606" spans="1:4">
      <c r="A606" s="4"/>
      <c r="C606" s="1" t="str">
        <f t="shared" si="10"/>
        <v>0</v>
      </c>
    </row>
    <row r="607" spans="1:4">
      <c r="A607" s="4"/>
      <c r="C607" s="1" t="str">
        <f t="shared" si="10"/>
        <v>0</v>
      </c>
    </row>
    <row r="608" spans="1:4">
      <c r="A608" s="4"/>
      <c r="C608" s="1" t="str">
        <f t="shared" si="10"/>
        <v>0</v>
      </c>
    </row>
    <row r="609" spans="1:3">
      <c r="A609" s="4"/>
      <c r="C609" s="1" t="str">
        <f t="shared" si="10"/>
        <v>0</v>
      </c>
    </row>
    <row r="610" spans="1:3">
      <c r="A610" s="4"/>
      <c r="C610" s="1" t="str">
        <f t="shared" si="10"/>
        <v>0</v>
      </c>
    </row>
    <row r="611" spans="1:3">
      <c r="A611" s="4"/>
      <c r="C611" s="1" t="str">
        <f t="shared" si="10"/>
        <v>0</v>
      </c>
    </row>
    <row r="612" spans="1:3">
      <c r="A612" s="4"/>
      <c r="C612" s="1" t="str">
        <f t="shared" si="10"/>
        <v>0</v>
      </c>
    </row>
    <row r="613" spans="1:3">
      <c r="A613" s="4"/>
      <c r="C613" s="1" t="str">
        <f t="shared" si="10"/>
        <v>0</v>
      </c>
    </row>
    <row r="614" spans="1:3">
      <c r="A614" s="4"/>
      <c r="C614" s="1" t="str">
        <f t="shared" si="10"/>
        <v>0</v>
      </c>
    </row>
    <row r="615" spans="1:3">
      <c r="A615" s="4"/>
      <c r="C615" s="1" t="str">
        <f t="shared" si="10"/>
        <v>0</v>
      </c>
    </row>
    <row r="616" spans="1:3">
      <c r="A616" s="4"/>
      <c r="C616" s="1" t="str">
        <f t="shared" si="10"/>
        <v>0</v>
      </c>
    </row>
    <row r="617" spans="1:3">
      <c r="A617" s="4"/>
      <c r="C617" s="1" t="str">
        <f t="shared" si="10"/>
        <v>0</v>
      </c>
    </row>
    <row r="618" spans="1:3">
      <c r="A618" s="4"/>
      <c r="C618" s="1" t="str">
        <f t="shared" si="10"/>
        <v>0</v>
      </c>
    </row>
    <row r="619" spans="1:3">
      <c r="A619" s="4"/>
      <c r="C619" s="1" t="str">
        <f t="shared" ref="C619:C625" si="11">DEC2HEX(MAX(HEX2DEC(A620)-(HEX2DEC(A619)+HEX2DEC(B619)),0))</f>
        <v>0</v>
      </c>
    </row>
    <row r="620" spans="1:3">
      <c r="A620" s="4"/>
      <c r="C620" s="1" t="str">
        <f t="shared" si="11"/>
        <v>0</v>
      </c>
    </row>
    <row r="621" spans="1:3">
      <c r="A621" s="4"/>
      <c r="C621" s="1" t="str">
        <f t="shared" si="11"/>
        <v>0</v>
      </c>
    </row>
    <row r="622" spans="1:3">
      <c r="C622" s="1" t="str">
        <f t="shared" si="11"/>
        <v>0</v>
      </c>
    </row>
    <row r="623" spans="1:3">
      <c r="C623" s="1" t="str">
        <f t="shared" si="11"/>
        <v>0</v>
      </c>
    </row>
    <row r="624" spans="1:3">
      <c r="C624" s="1" t="str">
        <f t="shared" si="11"/>
        <v>0</v>
      </c>
    </row>
    <row r="625" spans="1:4">
      <c r="C625" s="1" t="str">
        <f t="shared" si="11"/>
        <v>0</v>
      </c>
    </row>
    <row r="629" spans="1:4">
      <c r="A629" s="1" t="s">
        <v>184</v>
      </c>
      <c r="B629" s="2">
        <v>18</v>
      </c>
      <c r="D629" s="45" t="s">
        <v>192</v>
      </c>
    </row>
    <row r="630" spans="1:4">
      <c r="A630" s="1" t="str">
        <f t="shared" ref="A630:A650" si="12">DEC2HEX(HEX2DEC(A629)+HEX2DEC(B629),8)</f>
        <v>0000BAB8</v>
      </c>
      <c r="B630" s="2">
        <v>18</v>
      </c>
      <c r="D630" s="45" t="s">
        <v>191</v>
      </c>
    </row>
    <row r="631" spans="1:4">
      <c r="A631" s="1" t="str">
        <f t="shared" si="12"/>
        <v>0000BAD0</v>
      </c>
      <c r="B631" s="2">
        <v>30</v>
      </c>
      <c r="D631" s="45" t="s">
        <v>193</v>
      </c>
    </row>
    <row r="632" spans="1:4">
      <c r="A632" s="1" t="str">
        <f t="shared" si="12"/>
        <v>0000BB00</v>
      </c>
      <c r="B632" s="2">
        <v>18</v>
      </c>
      <c r="D632" s="45" t="s">
        <v>231</v>
      </c>
    </row>
    <row r="633" spans="1:4">
      <c r="A633" s="1" t="str">
        <f t="shared" si="12"/>
        <v>0000BB18</v>
      </c>
      <c r="B633" s="2">
        <v>18</v>
      </c>
      <c r="D633" s="45" t="s">
        <v>1138</v>
      </c>
    </row>
    <row r="634" spans="1:4">
      <c r="A634" s="1" t="str">
        <f t="shared" si="12"/>
        <v>0000BB30</v>
      </c>
      <c r="B634" s="2">
        <v>18</v>
      </c>
      <c r="D634" s="45" t="s">
        <v>361</v>
      </c>
    </row>
    <row r="635" spans="1:4">
      <c r="A635" s="1" t="str">
        <f t="shared" si="12"/>
        <v>0000BB48</v>
      </c>
      <c r="B635" s="2">
        <v>18</v>
      </c>
      <c r="D635" s="45" t="s">
        <v>241</v>
      </c>
    </row>
    <row r="636" spans="1:4">
      <c r="A636" s="1" t="str">
        <f t="shared" si="12"/>
        <v>0000BB60</v>
      </c>
      <c r="B636" s="2">
        <v>30</v>
      </c>
      <c r="D636" s="45" t="s">
        <v>245</v>
      </c>
    </row>
    <row r="637" spans="1:4">
      <c r="A637" s="1" t="str">
        <f t="shared" si="12"/>
        <v>0000BB90</v>
      </c>
      <c r="B637" s="2" t="str">
        <f>DEC2HEX(18*24)</f>
        <v>1B0</v>
      </c>
      <c r="D637" s="45" t="s">
        <v>257</v>
      </c>
    </row>
    <row r="638" spans="1:4">
      <c r="A638" s="1" t="str">
        <f t="shared" si="12"/>
        <v>0000BD40</v>
      </c>
      <c r="B638" s="2">
        <v>18</v>
      </c>
      <c r="D638" s="45" t="s">
        <v>289</v>
      </c>
    </row>
    <row r="639" spans="1:4">
      <c r="A639" s="1" t="str">
        <f t="shared" si="12"/>
        <v>0000BD58</v>
      </c>
      <c r="B639" s="2">
        <v>18</v>
      </c>
      <c r="D639" s="45" t="s">
        <v>290</v>
      </c>
    </row>
    <row r="640" spans="1:4">
      <c r="A640" s="1" t="str">
        <f t="shared" si="12"/>
        <v>0000BD70</v>
      </c>
      <c r="B640" s="2">
        <v>18</v>
      </c>
      <c r="D640" s="45" t="s">
        <v>516</v>
      </c>
    </row>
    <row r="641" spans="1:4">
      <c r="A641" s="1" t="str">
        <f t="shared" si="12"/>
        <v>0000BD88</v>
      </c>
      <c r="B641" s="2">
        <v>18</v>
      </c>
      <c r="D641" s="45" t="s">
        <v>517</v>
      </c>
    </row>
    <row r="642" spans="1:4">
      <c r="A642" s="1" t="str">
        <f t="shared" si="12"/>
        <v>0000BDA0</v>
      </c>
      <c r="B642" s="2">
        <v>18</v>
      </c>
      <c r="D642" s="45" t="s">
        <v>544</v>
      </c>
    </row>
    <row r="643" spans="1:4">
      <c r="A643" s="1" t="str">
        <f t="shared" si="12"/>
        <v>0000BDB8</v>
      </c>
      <c r="B643" s="2">
        <v>2</v>
      </c>
    </row>
    <row r="644" spans="1:4">
      <c r="A644" s="1" t="str">
        <f t="shared" si="12"/>
        <v>0000BDBA</v>
      </c>
      <c r="B644" s="2">
        <v>18</v>
      </c>
      <c r="D644" s="45" t="s">
        <v>616</v>
      </c>
    </row>
    <row r="645" spans="1:4">
      <c r="A645" s="1" t="str">
        <f t="shared" si="12"/>
        <v>0000BDD2</v>
      </c>
      <c r="B645" s="2" t="s">
        <v>258</v>
      </c>
      <c r="D645" s="45" t="s">
        <v>648</v>
      </c>
    </row>
    <row r="646" spans="1:4">
      <c r="A646" s="1" t="str">
        <f t="shared" si="12"/>
        <v>0000BDDC</v>
      </c>
      <c r="B646" s="2">
        <v>18</v>
      </c>
      <c r="D646" s="45" t="s">
        <v>832</v>
      </c>
    </row>
    <row r="647" spans="1:4">
      <c r="A647" s="1" t="str">
        <f t="shared" si="12"/>
        <v>0000BDF4</v>
      </c>
      <c r="B647" s="2" t="str">
        <f>DEC2HEX(8*24)</f>
        <v>C0</v>
      </c>
      <c r="D647" s="45" t="s">
        <v>858</v>
      </c>
    </row>
    <row r="648" spans="1:4">
      <c r="A648" s="1" t="str">
        <f t="shared" si="12"/>
        <v>0000BEB4</v>
      </c>
      <c r="B648" s="2" t="s">
        <v>614</v>
      </c>
      <c r="D648" s="45" t="s">
        <v>1024</v>
      </c>
    </row>
    <row r="649" spans="1:4">
      <c r="A649" s="1" t="str">
        <f t="shared" si="12"/>
        <v>0000C07C</v>
      </c>
      <c r="B649" s="2">
        <v>18</v>
      </c>
      <c r="D649" s="45" t="s">
        <v>1025</v>
      </c>
    </row>
    <row r="650" spans="1:4" ht="31.75">
      <c r="A650" s="1" t="str">
        <f t="shared" si="12"/>
        <v>0000C094</v>
      </c>
      <c r="B650" s="2">
        <v>4</v>
      </c>
      <c r="D650" s="45" t="s">
        <v>1154</v>
      </c>
    </row>
  </sheetData>
  <sortState xmlns:xlrd2="http://schemas.microsoft.com/office/spreadsheetml/2017/richdata2" ref="A2:E144">
    <sortCondition ref="E2:E144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AA49F-D308-4AA3-9D52-9D03211736EC}">
  <dimension ref="A1:F11"/>
  <sheetViews>
    <sheetView zoomScale="85" zoomScaleNormal="85" workbookViewId="0">
      <selection activeCell="A5" sqref="A5"/>
    </sheetView>
  </sheetViews>
  <sheetFormatPr defaultColWidth="9.140625" defaultRowHeight="15.9"/>
  <cols>
    <col min="1" max="2" width="12.5703125" style="3" bestFit="1" customWidth="1"/>
    <col min="3" max="3" width="7.2109375" style="3" bestFit="1" customWidth="1"/>
    <col min="4" max="4" width="5.0703125" style="3" bestFit="1" customWidth="1"/>
    <col min="5" max="5" width="30.0703125" style="3" bestFit="1" customWidth="1"/>
    <col min="6" max="6" width="75.85546875" style="3" bestFit="1" customWidth="1"/>
    <col min="7" max="16384" width="9.140625" style="3"/>
  </cols>
  <sheetData>
    <row r="1" spans="1:6">
      <c r="A1" s="1" t="s">
        <v>33</v>
      </c>
      <c r="B1" s="1" t="s">
        <v>34</v>
      </c>
      <c r="C1" s="1" t="s">
        <v>577</v>
      </c>
      <c r="D1" s="1" t="s">
        <v>49</v>
      </c>
      <c r="E1" s="1" t="s">
        <v>1</v>
      </c>
      <c r="F1" s="1" t="s">
        <v>2</v>
      </c>
    </row>
    <row r="2" spans="1:6">
      <c r="A2" s="3" t="s">
        <v>658</v>
      </c>
      <c r="B2" s="3" t="s">
        <v>658</v>
      </c>
      <c r="D2" s="3">
        <v>20</v>
      </c>
      <c r="E2" s="1"/>
    </row>
    <row r="3" spans="1:6">
      <c r="A3" s="3" t="s">
        <v>1166</v>
      </c>
      <c r="B3" s="3" t="s">
        <v>1166</v>
      </c>
      <c r="D3" s="3" t="s">
        <v>120</v>
      </c>
    </row>
    <row r="4" spans="1:6">
      <c r="A4" s="63" t="s">
        <v>1178</v>
      </c>
      <c r="B4" s="3" t="s">
        <v>1177</v>
      </c>
      <c r="D4" s="3" t="s">
        <v>833</v>
      </c>
    </row>
    <row r="5" spans="1:6">
      <c r="A5" s="3" t="s">
        <v>1168</v>
      </c>
      <c r="B5" s="3" t="s">
        <v>1167</v>
      </c>
      <c r="D5" s="3" t="s">
        <v>236</v>
      </c>
    </row>
    <row r="6" spans="1:6">
      <c r="A6" s="63" t="s">
        <v>1179</v>
      </c>
      <c r="B6" s="63" t="s">
        <v>1180</v>
      </c>
      <c r="D6" s="3" t="s">
        <v>236</v>
      </c>
      <c r="E6" s="3" t="s">
        <v>1183</v>
      </c>
    </row>
    <row r="7" spans="1:6">
      <c r="A7" s="3" t="s">
        <v>32</v>
      </c>
      <c r="B7" s="3" t="s">
        <v>35</v>
      </c>
      <c r="E7" s="3" t="s">
        <v>31</v>
      </c>
    </row>
    <row r="8" spans="1:6">
      <c r="A8" s="3" t="s">
        <v>654</v>
      </c>
      <c r="B8" s="3" t="s">
        <v>654</v>
      </c>
      <c r="E8" s="3" t="s">
        <v>655</v>
      </c>
    </row>
    <row r="9" spans="1:6">
      <c r="A9" s="3" t="s">
        <v>36</v>
      </c>
      <c r="B9" s="3" t="s">
        <v>36</v>
      </c>
      <c r="E9" s="3" t="s">
        <v>37</v>
      </c>
      <c r="F9" s="3" t="s">
        <v>38</v>
      </c>
    </row>
    <row r="10" spans="1:6">
      <c r="A10" s="3" t="s">
        <v>1181</v>
      </c>
      <c r="B10" s="3" t="s">
        <v>1181</v>
      </c>
    </row>
    <row r="11" spans="1:6">
      <c r="A11" s="3" t="s">
        <v>1182</v>
      </c>
      <c r="B11" s="3" t="s">
        <v>1182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9C826-A217-4CFC-8108-F8E8B3EA0993}">
  <dimension ref="A1:E53"/>
  <sheetViews>
    <sheetView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6" sqref="B6"/>
    </sheetView>
  </sheetViews>
  <sheetFormatPr defaultColWidth="9.140625" defaultRowHeight="15.9"/>
  <cols>
    <col min="1" max="1" width="9.85546875" style="1" bestFit="1" customWidth="1"/>
    <col min="2" max="2" width="7.640625" style="2" bestFit="1" customWidth="1"/>
    <col min="3" max="3" width="8.5" style="1" customWidth="1"/>
    <col min="4" max="4" width="124.5" style="3" bestFit="1" customWidth="1"/>
    <col min="5" max="5" width="7.85546875" style="3" bestFit="1" customWidth="1"/>
    <col min="6" max="8" width="36.85546875" style="3" customWidth="1"/>
    <col min="9" max="16384" width="9.140625" style="3"/>
  </cols>
  <sheetData>
    <row r="1" spans="1:5">
      <c r="A1" s="1" t="s">
        <v>0</v>
      </c>
      <c r="B1" s="2" t="s">
        <v>577</v>
      </c>
      <c r="C1" s="1" t="s">
        <v>49</v>
      </c>
      <c r="D1" s="1" t="s">
        <v>1</v>
      </c>
      <c r="E1" s="1" t="s">
        <v>2</v>
      </c>
    </row>
    <row r="2" spans="1:5">
      <c r="B2" s="3"/>
      <c r="C2" s="2"/>
      <c r="E2" s="1"/>
    </row>
    <row r="3" spans="1:5">
      <c r="E3" s="1"/>
    </row>
    <row r="4" spans="1:5">
      <c r="E4" s="1"/>
    </row>
    <row r="5" spans="1:5">
      <c r="A5" s="1" t="s">
        <v>1124</v>
      </c>
      <c r="B5" s="2">
        <v>38</v>
      </c>
      <c r="C5" s="1" t="str">
        <f t="shared" ref="C5:C30" si="0">DEC2HEX(HEX2DEC(A6)-(HEX2DEC(A5)+HEX2DEC(B5)))</f>
        <v>FFFFF312C0</v>
      </c>
      <c r="D5" s="3" t="s">
        <v>1125</v>
      </c>
    </row>
    <row r="6" spans="1:5">
      <c r="C6" s="1" t="str">
        <f t="shared" si="0"/>
        <v>0</v>
      </c>
    </row>
    <row r="7" spans="1:5">
      <c r="C7" s="1" t="str">
        <f t="shared" si="0"/>
        <v>0</v>
      </c>
    </row>
    <row r="8" spans="1:5">
      <c r="C8" s="1" t="str">
        <f t="shared" si="0"/>
        <v>0</v>
      </c>
    </row>
    <row r="9" spans="1:5">
      <c r="C9" s="1" t="str">
        <f t="shared" si="0"/>
        <v>0</v>
      </c>
    </row>
    <row r="10" spans="1:5">
      <c r="C10" s="1" t="str">
        <f t="shared" si="0"/>
        <v>0</v>
      </c>
    </row>
    <row r="11" spans="1:5">
      <c r="C11" s="1" t="str">
        <f t="shared" si="0"/>
        <v>0</v>
      </c>
    </row>
    <row r="12" spans="1:5">
      <c r="C12" s="1" t="str">
        <f t="shared" si="0"/>
        <v>0</v>
      </c>
    </row>
    <row r="13" spans="1:5">
      <c r="C13" s="1" t="str">
        <f t="shared" si="0"/>
        <v>0</v>
      </c>
    </row>
    <row r="14" spans="1:5">
      <c r="C14" s="1" t="str">
        <f t="shared" si="0"/>
        <v>0</v>
      </c>
    </row>
    <row r="15" spans="1:5">
      <c r="C15" s="1" t="str">
        <f t="shared" si="0"/>
        <v>0</v>
      </c>
    </row>
    <row r="17" spans="3:3">
      <c r="C17" s="1" t="str">
        <f t="shared" si="0"/>
        <v>0</v>
      </c>
    </row>
    <row r="18" spans="3:3">
      <c r="C18" s="1" t="str">
        <f t="shared" si="0"/>
        <v>0</v>
      </c>
    </row>
    <row r="19" spans="3:3">
      <c r="C19" s="1" t="str">
        <f t="shared" si="0"/>
        <v>0</v>
      </c>
    </row>
    <row r="20" spans="3:3">
      <c r="C20" s="1" t="str">
        <f t="shared" si="0"/>
        <v>0</v>
      </c>
    </row>
    <row r="21" spans="3:3">
      <c r="C21" s="1" t="str">
        <f t="shared" si="0"/>
        <v>0</v>
      </c>
    </row>
    <row r="22" spans="3:3">
      <c r="C22" s="1" t="str">
        <f t="shared" si="0"/>
        <v>0</v>
      </c>
    </row>
    <row r="23" spans="3:3">
      <c r="C23" s="1" t="str">
        <f t="shared" si="0"/>
        <v>0</v>
      </c>
    </row>
    <row r="24" spans="3:3">
      <c r="C24" s="1" t="str">
        <f t="shared" si="0"/>
        <v>0</v>
      </c>
    </row>
    <row r="25" spans="3:3">
      <c r="C25" s="1" t="str">
        <f t="shared" si="0"/>
        <v>0</v>
      </c>
    </row>
    <row r="26" spans="3:3">
      <c r="C26" s="1" t="str">
        <f t="shared" si="0"/>
        <v>0</v>
      </c>
    </row>
    <row r="27" spans="3:3">
      <c r="C27" s="1" t="str">
        <f t="shared" si="0"/>
        <v>0</v>
      </c>
    </row>
    <row r="28" spans="3:3">
      <c r="C28" s="1" t="str">
        <f t="shared" si="0"/>
        <v>0</v>
      </c>
    </row>
    <row r="29" spans="3:3">
      <c r="C29" s="1" t="str">
        <f t="shared" si="0"/>
        <v>0</v>
      </c>
    </row>
    <row r="30" spans="3:3">
      <c r="C30" s="1" t="str">
        <f t="shared" si="0"/>
        <v>0</v>
      </c>
    </row>
    <row r="33" spans="1:3">
      <c r="C33" s="1" t="str">
        <f t="shared" ref="C33" si="1">DEC2HEX(MAX(HEX2DEC(A34)-(HEX2DEC(A33)+HEX2DEC(B33)),0))</f>
        <v>0</v>
      </c>
    </row>
    <row r="34" spans="1:3">
      <c r="A34" s="1" t="str">
        <f t="shared" ref="A34:A53" si="2">DEC2HEX(HEX2DEC(A33)+HEX2DEC(B33),8)</f>
        <v>00000000</v>
      </c>
    </row>
    <row r="35" spans="1:3">
      <c r="A35" s="1" t="str">
        <f t="shared" si="2"/>
        <v>00000000</v>
      </c>
    </row>
    <row r="36" spans="1:3">
      <c r="A36" s="1" t="str">
        <f t="shared" si="2"/>
        <v>00000000</v>
      </c>
    </row>
    <row r="37" spans="1:3">
      <c r="A37" s="1" t="str">
        <f t="shared" si="2"/>
        <v>00000000</v>
      </c>
    </row>
    <row r="38" spans="1:3">
      <c r="A38" s="1" t="str">
        <f t="shared" si="2"/>
        <v>00000000</v>
      </c>
    </row>
    <row r="39" spans="1:3">
      <c r="A39" s="1" t="str">
        <f t="shared" si="2"/>
        <v>00000000</v>
      </c>
    </row>
    <row r="40" spans="1:3">
      <c r="A40" s="1" t="str">
        <f t="shared" si="2"/>
        <v>00000000</v>
      </c>
    </row>
    <row r="41" spans="1:3">
      <c r="A41" s="1" t="str">
        <f t="shared" si="2"/>
        <v>00000000</v>
      </c>
    </row>
    <row r="42" spans="1:3">
      <c r="A42" s="1" t="str">
        <f t="shared" si="2"/>
        <v>00000000</v>
      </c>
    </row>
    <row r="43" spans="1:3">
      <c r="A43" s="1" t="str">
        <f t="shared" si="2"/>
        <v>00000000</v>
      </c>
    </row>
    <row r="44" spans="1:3">
      <c r="A44" s="1" t="str">
        <f t="shared" si="2"/>
        <v>00000000</v>
      </c>
    </row>
    <row r="45" spans="1:3">
      <c r="A45" s="1" t="str">
        <f t="shared" si="2"/>
        <v>00000000</v>
      </c>
    </row>
    <row r="46" spans="1:3">
      <c r="A46" s="1" t="str">
        <f t="shared" si="2"/>
        <v>00000000</v>
      </c>
    </row>
    <row r="47" spans="1:3">
      <c r="A47" s="1" t="str">
        <f t="shared" si="2"/>
        <v>00000000</v>
      </c>
    </row>
    <row r="48" spans="1:3">
      <c r="A48" s="1" t="str">
        <f t="shared" si="2"/>
        <v>00000000</v>
      </c>
    </row>
    <row r="49" spans="1:1">
      <c r="A49" s="1" t="str">
        <f t="shared" si="2"/>
        <v>00000000</v>
      </c>
    </row>
    <row r="50" spans="1:1">
      <c r="A50" s="1" t="str">
        <f t="shared" si="2"/>
        <v>00000000</v>
      </c>
    </row>
    <row r="51" spans="1:1">
      <c r="A51" s="1" t="str">
        <f t="shared" si="2"/>
        <v>00000000</v>
      </c>
    </row>
    <row r="52" spans="1:1">
      <c r="A52" s="1" t="str">
        <f t="shared" si="2"/>
        <v>00000000</v>
      </c>
    </row>
    <row r="53" spans="1:1">
      <c r="A53" s="1" t="str">
        <f t="shared" si="2"/>
        <v>00000000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Status.cro</vt:lpstr>
      <vt:lpstr>Bag.cro</vt:lpstr>
      <vt:lpstr>Battle.cro</vt:lpstr>
      <vt:lpstr>code.bin</vt:lpstr>
      <vt:lpstr>FieldRo.cro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Aryeh Baruch</dc:creator>
  <cp:lastModifiedBy>Andrew Baruch</cp:lastModifiedBy>
  <dcterms:created xsi:type="dcterms:W3CDTF">2025-02-16T00:20:09Z</dcterms:created>
  <dcterms:modified xsi:type="dcterms:W3CDTF">2026-06-23T20:28:21Z</dcterms:modified>
</cp:coreProperties>
</file>