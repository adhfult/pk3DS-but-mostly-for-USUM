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643E07F3-214E-43AF-A4F0-3F844C152DB5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2" l="1"/>
  <c r="C41" i="12" l="1"/>
  <c r="C43" i="12" s="1"/>
  <c r="A11" i="12" l="1"/>
  <c r="C22" i="12" l="1"/>
  <c r="C24" i="12" s="1"/>
  <c r="A12" i="12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B3" i="12"/>
  <c r="C33" i="12" l="1"/>
  <c r="A4" i="12"/>
  <c r="A5" i="12" s="1"/>
  <c r="A6" i="12" s="1"/>
  <c r="A7" i="12" s="1"/>
  <c r="C19" i="12" l="1"/>
  <c r="C15" i="12" l="1"/>
</calcChain>
</file>

<file path=xl/sharedStrings.xml><?xml version="1.0" encoding="utf-8"?>
<sst xmlns="http://schemas.openxmlformats.org/spreadsheetml/2006/main" count="90" uniqueCount="79">
  <si>
    <t>Address</t>
  </si>
  <si>
    <t>Hex</t>
  </si>
  <si>
    <t>instruction</t>
  </si>
  <si>
    <t>notes</t>
  </si>
  <si>
    <t>00000000</t>
  </si>
  <si>
    <t>001080E5</t>
  </si>
  <si>
    <t>str r1, [r0]</t>
  </si>
  <si>
    <t>00009FE5</t>
  </si>
  <si>
    <t>ldr r0, [pc]</t>
  </si>
  <si>
    <t>1EFF2FE1</t>
  </si>
  <si>
    <t>bx lr</t>
  </si>
  <si>
    <t>mov r4, r2</t>
  </si>
  <si>
    <t>mov r0, 0x3</t>
  </si>
  <si>
    <t>b 0x00082D44</t>
  </si>
  <si>
    <t>0240A0E1</t>
  </si>
  <si>
    <t>0300A0E3</t>
  </si>
  <si>
    <t>cmp r0, r4</t>
  </si>
  <si>
    <t>040050E1</t>
  </si>
  <si>
    <t>bl 0x00087B58</t>
  </si>
  <si>
    <t>Check attacker</t>
  </si>
  <si>
    <t>Call Function</t>
  </si>
  <si>
    <t>cmp r0, 0x0</t>
  </si>
  <si>
    <t>000050E3</t>
  </si>
  <si>
    <t>push {r4, lr}</t>
  </si>
  <si>
    <t>mov r0, 0x57</t>
  </si>
  <si>
    <t>mov r0, 0x3F</t>
  </si>
  <si>
    <t>10402DE9</t>
  </si>
  <si>
    <t>5700A0E3</t>
  </si>
  <si>
    <t>0210A0E3</t>
  </si>
  <si>
    <t>3F00A0E3</t>
  </si>
  <si>
    <t>1040BDE8</t>
  </si>
  <si>
    <t>1080BDE8</t>
  </si>
  <si>
    <t>000C0F64</t>
  </si>
  <si>
    <t>mov r1, 0x2</t>
  </si>
  <si>
    <t>Leave with 1 HP 0x8C</t>
  </si>
  <si>
    <t>0700001A</t>
  </si>
  <si>
    <t>0300000A</t>
  </si>
  <si>
    <t>30402DE9</t>
  </si>
  <si>
    <t>push {r4, r5, lr}</t>
  </si>
  <si>
    <t>0150A0E1</t>
  </si>
  <si>
    <t>mov r5, r1</t>
  </si>
  <si>
    <t>0200A0E3</t>
  </si>
  <si>
    <t>mov r0, 0x2</t>
  </si>
  <si>
    <t>Check self</t>
  </si>
  <si>
    <t>0800001A</t>
  </si>
  <si>
    <t>2310A0E3</t>
  </si>
  <si>
    <t>mov r1, 0x23</t>
  </si>
  <si>
    <t>move fails</t>
  </si>
  <si>
    <t>2600A0E3</t>
  </si>
  <si>
    <t>mov r0, 0x26</t>
  </si>
  <si>
    <t>3040BDE8</t>
  </si>
  <si>
    <t>3080BDE8</t>
  </si>
  <si>
    <t>get type of battle</t>
  </si>
  <si>
    <t>Fail except in Wild Battle 0x25</t>
  </si>
  <si>
    <t>00102DAC</t>
  </si>
  <si>
    <t>6513FEEB</t>
  </si>
  <si>
    <t>D5FFFDEA</t>
  </si>
  <si>
    <t>ldrb r0, [r0]</t>
  </si>
  <si>
    <t>0000D0E5</t>
  </si>
  <si>
    <t>A68</t>
  </si>
  <si>
    <t>C, 0</t>
  </si>
  <si>
    <t>Wild</t>
  </si>
  <si>
    <t>Single</t>
  </si>
  <si>
    <t>Double</t>
  </si>
  <si>
    <t>r1</t>
  </si>
  <si>
    <t>r0</t>
  </si>
  <si>
    <t>Royale</t>
  </si>
  <si>
    <t>x</t>
  </si>
  <si>
    <t>BT Single</t>
  </si>
  <si>
    <t>BT Doubles</t>
  </si>
  <si>
    <t>BT Multi</t>
  </si>
  <si>
    <t>ldr r0, [r5, 0x4]</t>
  </si>
  <si>
    <t>ldr r0, [r0, 0xC]</t>
  </si>
  <si>
    <t>040095E5</t>
  </si>
  <si>
    <t>0C0090E5</t>
  </si>
  <si>
    <t>000FEB98</t>
  </si>
  <si>
    <t>EB23FEEB</t>
  </si>
  <si>
    <t>E723FEEB</t>
  </si>
  <si>
    <t>5C10FEEA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</si>
</sst>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3" fillId="2" borderId="0" xfId="0" applyFont="1" applyFill="1"/>
    <xf numFmtId="0" fontId="2" fillId="2" borderId="0" xfId="0" quotePrefix="1" applyFont="1" applyFill="1"/>
    <xf numFmtId="0" fontId="3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49" fontId="2" fillId="0" borderId="0" xfId="0" quotePrefix="1" applyNumberFormat="1" applyFont="1"/>
    <xf numFmtId="49" fontId="2" fillId="0" borderId="0" xfId="0" applyNumberFormat="1" applyFont="1"/>
    <xf numFmtId="0" fontId="2" fillId="4" borderId="0" xfId="0" applyFont="1" applyFill="1"/>
    <xf numFmtId="0" fontId="2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H76"/>
  <sheetViews>
    <sheetView tabSelected="1" zoomScale="85" zoomScaleNormal="85" workbookViewId="0">
      <pane ySplit="1" topLeftCell="A2" activePane="bottomLeft" state="frozen"/>
      <selection pane="bottomLeft" activeCell="A3" sqref="A3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45.425781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1" t="s">
        <v>20</v>
      </c>
      <c r="B2" s="1"/>
      <c r="C2" s="1"/>
      <c r="D2" s="1"/>
    </row>
    <row r="3" spans="1:7">
      <c r="A3" s="2" t="s">
        <v>32</v>
      </c>
      <c r="B3" s="2" t="str">
        <f>_xlfn.CONCAT("0",RIGHT(C3,1),"10A0E3")</f>
        <v>0210A0E3</v>
      </c>
      <c r="C3" s="2" t="s">
        <v>33</v>
      </c>
      <c r="D3" s="1"/>
    </row>
    <row r="4" spans="1:7">
      <c r="A4" s="2" t="str">
        <f t="shared" ref="A4:A7" si="0">DEC2HEX(HEX2DEC(A3)+4,8)</f>
        <v>000C0F68</v>
      </c>
      <c r="B4" s="3" t="s">
        <v>5</v>
      </c>
      <c r="C4" s="2" t="s">
        <v>6</v>
      </c>
      <c r="D4" s="1"/>
    </row>
    <row r="5" spans="1:7">
      <c r="A5" s="2" t="str">
        <f t="shared" si="0"/>
        <v>000C0F6C</v>
      </c>
      <c r="B5" s="2" t="s">
        <v>7</v>
      </c>
      <c r="C5" s="2" t="s">
        <v>8</v>
      </c>
      <c r="D5" s="1"/>
    </row>
    <row r="6" spans="1:7">
      <c r="A6" s="2" t="str">
        <f t="shared" si="0"/>
        <v>000C0F70</v>
      </c>
      <c r="B6" s="2" t="s">
        <v>9</v>
      </c>
      <c r="C6" s="2" t="s">
        <v>10</v>
      </c>
    </row>
    <row r="7" spans="1:7">
      <c r="A7" s="2" t="str">
        <f t="shared" si="0"/>
        <v>000C0F74</v>
      </c>
      <c r="B7" s="3" t="s">
        <v>4</v>
      </c>
    </row>
    <row r="8" spans="1:7">
      <c r="B8" s="3"/>
    </row>
    <row r="9" spans="1:7">
      <c r="A9" s="1" t="s">
        <v>34</v>
      </c>
    </row>
    <row r="10" spans="1:7">
      <c r="A10" s="2" t="s">
        <v>75</v>
      </c>
      <c r="B10" s="2" t="s">
        <v>26</v>
      </c>
      <c r="C10" s="2" t="s">
        <v>23</v>
      </c>
    </row>
    <row r="11" spans="1:7">
      <c r="A11" s="2" t="str">
        <f>DEC2HEX(HEX2DEC(A10)+4,8)</f>
        <v>000FEB9C</v>
      </c>
      <c r="B11" s="3" t="s">
        <v>14</v>
      </c>
      <c r="C11" s="2" t="s">
        <v>11</v>
      </c>
    </row>
    <row r="12" spans="1:7">
      <c r="A12" s="4" t="str">
        <f t="shared" ref="A12:A24" si="1">DEC2HEX(HEX2DEC(A11)+4,8)</f>
        <v>000FEBA0</v>
      </c>
      <c r="B12" s="4" t="s">
        <v>15</v>
      </c>
      <c r="C12" s="4" t="s">
        <v>12</v>
      </c>
      <c r="D12" s="4" t="s">
        <v>19</v>
      </c>
    </row>
    <row r="13" spans="1:7">
      <c r="A13" s="4" t="str">
        <f t="shared" si="1"/>
        <v>000FEBA4</v>
      </c>
      <c r="B13" s="4" t="s">
        <v>76</v>
      </c>
      <c r="C13" s="5" t="s">
        <v>18</v>
      </c>
      <c r="D13" s="4"/>
    </row>
    <row r="14" spans="1:7">
      <c r="A14" s="4" t="str">
        <f t="shared" si="1"/>
        <v>000FEBA8</v>
      </c>
      <c r="B14" s="6" t="s">
        <v>17</v>
      </c>
      <c r="C14" s="4" t="s">
        <v>16</v>
      </c>
      <c r="D14" s="4"/>
    </row>
    <row r="15" spans="1:7">
      <c r="A15" s="4" t="str">
        <f t="shared" si="1"/>
        <v>000FEBAC</v>
      </c>
      <c r="B15" s="7" t="s">
        <v>35</v>
      </c>
      <c r="C15" s="5" t="str">
        <f>_xlfn.CONCAT("bne 0x",A$24)</f>
        <v>bne 0x000FEBD0</v>
      </c>
      <c r="D15" s="4"/>
    </row>
    <row r="16" spans="1:7">
      <c r="A16" s="8" t="str">
        <f t="shared" si="1"/>
        <v>000FEBB0</v>
      </c>
      <c r="B16" s="8" t="s">
        <v>27</v>
      </c>
      <c r="C16" s="8" t="s">
        <v>24</v>
      </c>
      <c r="D16" s="8"/>
      <c r="G16" s="2" t="s">
        <v>67</v>
      </c>
    </row>
    <row r="17" spans="1:8">
      <c r="A17" s="8" t="str">
        <f t="shared" si="1"/>
        <v>000FEBB4</v>
      </c>
      <c r="B17" s="8" t="s">
        <v>77</v>
      </c>
      <c r="C17" s="8" t="s">
        <v>18</v>
      </c>
      <c r="D17" s="8"/>
    </row>
    <row r="18" spans="1:8">
      <c r="A18" s="8" t="str">
        <f t="shared" si="1"/>
        <v>000FEBB8</v>
      </c>
      <c r="B18" s="9" t="s">
        <v>22</v>
      </c>
      <c r="C18" s="8" t="s">
        <v>21</v>
      </c>
      <c r="D18" s="8"/>
    </row>
    <row r="19" spans="1:8">
      <c r="A19" s="8" t="str">
        <f t="shared" si="1"/>
        <v>000FEBBC</v>
      </c>
      <c r="B19" s="9" t="s">
        <v>36</v>
      </c>
      <c r="C19" s="8" t="str">
        <f>_xlfn.CONCAT("beq 0x",A$24)</f>
        <v>beq 0x000FEBD0</v>
      </c>
      <c r="D19" s="8"/>
      <c r="G19" s="2" t="s">
        <v>65</v>
      </c>
      <c r="H19" s="2" t="s">
        <v>64</v>
      </c>
    </row>
    <row r="20" spans="1:8">
      <c r="A20" s="2" t="str">
        <f t="shared" si="1"/>
        <v>000FEBC0</v>
      </c>
      <c r="B20" s="3" t="s">
        <v>29</v>
      </c>
      <c r="C20" s="2" t="s">
        <v>25</v>
      </c>
      <c r="G20" s="2" t="s">
        <v>60</v>
      </c>
      <c r="H20" s="2" t="s">
        <v>59</v>
      </c>
    </row>
    <row r="21" spans="1:8">
      <c r="A21" s="2" t="str">
        <f t="shared" si="1"/>
        <v>000FEBC4</v>
      </c>
      <c r="B21" s="3" t="s">
        <v>28</v>
      </c>
      <c r="C21" s="2" t="s">
        <v>33</v>
      </c>
      <c r="F21" s="2" t="s">
        <v>61</v>
      </c>
      <c r="G21" s="2">
        <v>0</v>
      </c>
      <c r="H21" s="2">
        <v>0</v>
      </c>
    </row>
    <row r="22" spans="1:8">
      <c r="A22" s="2" t="str">
        <f t="shared" si="1"/>
        <v>000FEBC8</v>
      </c>
      <c r="B22" s="2" t="s">
        <v>30</v>
      </c>
      <c r="C22" s="2" t="str">
        <f>SUBSTITUTE(C10,"push","pop")</f>
        <v>pop {r4, lr}</v>
      </c>
      <c r="F22" s="2" t="s">
        <v>62</v>
      </c>
      <c r="G22" s="2">
        <v>1</v>
      </c>
      <c r="H22" s="2">
        <v>0</v>
      </c>
    </row>
    <row r="23" spans="1:8">
      <c r="A23" s="2" t="str">
        <f t="shared" si="1"/>
        <v>000FEBCC</v>
      </c>
      <c r="B23" s="2" t="s">
        <v>78</v>
      </c>
      <c r="C23" s="2" t="s">
        <v>13</v>
      </c>
      <c r="F23" s="2" t="s">
        <v>63</v>
      </c>
      <c r="G23" s="2">
        <v>1</v>
      </c>
      <c r="H23" s="2">
        <v>1</v>
      </c>
    </row>
    <row r="24" spans="1:8">
      <c r="A24" s="2" t="str">
        <f t="shared" si="1"/>
        <v>000FEBD0</v>
      </c>
      <c r="B24" s="2" t="s">
        <v>31</v>
      </c>
      <c r="C24" s="2" t="str">
        <f>SUBSTITUTE(C22,"lr","pc")</f>
        <v>pop {r4, pc}</v>
      </c>
      <c r="F24" s="2" t="s">
        <v>66</v>
      </c>
      <c r="G24" s="2">
        <v>2</v>
      </c>
      <c r="H24" s="2">
        <v>2</v>
      </c>
    </row>
    <row r="25" spans="1:8">
      <c r="F25" s="2" t="s">
        <v>68</v>
      </c>
      <c r="G25" s="2">
        <v>2</v>
      </c>
      <c r="H25" s="2">
        <v>0</v>
      </c>
    </row>
    <row r="26" spans="1:8">
      <c r="A26" s="1" t="s">
        <v>53</v>
      </c>
      <c r="F26" s="2" t="s">
        <v>69</v>
      </c>
      <c r="G26" s="2">
        <v>2</v>
      </c>
      <c r="H26" s="2">
        <v>1</v>
      </c>
    </row>
    <row r="27" spans="1:8">
      <c r="A27" s="2" t="s">
        <v>54</v>
      </c>
      <c r="B27" s="2" t="s">
        <v>37</v>
      </c>
      <c r="C27" s="2" t="s">
        <v>38</v>
      </c>
      <c r="F27" s="2" t="s">
        <v>70</v>
      </c>
      <c r="G27" s="2">
        <v>2</v>
      </c>
      <c r="H27" s="2">
        <v>1</v>
      </c>
    </row>
    <row r="28" spans="1:8">
      <c r="A28" s="2" t="str">
        <f t="shared" ref="A28:A43" si="2">DEC2HEX(HEX2DEC(A27)+4,8)</f>
        <v>00102DB0</v>
      </c>
      <c r="B28" s="2" t="s">
        <v>39</v>
      </c>
      <c r="C28" s="2" t="s">
        <v>40</v>
      </c>
    </row>
    <row r="29" spans="1:8">
      <c r="A29" s="2" t="str">
        <f t="shared" si="2"/>
        <v>00102DB4</v>
      </c>
      <c r="B29" s="2" t="s">
        <v>14</v>
      </c>
      <c r="C29" s="2" t="s">
        <v>11</v>
      </c>
    </row>
    <row r="30" spans="1:8">
      <c r="A30" s="12" t="str">
        <f t="shared" si="2"/>
        <v>00102DB8</v>
      </c>
      <c r="B30" s="12" t="s">
        <v>41</v>
      </c>
      <c r="C30" s="12" t="s">
        <v>42</v>
      </c>
      <c r="D30" s="12" t="s">
        <v>43</v>
      </c>
    </row>
    <row r="31" spans="1:8">
      <c r="A31" s="12" t="str">
        <f t="shared" si="2"/>
        <v>00102DBC</v>
      </c>
      <c r="B31" s="12" t="s">
        <v>55</v>
      </c>
      <c r="C31" s="12" t="s">
        <v>18</v>
      </c>
      <c r="D31" s="12"/>
    </row>
    <row r="32" spans="1:8">
      <c r="A32" s="12" t="str">
        <f t="shared" si="2"/>
        <v>00102DC0</v>
      </c>
      <c r="B32" s="13" t="s">
        <v>17</v>
      </c>
      <c r="C32" s="12" t="s">
        <v>16</v>
      </c>
      <c r="D32" s="12"/>
    </row>
    <row r="33" spans="1:4">
      <c r="A33" s="12" t="str">
        <f t="shared" si="2"/>
        <v>00102DC4</v>
      </c>
      <c r="B33" s="12" t="s">
        <v>44</v>
      </c>
      <c r="C33" s="12" t="str">
        <f>_xlfn.CONCAT("bne 0x",A43)</f>
        <v>bne 0x00102DEC</v>
      </c>
      <c r="D33" s="12"/>
    </row>
    <row r="34" spans="1:4">
      <c r="A34" s="2" t="str">
        <f t="shared" si="2"/>
        <v>00102DC8</v>
      </c>
      <c r="B34" s="3" t="s">
        <v>73</v>
      </c>
      <c r="C34" s="2" t="s">
        <v>71</v>
      </c>
      <c r="D34" s="2" t="s">
        <v>52</v>
      </c>
    </row>
    <row r="35" spans="1:4">
      <c r="A35" s="2" t="str">
        <f t="shared" si="2"/>
        <v>00102DCC</v>
      </c>
      <c r="B35" s="2" t="s">
        <v>74</v>
      </c>
      <c r="C35" s="2" t="s">
        <v>72</v>
      </c>
    </row>
    <row r="36" spans="1:4">
      <c r="A36" s="2" t="str">
        <f t="shared" si="2"/>
        <v>00102DD0</v>
      </c>
      <c r="B36" s="3" t="s">
        <v>58</v>
      </c>
      <c r="C36" s="2" t="s">
        <v>57</v>
      </c>
    </row>
    <row r="37" spans="1:4">
      <c r="A37" s="2" t="str">
        <f t="shared" si="2"/>
        <v>00102DD4</v>
      </c>
      <c r="B37" s="3" t="s">
        <v>22</v>
      </c>
      <c r="C37" s="2" t="s">
        <v>21</v>
      </c>
    </row>
    <row r="38" spans="1:4">
      <c r="A38" s="2" t="str">
        <f t="shared" si="2"/>
        <v>00102DD8</v>
      </c>
      <c r="B38" s="3" t="s">
        <v>36</v>
      </c>
      <c r="C38" s="2" t="str">
        <f>_xlfn.CONCAT("beq 0x",A43)</f>
        <v>beq 0x00102DEC</v>
      </c>
    </row>
    <row r="39" spans="1:4">
      <c r="A39" s="2" t="str">
        <f t="shared" si="2"/>
        <v>00102DDC</v>
      </c>
      <c r="B39" s="2" t="s">
        <v>45</v>
      </c>
      <c r="C39" s="2" t="s">
        <v>46</v>
      </c>
      <c r="D39" s="2" t="s">
        <v>47</v>
      </c>
    </row>
    <row r="40" spans="1:4">
      <c r="A40" s="2" t="str">
        <f t="shared" si="2"/>
        <v>00102DE0</v>
      </c>
      <c r="B40" s="2" t="s">
        <v>48</v>
      </c>
      <c r="C40" s="2" t="s">
        <v>49</v>
      </c>
    </row>
    <row r="41" spans="1:4">
      <c r="A41" s="2" t="str">
        <f t="shared" si="2"/>
        <v>00102DE4</v>
      </c>
      <c r="B41" s="2" t="s">
        <v>50</v>
      </c>
      <c r="C41" s="2" t="str">
        <f>SUBSTITUTE(C27,"push","pop")</f>
        <v>pop {r4, r5, lr}</v>
      </c>
    </row>
    <row r="42" spans="1:4">
      <c r="A42" s="2" t="str">
        <f t="shared" si="2"/>
        <v>00102DE8</v>
      </c>
      <c r="B42" s="2" t="s">
        <v>56</v>
      </c>
      <c r="C42" s="2" t="s">
        <v>13</v>
      </c>
    </row>
    <row r="43" spans="1:4">
      <c r="A43" s="2" t="str">
        <f t="shared" si="2"/>
        <v>00102DEC</v>
      </c>
      <c r="B43" s="2" t="s">
        <v>51</v>
      </c>
      <c r="C43" s="2" t="str">
        <f>SUBSTITUTE(C41,"lr","pc")</f>
        <v>pop {r4, r5, pc}</v>
      </c>
    </row>
    <row r="44" spans="1:4">
      <c r="B44" s="3"/>
    </row>
    <row r="45" spans="1:4">
      <c r="B45" s="3"/>
    </row>
    <row r="46" spans="1:4">
      <c r="B46" s="10"/>
    </row>
    <row r="47" spans="1:4">
      <c r="B47" s="10"/>
    </row>
    <row r="48" spans="1:4">
      <c r="B48" s="10"/>
    </row>
    <row r="49" spans="2:2">
      <c r="B49" s="10"/>
    </row>
    <row r="50" spans="2:2">
      <c r="B50" s="10"/>
    </row>
    <row r="51" spans="2:2">
      <c r="B51" s="11"/>
    </row>
    <row r="52" spans="2:2">
      <c r="B52" s="11"/>
    </row>
    <row r="53" spans="2:2">
      <c r="B53" s="11"/>
    </row>
    <row r="54" spans="2:2">
      <c r="B54" s="11"/>
    </row>
    <row r="55" spans="2:2">
      <c r="B55" s="10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11"/>
    </row>
    <row r="67" spans="2:2">
      <c r="B67" s="11"/>
    </row>
    <row r="68" spans="2:2">
      <c r="B68" s="10"/>
    </row>
    <row r="69" spans="2:2">
      <c r="B69" s="11"/>
    </row>
    <row r="70" spans="2:2">
      <c r="B70" s="11"/>
    </row>
    <row r="71" spans="2:2">
      <c r="B71" s="10"/>
    </row>
    <row r="72" spans="2:2">
      <c r="B72" s="10"/>
    </row>
    <row r="73" spans="2:2">
      <c r="B73" s="10"/>
    </row>
    <row r="74" spans="2:2">
      <c r="B74" s="11"/>
    </row>
    <row r="75" spans="2:2">
      <c r="B75" s="11"/>
    </row>
    <row r="76" spans="2:2">
      <c r="B76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2026-06-05T19:20:32Z</dcterms:modified>
</cp:coreProperties>
</file>