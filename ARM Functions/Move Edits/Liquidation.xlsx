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0C31308F-B4FF-442E-BC50-F708C13B6BA4}" xr6:coauthVersionLast="47" xr6:coauthVersionMax="47" xr10:uidLastSave="{00000000-0000-0000-0000-000000000000}"/>
  <bookViews>
    <workbookView xWindow="16457" yWindow="0" windowWidth="16457" windowHeight="17914" xr2:uid="{FFF8744C-F0B4-428F-8CA7-718350CADE02}"/>
  </bookViews>
  <sheets>
    <sheet name="Main" sheetId="6" r:id="rId1"/>
    <sheet name="Sheet1" sheetId="12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6" l="1"/>
  <c r="C52" i="6" s="1"/>
  <c r="B3" i="6"/>
  <c r="C5" i="12"/>
  <c r="D5" i="12"/>
  <c r="D4" i="12"/>
  <c r="C4" i="12"/>
  <c r="B3" i="12"/>
  <c r="C3" i="12" s="1"/>
  <c r="D3" i="12" s="1"/>
  <c r="C1" i="12"/>
  <c r="D1" i="12" s="1"/>
  <c r="B2" i="12"/>
  <c r="C2" i="12" s="1"/>
  <c r="B1" i="12"/>
  <c r="D2" i="12" l="1"/>
  <c r="A4" i="6" l="1"/>
  <c r="A5" i="6" s="1"/>
  <c r="A6" i="6" s="1"/>
  <c r="A7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C16" i="6" l="1"/>
</calcChain>
</file>

<file path=xl/sharedStrings.xml><?xml version="1.0" encoding="utf-8"?>
<sst xmlns="http://schemas.openxmlformats.org/spreadsheetml/2006/main" count="944" uniqueCount="907">
  <si>
    <t>Address</t>
  </si>
  <si>
    <t>Hex</t>
  </si>
  <si>
    <t>instruction</t>
  </si>
  <si>
    <t>notes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</si>
  <si>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</si>
  <si>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</si>
  <si>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</si>
  <si>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</si>
  <si>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</si>
  <si>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</si>
  <si>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</si>
  <si>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</si>
  <si>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</si>
  <si>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</si>
  <si>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</si>
  <si>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</si>
  <si>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</si>
  <si>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</si>
  <si>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</si>
  <si>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</si>
  <si>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</si>
  <si>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</si>
  <si>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</si>
  <si>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</si>
  <si>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</si>
  <si>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</si>
  <si>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</si>
  <si>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</si>
  <si>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</si>
  <si>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</si>
  <si>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</si>
  <si>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</si>
  <si>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</si>
  <si>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</si>
  <si>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</si>
  <si>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</si>
  <si>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</si>
  <si>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</si>
  <si>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</si>
  <si>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</si>
  <si>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</si>
  <si>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</si>
  <si>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</si>
  <si>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</si>
  <si>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</si>
  <si>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</si>
  <si>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</si>
  <si>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</si>
  <si>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</si>
  <si>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</si>
  <si>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</si>
  <si>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</si>
  <si>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</si>
  <si>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</si>
  <si>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</si>
  <si>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</si>
  <si>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</si>
  <si>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</si>
  <si>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</si>
  <si>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</si>
  <si>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</si>
  <si>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</si>
  <si>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</si>
  <si>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</si>
  <si>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</si>
  <si>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</si>
  <si>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</si>
  <si>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</si>
  <si>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</si>
  <si>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</si>
  <si>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</si>
  <si>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</si>
  <si>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</si>
  <si>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</si>
  <si>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</si>
  <si>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</si>
  <si>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</si>
  <si>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</si>
  <si>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</si>
  <si>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</si>
  <si>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</si>
  <si>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</si>
  <si>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</si>
  <si>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</si>
  <si>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</si>
  <si>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</si>
  <si>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</si>
  <si>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</si>
  <si>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</si>
  <si>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</si>
  <si>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</si>
  <si>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</si>
  <si>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</si>
  <si>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</si>
  <si>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</si>
  <si>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</si>
  <si>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</si>
  <si>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</si>
  <si>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</si>
  <si>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</si>
  <si>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</si>
  <si>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</si>
  <si>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</si>
  <si>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</si>
  <si>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</si>
  <si>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</si>
  <si>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</si>
  <si>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</si>
  <si>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</si>
  <si>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</si>
  <si>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</si>
  <si>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</si>
  <si>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</si>
  <si>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</si>
  <si>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</si>
  <si>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</si>
  <si>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</si>
  <si>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</si>
  <si>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</si>
  <si>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</si>
  <si>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</si>
  <si>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</si>
  <si>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</si>
  <si>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</si>
  <si>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</si>
  <si>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</si>
  <si>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</si>
  <si>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</si>
  <si>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</si>
  <si>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</si>
  <si>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</si>
  <si>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</si>
  <si>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</si>
  <si>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</si>
  <si>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</si>
  <si>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</si>
  <si>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</si>
  <si>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</si>
  <si>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</si>
  <si>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</si>
  <si>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</si>
  <si>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</si>
  <si>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</si>
  <si>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</si>
  <si>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</si>
  <si>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</si>
  <si>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</si>
  <si>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</si>
  <si>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</si>
  <si>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</si>
  <si>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</si>
  <si>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</si>
  <si>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</si>
  <si>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</si>
  <si>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</si>
  <si>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</si>
  <si>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</si>
  <si>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</si>
  <si>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</si>
  <si>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</si>
  <si>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</si>
  <si>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</si>
  <si>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</si>
  <si>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</si>
  <si>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</si>
  <si>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</si>
  <si>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</si>
  <si>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</si>
  <si>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</si>
  <si>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</si>
  <si>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</si>
  <si>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</si>
  <si>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</si>
  <si>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</si>
  <si>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</si>
  <si>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</si>
  <si>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</si>
  <si>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</si>
  <si>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</si>
  <si>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</si>
  <si>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</si>
  <si>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</si>
  <si>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</si>
  <si>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</si>
  <si>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</si>
  <si>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</si>
  <si>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</si>
  <si>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</si>
  <si>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</si>
  <si>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</si>
  <si>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</si>
  <si>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</si>
  <si>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</si>
  <si>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</si>
  <si>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</si>
  <si>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</si>
  <si>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</si>
  <si>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</si>
  <si>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</si>
  <si>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</si>
  <si>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</si>
  <si>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</si>
  <si>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</si>
  <si>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</si>
  <si>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</si>
  <si>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</si>
  <si>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</si>
  <si>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</si>
  <si>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</si>
  <si>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</si>
  <si>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</si>
  <si>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</si>
  <si>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</si>
  <si>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</si>
  <si>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</si>
  <si>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</si>
  <si>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</si>
  <si>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</si>
  <si>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</si>
  <si>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</si>
  <si>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</si>
  <si>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</si>
  <si>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</si>
  <si>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</si>
  <si>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</si>
  <si>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</si>
  <si>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</si>
  <si>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</si>
  <si>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</si>
  <si>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</si>
  <si>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</si>
  <si>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</si>
  <si>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</si>
  <si>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</si>
  <si>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</si>
  <si>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</si>
  <si>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</si>
  <si>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</si>
  <si>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</si>
  <si>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</si>
  <si>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</si>
  <si>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</si>
  <si>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</si>
  <si>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</si>
  <si>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</si>
  <si>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</si>
  <si>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</si>
  <si>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</si>
  <si>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</si>
  <si>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</si>
  <si>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</si>
  <si>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</si>
  <si>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</si>
  <si>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</si>
  <si>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</si>
  <si>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</si>
  <si>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</si>
  <si>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</si>
  <si>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</si>
  <si>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</si>
  <si>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</si>
  <si>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</si>
  <si>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</si>
  <si>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</si>
  <si>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</si>
  <si>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</si>
  <si>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</si>
  <si>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</si>
  <si>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</si>
  <si>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</si>
  <si>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</si>
  <si>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</si>
  <si>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</si>
  <si>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</si>
  <si>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</si>
  <si>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</si>
  <si>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</si>
  <si>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</si>
  <si>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</si>
  <si>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</si>
  <si>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</si>
  <si>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</si>
  <si>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</si>
  <si>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</si>
  <si>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</si>
  <si>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</si>
  <si>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</si>
  <si>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</si>
  <si>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</si>
  <si>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</si>
  <si>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</si>
  <si>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</si>
  <si>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</si>
  <si>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</si>
  <si>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</si>
  <si>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</si>
  <si>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</si>
  <si>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</si>
  <si>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</si>
  <si>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</si>
  <si>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</si>
  <si>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</si>
  <si>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</si>
  <si>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</si>
  <si>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</si>
  <si>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</si>
  <si>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</si>
  <si>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</si>
  <si>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</si>
  <si>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</si>
  <si>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</si>
  <si>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</si>
  <si>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</si>
  <si>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</si>
  <si>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</si>
  <si>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</si>
  <si>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</si>
  <si>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</si>
  <si>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</si>
  <si>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</si>
  <si>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</si>
  <si>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</si>
  <si>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</si>
  <si>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</si>
  <si>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</si>
  <si>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</si>
  <si>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</si>
  <si>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</si>
  <si>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</si>
  <si>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</si>
  <si>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</si>
  <si>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</si>
  <si>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</si>
  <si>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</si>
  <si>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</si>
  <si>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</si>
  <si>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</si>
  <si>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</si>
  <si>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</si>
  <si>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</si>
  <si>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</si>
  <si>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</si>
  <si>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</si>
  <si>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</si>
  <si>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</si>
  <si>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</si>
  <si>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</si>
  <si>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</si>
  <si>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</si>
  <si>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</si>
  <si>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</si>
  <si>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</si>
  <si>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</si>
  <si>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</si>
  <si>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</si>
  <si>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</si>
  <si>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</si>
  <si>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</si>
  <si>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</si>
  <si>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</si>
  <si>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</si>
  <si>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</si>
  <si>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</si>
  <si>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</si>
  <si>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</si>
  <si>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</si>
  <si>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</si>
  <si>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</si>
  <si>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</si>
  <si>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</si>
  <si>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</si>
  <si>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</si>
  <si>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</si>
  <si>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</si>
  <si>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</si>
  <si>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</si>
  <si>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</si>
  <si>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</si>
  <si>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</si>
  <si>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</si>
  <si>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</si>
  <si>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</si>
  <si>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</si>
  <si>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</si>
  <si>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</si>
  <si>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</si>
  <si>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</si>
  <si>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</si>
  <si>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</si>
  <si>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</si>
  <si>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</si>
  <si>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</si>
  <si>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</si>
  <si>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</si>
  <si>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</si>
  <si>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</si>
  <si>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</si>
  <si>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</si>
  <si>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</si>
  <si>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</si>
  <si>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</si>
  <si>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</si>
  <si>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</si>
  <si>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</si>
  <si>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</si>
  <si>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</si>
  <si>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</si>
  <si>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</si>
  <si>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</si>
  <si>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</si>
  <si>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</si>
  <si>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</si>
  <si>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</si>
  <si>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</si>
  <si>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</si>
  <si>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</si>
  <si>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</si>
  <si>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</si>
  <si>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</si>
  <si>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</si>
  <si>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</si>
  <si>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</si>
  <si>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</si>
  <si>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</si>
  <si>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</si>
  <si>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</si>
  <si>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</si>
  <si>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</si>
  <si>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</si>
  <si>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</si>
  <si>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</si>
  <si>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</si>
  <si>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</si>
  <si>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</si>
  <si>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</si>
  <si>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</si>
  <si>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</si>
  <si>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</si>
  <si>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</si>
  <si>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</si>
  <si>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</si>
  <si>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</si>
  <si>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</si>
  <si>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</si>
  <si>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</si>
  <si>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</si>
  <si>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</si>
  <si>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</si>
  <si>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</si>
  <si>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</si>
  <si>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</si>
  <si>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</si>
  <si>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</si>
  <si>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</si>
  <si>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</si>
  <si>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</si>
  <si>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</si>
  <si>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</si>
  <si>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</si>
  <si>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</si>
  <si>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</si>
  <si>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</si>
  <si>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</si>
  <si>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</si>
  <si>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</si>
  <si>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</si>
  <si>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</si>
  <si>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</si>
  <si>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</si>
  <si>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</si>
  <si>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</si>
  <si>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</si>
  <si>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</si>
  <si>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</si>
  <si>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</si>
  <si>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</si>
  <si>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</si>
  <si>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</si>
  <si>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</si>
  <si>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</si>
  <si>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</si>
  <si>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</si>
  <si>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</si>
  <si>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</si>
  <si>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</si>
  <si>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</si>
  <si>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</si>
  <si>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</si>
  <si>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</si>
  <si>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</si>
  <si>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</si>
  <si>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</si>
  <si>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</si>
  <si>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</si>
  <si>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</si>
  <si>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</si>
  <si>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</si>
  <si>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</si>
  <si>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</si>
  <si>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</si>
  <si>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</si>
  <si>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</si>
  <si>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</si>
  <si>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</si>
  <si>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</si>
  <si>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</si>
  <si>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</si>
  <si>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</si>
  <si>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</si>
  <si>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</si>
  <si>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</si>
  <si>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</si>
  <si>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</si>
  <si>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</si>
  <si>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</si>
  <si>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</si>
  <si>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</si>
  <si>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</si>
  <si>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</si>
  <si>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</si>
  <si>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</si>
  <si>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</si>
  <si>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</si>
  <si>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</si>
  <si>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</si>
  <si>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</si>
  <si>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</si>
  <si>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</si>
  <si>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</si>
  <si>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</si>
  <si>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</si>
  <si>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</si>
  <si>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</si>
  <si>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</si>
  <si>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</si>
  <si>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</si>
  <si>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</si>
  <si>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</si>
  <si>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</si>
  <si>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</si>
  <si>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</si>
  <si>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</si>
  <si>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</si>
  <si>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</si>
  <si>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</si>
  <si>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</si>
  <si>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</si>
  <si>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</si>
  <si>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</si>
  <si>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</si>
  <si>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</si>
  <si>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</si>
  <si>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</si>
  <si>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</si>
  <si>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</si>
  <si>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</si>
  <si>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</si>
  <si>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</si>
  <si>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</si>
  <si>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</si>
  <si>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</si>
  <si>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</si>
  <si>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</si>
  <si>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</si>
  <si>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</si>
  <si>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</si>
  <si>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</si>
  <si>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</si>
  <si>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</si>
  <si>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</si>
  <si>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</si>
  <si>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</si>
  <si>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</si>
  <si>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</si>
  <si>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</si>
  <si>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</si>
  <si>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</si>
  <si>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</si>
  <si>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</si>
  <si>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</si>
  <si>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</si>
  <si>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</si>
  <si>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</si>
  <si>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</si>
  <si>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</si>
  <si>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</si>
  <si>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</si>
  <si>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</si>
  <si>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</si>
  <si>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</si>
  <si>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</si>
  <si>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</si>
  <si>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</si>
  <si>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</si>
  <si>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</si>
  <si>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</si>
  <si>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</si>
  <si>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</si>
  <si>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</si>
  <si>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</si>
  <si>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</si>
  <si>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</si>
  <si>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</si>
  <si>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</si>
  <si>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</si>
  <si>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</si>
  <si>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</si>
  <si>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</si>
  <si>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</si>
  <si>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</si>
  <si>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</si>
  <si>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</si>
  <si>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</si>
  <si>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</si>
  <si>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</si>
  <si>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</si>
  <si>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</si>
  <si>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</si>
  <si>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</si>
  <si>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</si>
  <si>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</si>
  <si>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</si>
  <si>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</si>
  <si>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</si>
  <si>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</si>
  <si>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</si>
  <si>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</si>
  <si>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</si>
  <si>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</si>
  <si>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</si>
  <si>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</si>
  <si>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</si>
  <si>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</si>
  <si>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</si>
  <si>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</si>
  <si>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</si>
  <si>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</si>
  <si>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</si>
  <si>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</si>
  <si>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</si>
  <si>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</si>
  <si>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</si>
  <si>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</si>
  <si>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</si>
  <si>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</si>
  <si>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</si>
  <si>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</si>
  <si>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</si>
  <si>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</si>
  <si>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</si>
  <si>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</si>
  <si>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</si>
  <si>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</si>
  <si>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</si>
  <si>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</si>
  <si>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</si>
  <si>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</si>
  <si>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</si>
  <si>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</si>
  <si>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</si>
  <si>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</si>
  <si>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</si>
  <si>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</si>
  <si>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</si>
  <si>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</si>
  <si>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</si>
  <si>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</si>
  <si>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</si>
  <si>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</si>
  <si>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</si>
  <si>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</si>
  <si>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</si>
  <si>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</si>
  <si>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</si>
  <si>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</si>
  <si>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</si>
  <si>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</si>
  <si>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</si>
  <si>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</si>
  <si>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</si>
  <si>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</si>
  <si>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</si>
  <si>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</si>
  <si>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</si>
  <si>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</si>
  <si>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</si>
  <si>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</si>
  <si>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</si>
  <si>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</si>
  <si>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</si>
  <si>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</si>
  <si>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</si>
  <si>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</si>
  <si>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</si>
  <si>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</si>
  <si>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</si>
  <si>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</si>
  <si>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</si>
  <si>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</si>
  <si>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</si>
  <si>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</si>
  <si>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</si>
  <si>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</si>
  <si>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</si>
  <si>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</si>
  <si>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</si>
  <si>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</si>
  <si>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</si>
  <si>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</si>
  <si>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</si>
  <si>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</si>
  <si>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</si>
  <si>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</si>
  <si>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</si>
  <si>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</si>
  <si>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</si>
  <si>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</si>
  <si>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</si>
  <si>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</si>
  <si>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</si>
  <si>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</si>
  <si>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</si>
  <si>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</si>
  <si>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</si>
  <si>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</si>
  <si>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</si>
  <si>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</si>
  <si>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</si>
  <si>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</si>
  <si>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</si>
  <si>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</si>
  <si>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</si>
  <si>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</si>
  <si>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</si>
  <si>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</si>
  <si>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</si>
  <si>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</si>
  <si>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</si>
  <si>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</si>
  <si>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</si>
  <si>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</si>
  <si>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</si>
  <si>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</si>
  <si>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</si>
  <si>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</si>
  <si>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</si>
  <si>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</si>
  <si>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</si>
  <si>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</si>
  <si>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</si>
  <si>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</si>
  <si>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</si>
  <si>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</si>
  <si>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</si>
  <si>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</si>
  <si>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</si>
  <si>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</si>
  <si>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</si>
  <si>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</si>
  <si>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</si>
  <si>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</si>
  <si>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</si>
  <si>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</si>
  <si>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</si>
  <si>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</si>
  <si>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</si>
  <si>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</si>
  <si>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</si>
  <si>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</si>
  <si>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</si>
  <si>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</si>
  <si>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</si>
  <si>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</si>
  <si>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</si>
  <si>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</si>
  <si>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</si>
  <si>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</si>
  <si>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</si>
  <si>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</si>
  <si>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</si>
  <si>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</si>
  <si>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</si>
  <si>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</si>
  <si>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</si>
  <si>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</si>
  <si>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</si>
  <si>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</si>
  <si>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</si>
  <si>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</si>
  <si>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</si>
  <si>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</si>
  <si>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</si>
  <si>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</si>
  <si>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</si>
  <si>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</si>
  <si>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</si>
  <si>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</si>
  <si>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</si>
  <si>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</si>
  <si>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</si>
  <si>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</si>
  <si>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</si>
  <si>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</si>
  <si>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</si>
  <si>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</si>
  <si>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</si>
  <si>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</si>
  <si>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</si>
  <si>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</si>
  <si>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</si>
  <si>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</si>
  <si>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</si>
  <si>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</si>
  <si>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</si>
  <si>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</si>
  <si>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</si>
  <si>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</si>
  <si>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</si>
  <si>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</si>
  <si>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</si>
  <si>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</si>
  <si>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</si>
  <si>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</si>
  <si>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</si>
  <si>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</si>
  <si>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</si>
  <si>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</si>
  <si>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</si>
  <si>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</si>
  <si>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</si>
  <si>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</si>
  <si>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</si>
  <si>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</si>
  <si>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</si>
  <si>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</si>
  <si>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</si>
  <si>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</si>
  <si>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</si>
  <si>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r4, r2</t>
  </si>
  <si>
    <t>mov r0, 0x3</t>
  </si>
  <si>
    <t>0240A0E1</t>
  </si>
  <si>
    <t>0300A0E3</t>
  </si>
  <si>
    <t>bl 0x00087B58</t>
  </si>
  <si>
    <t>mov r5, r1</t>
  </si>
  <si>
    <t>mov r0, r5</t>
  </si>
  <si>
    <t>Check self attacker</t>
  </si>
  <si>
    <t>mov r2, r4</t>
  </si>
  <si>
    <t>mov r1, 0xD</t>
  </si>
  <si>
    <t>mov r1, r0</t>
  </si>
  <si>
    <t>bl 0x000876F8</t>
  </si>
  <si>
    <t>b 0x0007CCF4</t>
  </si>
  <si>
    <t>0150A0E1</t>
  </si>
  <si>
    <t>0420A0E1</t>
  </si>
  <si>
    <t>0D10A0E3</t>
  </si>
  <si>
    <t>0500A0E1</t>
  </si>
  <si>
    <t>0010A0E1</t>
  </si>
  <si>
    <t>0C40C1E5</t>
  </si>
  <si>
    <t>cmp r0, r4</t>
  </si>
  <si>
    <t>040050E1</t>
  </si>
  <si>
    <t>strb r4, [r1, 0xC]</t>
  </si>
  <si>
    <t>write size of boost</t>
  </si>
  <si>
    <t>Write stat to boost</t>
  </si>
  <si>
    <t>write number of times to apply boost</t>
  </si>
  <si>
    <t>007da608</t>
  </si>
  <si>
    <t>007da21c</t>
  </si>
  <si>
    <t>007da7bc</t>
  </si>
  <si>
    <t>write index of self</t>
  </si>
  <si>
    <t>Liquidation Call Function</t>
  </si>
  <si>
    <t>mov r1, 0x1</t>
  </si>
  <si>
    <t>Lower own Defense and Special Defense 0x9E</t>
  </si>
  <si>
    <t>Stat to boost (Defense)</t>
  </si>
  <si>
    <t>Size of boost (-1)</t>
  </si>
  <si>
    <t>ldrb r0, [r0, 0x12]</t>
  </si>
  <si>
    <t>mov r7, 0x2</t>
  </si>
  <si>
    <t>strb r7, [r1, 0x4]</t>
  </si>
  <si>
    <t>strb r8, [r1, 0x11]</t>
  </si>
  <si>
    <t>mov r6, 0x1</t>
  </si>
  <si>
    <t>strb r6, [r1, 0x10]</t>
  </si>
  <si>
    <t>orr r0, r0, 0x6</t>
  </si>
  <si>
    <t>strb r0, [r1, 0x12]</t>
  </si>
  <si>
    <t>bl 0x0007CCF4</t>
  </si>
  <si>
    <t>Defense</t>
  </si>
  <si>
    <t>Sp. Defense</t>
  </si>
  <si>
    <t>mov r7, 0x4</t>
  </si>
  <si>
    <t>push {r4, r5, r6, r7, r8, lr}</t>
  </si>
  <si>
    <t>mvn r8, 0x0</t>
  </si>
  <si>
    <t>F0412DE9</t>
  </si>
  <si>
    <t>2200001A</t>
  </si>
  <si>
    <t>1200D0E5</t>
  </si>
  <si>
    <t>0270A0E3</t>
  </si>
  <si>
    <t>0080E0E3</t>
  </si>
  <si>
    <t>0160A0E3</t>
  </si>
  <si>
    <t>0470C1E5</t>
  </si>
  <si>
    <t>1180C1E5</t>
  </si>
  <si>
    <t>1060C1E5</t>
  </si>
  <si>
    <t>060080E3</t>
  </si>
  <si>
    <t>1200C1E5</t>
  </si>
  <si>
    <t>0470A0E3</t>
  </si>
  <si>
    <t>F041BDE8</t>
  </si>
  <si>
    <t>F081BDE8</t>
  </si>
  <si>
    <t>000FEC74</t>
  </si>
  <si>
    <t>001033FC</t>
  </si>
  <si>
    <t>D111FEEB</t>
  </si>
  <si>
    <t>B310FEEB</t>
  </si>
  <si>
    <t>25E6FDEB</t>
  </si>
  <si>
    <t>A210FEEB</t>
  </si>
  <si>
    <t>13E6FDEA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</si>
</sst>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1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3" fillId="3" borderId="0" xfId="0" applyFont="1" applyFill="1"/>
    <xf numFmtId="49" fontId="3" fillId="3" borderId="0" xfId="0" applyNumberFormat="1" applyFont="1" applyFill="1" applyAlignment="1">
      <alignment horizontal="left"/>
    </xf>
    <xf numFmtId="0" fontId="4" fillId="3" borderId="0" xfId="0" applyFont="1" applyFill="1"/>
    <xf numFmtId="49" fontId="3" fillId="3" borderId="0" xfId="0" quotePrefix="1" applyNumberFormat="1" applyFont="1" applyFill="1" applyAlignment="1">
      <alignment horizontal="left"/>
    </xf>
    <xf numFmtId="49" fontId="4" fillId="3" borderId="0" xfId="0" quotePrefix="1" applyNumberFormat="1" applyFont="1" applyFill="1" applyAlignment="1">
      <alignment horizontal="left"/>
    </xf>
    <xf numFmtId="0" fontId="3" fillId="2" borderId="0" xfId="0" applyFont="1" applyFill="1"/>
    <xf numFmtId="49" fontId="3" fillId="2" borderId="0" xfId="0" quotePrefix="1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63"/>
  <sheetViews>
    <sheetView tabSelected="1" zoomScaleNormal="100" workbookViewId="0">
      <pane ySplit="1" topLeftCell="A3" activePane="bottomLeft" state="frozen"/>
      <selection pane="bottomLeft" activeCell="B10" sqref="B10:B52"/>
    </sheetView>
  </sheetViews>
  <sheetFormatPr defaultRowHeight="15.9"/>
  <cols>
    <col min="1" max="1" width="9.35546875" style="4" bestFit="1" customWidth="1"/>
    <col min="2" max="2" width="9.35546875" style="8" bestFit="1" customWidth="1"/>
    <col min="3" max="3" width="42.0703125" style="4" bestFit="1" customWidth="1"/>
    <col min="4" max="4" width="39.85546875" style="4" bestFit="1" customWidth="1"/>
    <col min="5" max="5" width="3.640625" style="4" customWidth="1"/>
    <col min="6" max="6" width="12.7109375" style="4" customWidth="1"/>
    <col min="7" max="7" width="13.640625" style="4" customWidth="1"/>
    <col min="8" max="11" width="9.140625" style="4"/>
    <col min="12" max="12" width="9.7109375" style="4" bestFit="1" customWidth="1"/>
    <col min="13" max="16384" width="9.140625" style="4"/>
  </cols>
  <sheetData>
    <row r="1" spans="1:4">
      <c r="A1" s="2" t="s">
        <v>0</v>
      </c>
      <c r="B1" s="3" t="s">
        <v>1</v>
      </c>
      <c r="C1" s="2" t="s">
        <v>2</v>
      </c>
      <c r="D1" s="2" t="s">
        <v>3</v>
      </c>
    </row>
    <row r="2" spans="1:4">
      <c r="A2" s="2" t="s">
        <v>867</v>
      </c>
      <c r="B2" s="3"/>
      <c r="C2" s="2"/>
      <c r="D2" s="2"/>
    </row>
    <row r="3" spans="1:4">
      <c r="A3" s="5" t="s">
        <v>900</v>
      </c>
      <c r="B3" s="6" t="str">
        <f>_xlfn.CONCAT("0",RIGHT(C3,1),"10A0E3")</f>
        <v>0110A0E3</v>
      </c>
      <c r="C3" s="4" t="s">
        <v>868</v>
      </c>
      <c r="D3" s="2"/>
    </row>
    <row r="4" spans="1:4">
      <c r="A4" s="4" t="str">
        <f>DEC2HEX(HEX2DEC(A3)+4,8)</f>
        <v>000FEC78</v>
      </c>
      <c r="B4" s="7" t="s">
        <v>831</v>
      </c>
      <c r="C4" s="4" t="s">
        <v>832</v>
      </c>
      <c r="D4" s="2"/>
    </row>
    <row r="5" spans="1:4">
      <c r="A5" s="4" t="str">
        <f>DEC2HEX(HEX2DEC(A4)+4,8)</f>
        <v>000FEC7C</v>
      </c>
      <c r="B5" s="8" t="s">
        <v>833</v>
      </c>
      <c r="C5" s="4" t="s">
        <v>834</v>
      </c>
      <c r="D5" s="2"/>
    </row>
    <row r="6" spans="1:4">
      <c r="A6" s="4" t="str">
        <f>DEC2HEX(HEX2DEC(A5)+4,8)</f>
        <v>000FEC80</v>
      </c>
      <c r="B6" s="8" t="s">
        <v>835</v>
      </c>
      <c r="C6" s="4" t="s">
        <v>836</v>
      </c>
    </row>
    <row r="7" spans="1:4">
      <c r="A7" s="4" t="str">
        <f>DEC2HEX(HEX2DEC(A6)+4,8)</f>
        <v>000FEC84</v>
      </c>
      <c r="B7" s="7" t="s">
        <v>830</v>
      </c>
      <c r="C7" s="4" t="s">
        <v>837</v>
      </c>
    </row>
    <row r="8" spans="1:4">
      <c r="B8" s="9"/>
      <c r="D8" s="10"/>
    </row>
    <row r="9" spans="1:4">
      <c r="A9" s="2" t="s">
        <v>869</v>
      </c>
      <c r="B9" s="9"/>
    </row>
    <row r="10" spans="1:4">
      <c r="A10" s="4" t="s">
        <v>901</v>
      </c>
      <c r="B10" s="9" t="s">
        <v>886</v>
      </c>
      <c r="C10" s="4" t="s">
        <v>884</v>
      </c>
      <c r="D10" s="10"/>
    </row>
    <row r="11" spans="1:4">
      <c r="A11" s="4" t="str">
        <f>DEC2HEX(HEX2DEC(A10)+4,8)</f>
        <v>00103400</v>
      </c>
      <c r="B11" s="9" t="s">
        <v>840</v>
      </c>
      <c r="C11" s="4" t="s">
        <v>838</v>
      </c>
      <c r="D11" s="10"/>
    </row>
    <row r="12" spans="1:4">
      <c r="A12" s="4" t="str">
        <f t="shared" ref="A12:A52" si="0">DEC2HEX(HEX2DEC(A11)+4,8)</f>
        <v>00103404</v>
      </c>
      <c r="B12" s="7" t="s">
        <v>851</v>
      </c>
      <c r="C12" s="4" t="s">
        <v>843</v>
      </c>
    </row>
    <row r="13" spans="1:4">
      <c r="A13" s="11" t="str">
        <f t="shared" si="0"/>
        <v>00103408</v>
      </c>
      <c r="B13" s="12" t="s">
        <v>841</v>
      </c>
      <c r="C13" s="11" t="s">
        <v>839</v>
      </c>
      <c r="D13" s="11" t="s">
        <v>845</v>
      </c>
    </row>
    <row r="14" spans="1:4">
      <c r="A14" s="11" t="str">
        <f t="shared" si="0"/>
        <v>0010340C</v>
      </c>
      <c r="B14" s="12" t="s">
        <v>902</v>
      </c>
      <c r="C14" s="13" t="s">
        <v>842</v>
      </c>
      <c r="D14" s="11"/>
    </row>
    <row r="15" spans="1:4">
      <c r="A15" s="11" t="str">
        <f t="shared" si="0"/>
        <v>00103410</v>
      </c>
      <c r="B15" s="14" t="s">
        <v>858</v>
      </c>
      <c r="C15" s="11" t="s">
        <v>857</v>
      </c>
      <c r="D15" s="11"/>
    </row>
    <row r="16" spans="1:4">
      <c r="A16" s="11" t="str">
        <f t="shared" si="0"/>
        <v>00103414</v>
      </c>
      <c r="B16" s="15" t="s">
        <v>887</v>
      </c>
      <c r="C16" s="13" t="str">
        <f>_xlfn.CONCAT("bne 0x",A$52)</f>
        <v>bne 0x001034A4</v>
      </c>
      <c r="D16" s="11"/>
    </row>
    <row r="17" spans="1:4">
      <c r="A17" s="16" t="str">
        <f t="shared" si="0"/>
        <v>00103418</v>
      </c>
      <c r="B17" s="17" t="s">
        <v>852</v>
      </c>
      <c r="C17" s="16" t="s">
        <v>846</v>
      </c>
      <c r="D17" s="16" t="s">
        <v>881</v>
      </c>
    </row>
    <row r="18" spans="1:4">
      <c r="A18" s="16" t="str">
        <f t="shared" si="0"/>
        <v>0010341C</v>
      </c>
      <c r="B18" s="18" t="s">
        <v>853</v>
      </c>
      <c r="C18" s="16" t="s">
        <v>847</v>
      </c>
      <c r="D18" s="16"/>
    </row>
    <row r="19" spans="1:4">
      <c r="A19" s="16" t="str">
        <f t="shared" si="0"/>
        <v>00103420</v>
      </c>
      <c r="B19" s="18" t="s">
        <v>854</v>
      </c>
      <c r="C19" s="16" t="s">
        <v>844</v>
      </c>
      <c r="D19" s="16"/>
    </row>
    <row r="20" spans="1:4">
      <c r="A20" s="16" t="str">
        <f t="shared" si="0"/>
        <v>00103424</v>
      </c>
      <c r="B20" s="18" t="s">
        <v>903</v>
      </c>
      <c r="C20" s="16" t="s">
        <v>849</v>
      </c>
      <c r="D20" s="16"/>
    </row>
    <row r="21" spans="1:4">
      <c r="A21" s="16" t="str">
        <f t="shared" si="0"/>
        <v>00103428</v>
      </c>
      <c r="B21" s="18" t="s">
        <v>855</v>
      </c>
      <c r="C21" s="16" t="s">
        <v>848</v>
      </c>
      <c r="D21" s="16"/>
    </row>
    <row r="22" spans="1:4">
      <c r="A22" s="16" t="str">
        <f t="shared" si="0"/>
        <v>0010342C</v>
      </c>
      <c r="B22" s="17" t="s">
        <v>888</v>
      </c>
      <c r="C22" s="16" t="s">
        <v>872</v>
      </c>
      <c r="D22" s="16"/>
    </row>
    <row r="23" spans="1:4">
      <c r="A23" s="16" t="str">
        <f t="shared" si="0"/>
        <v>00103430</v>
      </c>
      <c r="B23" s="18" t="s">
        <v>889</v>
      </c>
      <c r="C23" s="16" t="s">
        <v>873</v>
      </c>
      <c r="D23" s="16" t="s">
        <v>870</v>
      </c>
    </row>
    <row r="24" spans="1:4">
      <c r="A24" s="16" t="str">
        <f t="shared" si="0"/>
        <v>00103434</v>
      </c>
      <c r="B24" s="18" t="s">
        <v>890</v>
      </c>
      <c r="C24" s="16" t="s">
        <v>885</v>
      </c>
      <c r="D24" s="16" t="s">
        <v>871</v>
      </c>
    </row>
    <row r="25" spans="1:4">
      <c r="A25" s="16" t="str">
        <f t="shared" si="0"/>
        <v>00103438</v>
      </c>
      <c r="B25" s="18" t="s">
        <v>891</v>
      </c>
      <c r="C25" s="16" t="s">
        <v>876</v>
      </c>
      <c r="D25" s="16"/>
    </row>
    <row r="26" spans="1:4">
      <c r="A26" s="16" t="str">
        <f t="shared" si="0"/>
        <v>0010343C</v>
      </c>
      <c r="B26" s="18" t="s">
        <v>892</v>
      </c>
      <c r="C26" s="16" t="s">
        <v>874</v>
      </c>
      <c r="D26" s="16" t="s">
        <v>861</v>
      </c>
    </row>
    <row r="27" spans="1:4">
      <c r="A27" s="16" t="str">
        <f t="shared" si="0"/>
        <v>00103440</v>
      </c>
      <c r="B27" s="17" t="s">
        <v>893</v>
      </c>
      <c r="C27" s="16" t="s">
        <v>875</v>
      </c>
      <c r="D27" s="16" t="s">
        <v>860</v>
      </c>
    </row>
    <row r="28" spans="1:4">
      <c r="A28" s="16" t="str">
        <f t="shared" si="0"/>
        <v>00103444</v>
      </c>
      <c r="B28" s="18" t="s">
        <v>856</v>
      </c>
      <c r="C28" s="16" t="s">
        <v>859</v>
      </c>
      <c r="D28" s="16" t="s">
        <v>866</v>
      </c>
    </row>
    <row r="29" spans="1:4">
      <c r="A29" s="16" t="str">
        <f t="shared" si="0"/>
        <v>00103448</v>
      </c>
      <c r="B29" s="18" t="s">
        <v>894</v>
      </c>
      <c r="C29" s="16" t="s">
        <v>877</v>
      </c>
      <c r="D29" s="16" t="s">
        <v>862</v>
      </c>
    </row>
    <row r="30" spans="1:4">
      <c r="A30" s="16" t="str">
        <f t="shared" si="0"/>
        <v>0010344C</v>
      </c>
      <c r="B30" s="17" t="s">
        <v>895</v>
      </c>
      <c r="C30" s="16" t="s">
        <v>878</v>
      </c>
      <c r="D30" s="16"/>
    </row>
    <row r="31" spans="1:4">
      <c r="A31" s="16" t="str">
        <f t="shared" si="0"/>
        <v>00103450</v>
      </c>
      <c r="B31" s="17" t="s">
        <v>896</v>
      </c>
      <c r="C31" s="16" t="s">
        <v>879</v>
      </c>
      <c r="D31" s="16"/>
    </row>
    <row r="32" spans="1:4">
      <c r="A32" s="16" t="str">
        <f t="shared" si="0"/>
        <v>00103454</v>
      </c>
      <c r="B32" s="17" t="s">
        <v>854</v>
      </c>
      <c r="C32" s="16" t="s">
        <v>844</v>
      </c>
      <c r="D32" s="16"/>
    </row>
    <row r="33" spans="1:4">
      <c r="A33" s="16" t="str">
        <f t="shared" si="0"/>
        <v>00103458</v>
      </c>
      <c r="B33" s="17" t="s">
        <v>904</v>
      </c>
      <c r="C33" s="16" t="s">
        <v>880</v>
      </c>
      <c r="D33" s="16"/>
    </row>
    <row r="34" spans="1:4">
      <c r="A34" s="11" t="str">
        <f t="shared" si="0"/>
        <v>0010345C</v>
      </c>
      <c r="B34" s="14" t="s">
        <v>852</v>
      </c>
      <c r="C34" s="11" t="s">
        <v>846</v>
      </c>
      <c r="D34" s="11" t="s">
        <v>882</v>
      </c>
    </row>
    <row r="35" spans="1:4">
      <c r="A35" s="11" t="str">
        <f t="shared" si="0"/>
        <v>00103460</v>
      </c>
      <c r="B35" s="14" t="s">
        <v>853</v>
      </c>
      <c r="C35" s="11" t="s">
        <v>847</v>
      </c>
      <c r="D35" s="11"/>
    </row>
    <row r="36" spans="1:4">
      <c r="A36" s="11" t="str">
        <f t="shared" si="0"/>
        <v>00103464</v>
      </c>
      <c r="B36" s="14" t="s">
        <v>854</v>
      </c>
      <c r="C36" s="11" t="s">
        <v>844</v>
      </c>
      <c r="D36" s="11"/>
    </row>
    <row r="37" spans="1:4">
      <c r="A37" s="11" t="str">
        <f t="shared" si="0"/>
        <v>00103468</v>
      </c>
      <c r="B37" s="14" t="s">
        <v>905</v>
      </c>
      <c r="C37" s="11" t="s">
        <v>849</v>
      </c>
      <c r="D37" s="11"/>
    </row>
    <row r="38" spans="1:4">
      <c r="A38" s="11" t="str">
        <f t="shared" si="0"/>
        <v>0010346C</v>
      </c>
      <c r="B38" s="14" t="s">
        <v>855</v>
      </c>
      <c r="C38" s="11" t="s">
        <v>848</v>
      </c>
      <c r="D38" s="11"/>
    </row>
    <row r="39" spans="1:4">
      <c r="A39" s="11" t="str">
        <f t="shared" si="0"/>
        <v>00103470</v>
      </c>
      <c r="B39" s="14" t="s">
        <v>888</v>
      </c>
      <c r="C39" s="11" t="s">
        <v>872</v>
      </c>
      <c r="D39" s="11"/>
    </row>
    <row r="40" spans="1:4">
      <c r="A40" s="11" t="str">
        <f t="shared" si="0"/>
        <v>00103474</v>
      </c>
      <c r="B40" s="14" t="s">
        <v>897</v>
      </c>
      <c r="C40" s="11" t="s">
        <v>883</v>
      </c>
      <c r="D40" s="11" t="s">
        <v>870</v>
      </c>
    </row>
    <row r="41" spans="1:4">
      <c r="A41" s="11" t="str">
        <f t="shared" si="0"/>
        <v>00103478</v>
      </c>
      <c r="B41" s="14" t="s">
        <v>890</v>
      </c>
      <c r="C41" s="11" t="s">
        <v>885</v>
      </c>
      <c r="D41" s="11" t="s">
        <v>871</v>
      </c>
    </row>
    <row r="42" spans="1:4">
      <c r="A42" s="11" t="str">
        <f t="shared" si="0"/>
        <v>0010347C</v>
      </c>
      <c r="B42" s="14" t="s">
        <v>891</v>
      </c>
      <c r="C42" s="11" t="s">
        <v>876</v>
      </c>
      <c r="D42" s="11"/>
    </row>
    <row r="43" spans="1:4">
      <c r="A43" s="11" t="str">
        <f t="shared" si="0"/>
        <v>00103480</v>
      </c>
      <c r="B43" s="14" t="s">
        <v>892</v>
      </c>
      <c r="C43" s="11" t="s">
        <v>874</v>
      </c>
      <c r="D43" s="11" t="s">
        <v>861</v>
      </c>
    </row>
    <row r="44" spans="1:4">
      <c r="A44" s="11" t="str">
        <f t="shared" si="0"/>
        <v>00103484</v>
      </c>
      <c r="B44" s="14" t="s">
        <v>893</v>
      </c>
      <c r="C44" s="11" t="s">
        <v>875</v>
      </c>
      <c r="D44" s="11" t="s">
        <v>860</v>
      </c>
    </row>
    <row r="45" spans="1:4">
      <c r="A45" s="11" t="str">
        <f t="shared" si="0"/>
        <v>00103488</v>
      </c>
      <c r="B45" s="14" t="s">
        <v>856</v>
      </c>
      <c r="C45" s="11" t="s">
        <v>859</v>
      </c>
      <c r="D45" s="11" t="s">
        <v>866</v>
      </c>
    </row>
    <row r="46" spans="1:4">
      <c r="A46" s="11" t="str">
        <f t="shared" si="0"/>
        <v>0010348C</v>
      </c>
      <c r="B46" s="14" t="s">
        <v>894</v>
      </c>
      <c r="C46" s="11" t="s">
        <v>877</v>
      </c>
      <c r="D46" s="11" t="s">
        <v>862</v>
      </c>
    </row>
    <row r="47" spans="1:4">
      <c r="A47" s="11" t="str">
        <f t="shared" si="0"/>
        <v>00103490</v>
      </c>
      <c r="B47" s="14" t="s">
        <v>895</v>
      </c>
      <c r="C47" s="11" t="s">
        <v>878</v>
      </c>
      <c r="D47" s="11"/>
    </row>
    <row r="48" spans="1:4">
      <c r="A48" s="11" t="str">
        <f t="shared" si="0"/>
        <v>00103494</v>
      </c>
      <c r="B48" s="14" t="s">
        <v>896</v>
      </c>
      <c r="C48" s="11" t="s">
        <v>879</v>
      </c>
      <c r="D48" s="11"/>
    </row>
    <row r="49" spans="1:4">
      <c r="A49" s="11" t="str">
        <f t="shared" si="0"/>
        <v>00103498</v>
      </c>
      <c r="B49" s="14" t="s">
        <v>854</v>
      </c>
      <c r="C49" s="11" t="s">
        <v>844</v>
      </c>
      <c r="D49" s="11"/>
    </row>
    <row r="50" spans="1:4">
      <c r="A50" s="4" t="str">
        <f t="shared" si="0"/>
        <v>0010349C</v>
      </c>
      <c r="B50" s="8" t="s">
        <v>898</v>
      </c>
      <c r="C50" s="4" t="str">
        <f>SUBSTITUTE(C10,"push","pop")</f>
        <v>pop {r4, r5, r6, r7, r8, lr}</v>
      </c>
    </row>
    <row r="51" spans="1:4">
      <c r="A51" s="4" t="str">
        <f t="shared" si="0"/>
        <v>001034A0</v>
      </c>
      <c r="B51" s="8" t="s">
        <v>906</v>
      </c>
      <c r="C51" s="4" t="s">
        <v>850</v>
      </c>
    </row>
    <row r="52" spans="1:4">
      <c r="A52" s="4" t="str">
        <f t="shared" si="0"/>
        <v>001034A4</v>
      </c>
      <c r="B52" s="8" t="s">
        <v>899</v>
      </c>
      <c r="C52" s="4" t="str">
        <f>SUBSTITUTE(C50,"lr","pc")</f>
        <v>pop {r4, r5, r6, r7, r8, pc}</v>
      </c>
    </row>
    <row r="54" spans="1:4">
      <c r="A54" s="2"/>
    </row>
    <row r="58" spans="1:4">
      <c r="B58" s="7"/>
    </row>
    <row r="63" spans="1:4">
      <c r="B6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2504-DF3C-42A7-8C2F-065AFE65092E}">
  <dimension ref="A1:D14"/>
  <sheetViews>
    <sheetView workbookViewId="0">
      <selection activeCell="D4" sqref="D4"/>
    </sheetView>
  </sheetViews>
  <sheetFormatPr defaultRowHeight="14.15"/>
  <sheetData>
    <row r="1" spans="1:4">
      <c r="A1" s="1" t="s">
        <v>863</v>
      </c>
      <c r="B1" s="1">
        <f>HEX2DEC(A1)</f>
        <v>8234504</v>
      </c>
      <c r="C1" s="1">
        <f>B1-HEX2DEC("6dd000")+4096*5</f>
        <v>1058312</v>
      </c>
      <c r="D1" t="str">
        <f>DEC2HEX(C1,8)</f>
        <v>00102608</v>
      </c>
    </row>
    <row r="2" spans="1:4">
      <c r="A2" s="1" t="s">
        <v>864</v>
      </c>
      <c r="B2" s="1">
        <f t="shared" ref="B2:B3" si="0">HEX2DEC(A2)</f>
        <v>8233500</v>
      </c>
      <c r="C2" s="1">
        <f t="shared" ref="C2:C3" si="1">B2-HEX2DEC("6dd000")+4096*5</f>
        <v>1057308</v>
      </c>
      <c r="D2" t="str">
        <f t="shared" ref="D2:D5" si="2">DEC2HEX(C2,8)</f>
        <v>0010221C</v>
      </c>
    </row>
    <row r="3" spans="1:4">
      <c r="A3" s="1" t="s">
        <v>865</v>
      </c>
      <c r="B3" s="1">
        <f t="shared" si="0"/>
        <v>8234940</v>
      </c>
      <c r="C3" s="1">
        <f t="shared" si="1"/>
        <v>1058748</v>
      </c>
      <c r="D3" t="str">
        <f t="shared" si="2"/>
        <v>001027BC</v>
      </c>
    </row>
    <row r="4" spans="1:4">
      <c r="A4" s="1"/>
      <c r="B4" s="1"/>
      <c r="C4" s="1">
        <f>C3-C2</f>
        <v>1440</v>
      </c>
      <c r="D4" t="str">
        <f t="shared" si="2"/>
        <v>000005A0</v>
      </c>
    </row>
    <row r="5" spans="1:4">
      <c r="A5" s="1"/>
      <c r="B5" s="1"/>
      <c r="C5" s="1">
        <f>C4/16</f>
        <v>90</v>
      </c>
      <c r="D5" t="str">
        <f t="shared" si="2"/>
        <v>0000005A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E18" sqref="E18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Sheet1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2026-05-20T00:58:41Z</dcterms:modified>
</cp:coreProperties>
</file>