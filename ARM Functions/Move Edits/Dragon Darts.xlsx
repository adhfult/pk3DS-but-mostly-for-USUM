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16D11B39-855E-4D9A-9D00-019A2A4CCD8F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Dragon Darts Version 2" sheetId="14" r:id="rId1"/>
    <sheet name="Dragon Darts Deprecated" sheetId="12" r:id="rId2"/>
    <sheet name="original Flame Burst" sheetId="13" r:id="rId3"/>
    <sheet name="Table of IDs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4" l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C84" i="14" l="1"/>
  <c r="C80" i="14"/>
  <c r="C91" i="14"/>
  <c r="C76" i="14"/>
  <c r="C29" i="14"/>
  <c r="C58" i="14"/>
  <c r="C74" i="14" l="1"/>
  <c r="C72" i="14" l="1"/>
  <c r="C55" i="14"/>
  <c r="C97" i="14" l="1"/>
  <c r="C102" i="14" s="1"/>
  <c r="C231" i="14" l="1"/>
  <c r="C209" i="14" l="1"/>
  <c r="C213" i="14" s="1"/>
  <c r="C136" i="14" l="1"/>
  <c r="C138" i="14" s="1"/>
  <c r="A4" i="14"/>
  <c r="A5" i="14" s="1"/>
  <c r="A6" i="14" s="1"/>
  <c r="A7" i="14" s="1"/>
  <c r="B3" i="14"/>
  <c r="A14" i="12" l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C70" i="14" l="1"/>
  <c r="A49" i="12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C114" i="12"/>
  <c r="C67" i="12"/>
  <c r="C64" i="14" l="1"/>
  <c r="A114" i="12"/>
  <c r="A115" i="12" s="1"/>
  <c r="A116" i="12" s="1"/>
  <c r="A117" i="12" s="1"/>
  <c r="A118" i="12" s="1"/>
  <c r="A119" i="12" s="1"/>
  <c r="A120" i="12" s="1"/>
  <c r="A121" i="12" s="1"/>
  <c r="A122" i="12" s="1"/>
  <c r="C109" i="12"/>
  <c r="C161" i="12"/>
  <c r="C163" i="12" s="1"/>
  <c r="C48" i="14" l="1"/>
  <c r="C136" i="12"/>
  <c r="A105" i="14" l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C72" i="13"/>
  <c r="C33" i="13"/>
  <c r="C21" i="13"/>
  <c r="C17" i="13"/>
  <c r="C9" i="13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C116" i="12"/>
  <c r="C37" i="14" l="1"/>
  <c r="C21" i="14"/>
  <c r="C57" i="13"/>
  <c r="A68" i="13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C36" i="13"/>
  <c r="C116" i="14" l="1"/>
  <c r="A4" i="12"/>
  <c r="A5" i="12" s="1"/>
  <c r="A6" i="12" s="1"/>
  <c r="A7" i="12" s="1"/>
  <c r="B3" i="12"/>
  <c r="C120" i="14" l="1"/>
  <c r="C113" i="14"/>
  <c r="E18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C22" i="14" l="1"/>
  <c r="C112" i="14"/>
  <c r="C127" i="14"/>
  <c r="C102" i="12"/>
  <c r="C121" i="12"/>
  <c r="C47" i="12" l="1"/>
  <c r="C69" i="12"/>
  <c r="C44" i="12" l="1"/>
  <c r="C28" i="12"/>
  <c r="C22" i="12"/>
  <c r="C87" i="12" l="1"/>
  <c r="C32" i="12"/>
  <c r="A125" i="12" l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l="1"/>
  <c r="A136" i="12" s="1"/>
  <c r="A137" i="12" l="1"/>
  <c r="C130" i="12"/>
  <c r="C14" i="12" l="1"/>
  <c r="C103" i="12"/>
  <c r="C134" i="12"/>
  <c r="A141" i="12"/>
  <c r="A142" i="12" l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l="1"/>
  <c r="A160" i="12" s="1"/>
  <c r="A161" i="12" s="1"/>
  <c r="A162" i="12" s="1"/>
  <c r="A163" i="12" s="1"/>
  <c r="C147" i="12" s="1"/>
  <c r="C154" i="12" l="1"/>
  <c r="A142" i="14"/>
  <c r="A143" i="14" l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l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C154" i="14"/>
  <c r="C152" i="14"/>
  <c r="C157" i="14"/>
  <c r="C160" i="14" l="1"/>
  <c r="C164" i="14"/>
  <c r="C168" i="14" l="1"/>
  <c r="C198" i="14" l="1"/>
  <c r="C173" i="14" l="1"/>
  <c r="C151" i="14"/>
  <c r="A217" i="14" l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C194" i="14"/>
  <c r="C222" i="14" l="1"/>
  <c r="C223" i="14"/>
</calcChain>
</file>

<file path=xl/sharedStrings.xml><?xml version="1.0" encoding="utf-8"?>
<sst xmlns="http://schemas.openxmlformats.org/spreadsheetml/2006/main" count="1875" uniqueCount="1518">
  <si>
    <t>Address</t>
  </si>
  <si>
    <t>Hex</t>
  </si>
  <si>
    <t>instruction</t>
  </si>
  <si>
    <t>notes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</si>
  <si>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</si>
  <si>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</si>
  <si>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</si>
  <si>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</si>
  <si>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</si>
  <si>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</si>
  <si>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</si>
  <si>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</si>
  <si>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</si>
  <si>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</si>
  <si>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</si>
  <si>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</si>
  <si>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</si>
  <si>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</si>
  <si>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</si>
  <si>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</si>
  <si>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</si>
  <si>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</si>
  <si>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</si>
  <si>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</si>
  <si>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</si>
  <si>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</si>
  <si>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</si>
  <si>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</si>
  <si>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</si>
  <si>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</si>
  <si>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</si>
  <si>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</si>
  <si>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</si>
  <si>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</si>
  <si>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</si>
  <si>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</si>
  <si>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</si>
  <si>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</si>
  <si>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</si>
  <si>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</si>
  <si>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</si>
  <si>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</si>
  <si>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</si>
  <si>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</si>
  <si>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</si>
  <si>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</si>
  <si>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</si>
  <si>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</si>
  <si>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</si>
  <si>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</si>
  <si>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</si>
  <si>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</si>
  <si>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</si>
  <si>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</si>
  <si>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</si>
  <si>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</si>
  <si>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</si>
  <si>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</si>
  <si>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</si>
  <si>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</si>
  <si>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</si>
  <si>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</si>
  <si>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</si>
  <si>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</si>
  <si>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</si>
  <si>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</si>
  <si>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</si>
  <si>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</si>
  <si>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</si>
  <si>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</si>
  <si>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</si>
  <si>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</si>
  <si>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</si>
  <si>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</si>
  <si>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</si>
  <si>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</si>
  <si>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</si>
  <si>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</si>
  <si>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</si>
  <si>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</si>
  <si>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</si>
  <si>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</si>
  <si>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</si>
  <si>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</si>
  <si>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</si>
  <si>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</si>
  <si>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</si>
  <si>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</si>
  <si>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</si>
  <si>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</si>
  <si>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</si>
  <si>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</si>
  <si>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</si>
  <si>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</si>
  <si>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</si>
  <si>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</si>
  <si>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</si>
  <si>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</si>
  <si>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</si>
  <si>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</si>
  <si>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</si>
  <si>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</si>
  <si>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</si>
  <si>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</si>
  <si>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</si>
  <si>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</si>
  <si>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</si>
  <si>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</si>
  <si>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</si>
  <si>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</si>
  <si>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</si>
  <si>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</si>
  <si>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</si>
  <si>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</si>
  <si>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</si>
  <si>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</si>
  <si>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</si>
  <si>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</si>
  <si>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</si>
  <si>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</si>
  <si>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</si>
  <si>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</si>
  <si>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</si>
  <si>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</si>
  <si>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</si>
  <si>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</si>
  <si>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</si>
  <si>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</si>
  <si>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</si>
  <si>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</si>
  <si>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</si>
  <si>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</si>
  <si>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</si>
  <si>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</si>
  <si>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</si>
  <si>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</si>
  <si>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</si>
  <si>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</si>
  <si>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</si>
  <si>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</si>
  <si>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</si>
  <si>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</si>
  <si>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</si>
  <si>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</si>
  <si>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</si>
  <si>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</si>
  <si>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</si>
  <si>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</si>
  <si>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</si>
  <si>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</si>
  <si>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</si>
  <si>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</si>
  <si>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</si>
  <si>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</si>
  <si>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</si>
  <si>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</si>
  <si>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</si>
  <si>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</si>
  <si>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</si>
  <si>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</si>
  <si>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</si>
  <si>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</si>
  <si>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</si>
  <si>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</si>
  <si>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</si>
  <si>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</si>
  <si>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</si>
  <si>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</si>
  <si>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</si>
  <si>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</si>
  <si>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</si>
  <si>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</si>
  <si>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</si>
  <si>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</si>
  <si>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</si>
  <si>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</si>
  <si>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</si>
  <si>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</si>
  <si>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</si>
  <si>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</si>
  <si>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</si>
  <si>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</si>
  <si>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</si>
  <si>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</si>
  <si>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</si>
  <si>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</si>
  <si>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</si>
  <si>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</si>
  <si>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</si>
  <si>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</si>
  <si>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</si>
  <si>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</si>
  <si>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</si>
  <si>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</si>
  <si>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</si>
  <si>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</si>
  <si>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</si>
  <si>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</si>
  <si>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</si>
  <si>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</si>
  <si>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</si>
  <si>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</si>
  <si>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</si>
  <si>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</si>
  <si>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</si>
  <si>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</si>
  <si>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</si>
  <si>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</si>
  <si>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</si>
  <si>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</si>
  <si>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</si>
  <si>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</si>
  <si>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</si>
  <si>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</si>
  <si>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</si>
  <si>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</si>
  <si>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</si>
  <si>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</si>
  <si>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</si>
  <si>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</si>
  <si>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</si>
  <si>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</si>
  <si>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</si>
  <si>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</si>
  <si>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</si>
  <si>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</si>
  <si>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</si>
  <si>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</si>
  <si>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</si>
  <si>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</si>
  <si>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</si>
  <si>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</si>
  <si>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</si>
  <si>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</si>
  <si>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</si>
  <si>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</si>
  <si>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</si>
  <si>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</si>
  <si>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</si>
  <si>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</si>
  <si>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</si>
  <si>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</si>
  <si>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</si>
  <si>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</si>
  <si>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</si>
  <si>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</si>
  <si>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</si>
  <si>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</si>
  <si>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</si>
  <si>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</si>
  <si>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</si>
  <si>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</si>
  <si>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</si>
  <si>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</si>
  <si>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</si>
  <si>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</si>
  <si>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</si>
  <si>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</si>
  <si>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</si>
  <si>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</si>
  <si>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</si>
  <si>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</si>
  <si>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</si>
  <si>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</si>
  <si>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</si>
  <si>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</si>
  <si>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</si>
  <si>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</si>
  <si>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</si>
  <si>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</si>
  <si>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</si>
  <si>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</si>
  <si>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</si>
  <si>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</si>
  <si>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</si>
  <si>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</si>
  <si>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</si>
  <si>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</si>
  <si>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</si>
  <si>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</si>
  <si>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</si>
  <si>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</si>
  <si>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</si>
  <si>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</si>
  <si>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</si>
  <si>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</si>
  <si>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</si>
  <si>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</si>
  <si>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</si>
  <si>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</si>
  <si>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</si>
  <si>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</si>
  <si>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</si>
  <si>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</si>
  <si>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</si>
  <si>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</si>
  <si>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</si>
  <si>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</si>
  <si>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</si>
  <si>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</si>
  <si>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</si>
  <si>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</si>
  <si>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</si>
  <si>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</si>
  <si>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</si>
  <si>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</si>
  <si>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</si>
  <si>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</si>
  <si>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</si>
  <si>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</si>
  <si>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</si>
  <si>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</si>
  <si>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</si>
  <si>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</si>
  <si>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</si>
  <si>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</si>
  <si>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</si>
  <si>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</si>
  <si>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</si>
  <si>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</si>
  <si>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</si>
  <si>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</si>
  <si>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</si>
  <si>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</si>
  <si>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</si>
  <si>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</si>
  <si>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</si>
  <si>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</si>
  <si>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</si>
  <si>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</si>
  <si>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</si>
  <si>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</si>
  <si>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</si>
  <si>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</si>
  <si>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</si>
  <si>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</si>
  <si>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</si>
  <si>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</si>
  <si>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</si>
  <si>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</si>
  <si>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</si>
  <si>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</si>
  <si>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</si>
  <si>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</si>
  <si>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</si>
  <si>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</si>
  <si>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</si>
  <si>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</si>
  <si>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</si>
  <si>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</si>
  <si>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</si>
  <si>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</si>
  <si>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</si>
  <si>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</si>
  <si>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</si>
  <si>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</si>
  <si>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</si>
  <si>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</si>
  <si>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</si>
  <si>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</si>
  <si>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</si>
  <si>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</si>
  <si>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</si>
  <si>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</si>
  <si>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</si>
  <si>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</si>
  <si>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</si>
  <si>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</si>
  <si>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</si>
  <si>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</si>
  <si>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</si>
  <si>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</si>
  <si>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</si>
  <si>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</si>
  <si>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</si>
  <si>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</si>
  <si>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</si>
  <si>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</si>
  <si>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</si>
  <si>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</si>
  <si>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</si>
  <si>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</si>
  <si>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</si>
  <si>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</si>
  <si>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</si>
  <si>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</si>
  <si>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</si>
  <si>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</si>
  <si>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</si>
  <si>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</si>
  <si>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</si>
  <si>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</si>
  <si>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</si>
  <si>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</si>
  <si>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</si>
  <si>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</si>
  <si>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</si>
  <si>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</si>
  <si>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</si>
  <si>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</si>
  <si>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</si>
  <si>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</si>
  <si>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</si>
  <si>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</si>
  <si>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</si>
  <si>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</si>
  <si>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</si>
  <si>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</si>
  <si>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</si>
  <si>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</si>
  <si>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</si>
  <si>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</si>
  <si>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</si>
  <si>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</si>
  <si>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</si>
  <si>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</si>
  <si>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</si>
  <si>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</si>
  <si>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</si>
  <si>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</si>
  <si>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</si>
  <si>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</si>
  <si>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</si>
  <si>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</si>
  <si>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</si>
  <si>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</si>
  <si>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</si>
  <si>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</si>
  <si>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</si>
  <si>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</si>
  <si>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</si>
  <si>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</si>
  <si>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</si>
  <si>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</si>
  <si>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</si>
  <si>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</si>
  <si>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</si>
  <si>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</si>
  <si>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</si>
  <si>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</si>
  <si>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</si>
  <si>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</si>
  <si>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</si>
  <si>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</si>
  <si>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</si>
  <si>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</si>
  <si>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</si>
  <si>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</si>
  <si>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</si>
  <si>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</si>
  <si>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</si>
  <si>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</si>
  <si>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</si>
  <si>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</si>
  <si>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</si>
  <si>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</si>
  <si>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</si>
  <si>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</si>
  <si>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</si>
  <si>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</si>
  <si>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</si>
  <si>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</si>
  <si>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</si>
  <si>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</si>
  <si>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</si>
  <si>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</si>
  <si>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</si>
  <si>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</si>
  <si>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</si>
  <si>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</si>
  <si>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</si>
  <si>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</si>
  <si>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</si>
  <si>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</si>
  <si>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</si>
  <si>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</si>
  <si>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</si>
  <si>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</si>
  <si>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</si>
  <si>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</si>
  <si>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</si>
  <si>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</si>
  <si>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</si>
  <si>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</si>
  <si>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</si>
  <si>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</si>
  <si>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</si>
  <si>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</si>
  <si>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</si>
  <si>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</si>
  <si>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</si>
  <si>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</si>
  <si>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</si>
  <si>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</si>
  <si>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</si>
  <si>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</si>
  <si>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</si>
  <si>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</si>
  <si>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</si>
  <si>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</si>
  <si>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</si>
  <si>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</si>
  <si>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</si>
  <si>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</si>
  <si>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</si>
  <si>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</si>
  <si>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</si>
  <si>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</si>
  <si>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</si>
  <si>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</si>
  <si>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</si>
  <si>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</si>
  <si>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</si>
  <si>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</si>
  <si>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</si>
  <si>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</si>
  <si>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</si>
  <si>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</si>
  <si>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</si>
  <si>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</si>
  <si>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</si>
  <si>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</si>
  <si>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</si>
  <si>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</si>
  <si>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</si>
  <si>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</si>
  <si>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</si>
  <si>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</si>
  <si>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</si>
  <si>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</si>
  <si>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</si>
  <si>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</si>
  <si>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</si>
  <si>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</si>
  <si>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</si>
  <si>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</si>
  <si>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</si>
  <si>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</si>
  <si>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</si>
  <si>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</si>
  <si>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</si>
  <si>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</si>
  <si>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</si>
  <si>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</si>
  <si>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</si>
  <si>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</si>
  <si>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</si>
  <si>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</si>
  <si>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</si>
  <si>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</si>
  <si>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</si>
  <si>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</si>
  <si>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</si>
  <si>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</si>
  <si>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</si>
  <si>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</si>
  <si>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</si>
  <si>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</si>
  <si>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</si>
  <si>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</si>
  <si>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</si>
  <si>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</si>
  <si>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</si>
  <si>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</si>
  <si>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</si>
  <si>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</si>
  <si>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</si>
  <si>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</si>
  <si>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</si>
  <si>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</si>
  <si>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</si>
  <si>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</si>
  <si>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</si>
  <si>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</si>
  <si>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</si>
  <si>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</si>
  <si>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</si>
  <si>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</si>
  <si>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</si>
  <si>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</si>
  <si>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</si>
  <si>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</si>
  <si>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</si>
  <si>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</si>
  <si>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</si>
  <si>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</si>
  <si>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</si>
  <si>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</si>
  <si>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</si>
  <si>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</si>
  <si>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</si>
  <si>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</si>
  <si>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</si>
  <si>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</si>
  <si>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</si>
  <si>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</si>
  <si>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</si>
  <si>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</si>
  <si>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</si>
  <si>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</si>
  <si>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</si>
  <si>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</si>
  <si>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</si>
  <si>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</si>
  <si>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</si>
  <si>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</si>
  <si>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</si>
  <si>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</si>
  <si>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</si>
  <si>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</si>
  <si>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</si>
  <si>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</si>
  <si>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</si>
  <si>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</si>
  <si>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</si>
  <si>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</si>
  <si>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</si>
  <si>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</si>
  <si>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</si>
  <si>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</si>
  <si>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</si>
  <si>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</si>
  <si>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</si>
  <si>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</si>
  <si>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</si>
  <si>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</si>
  <si>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</si>
  <si>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</si>
  <si>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</si>
  <si>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</si>
  <si>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</si>
  <si>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</si>
  <si>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</si>
  <si>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</si>
  <si>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</si>
  <si>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</si>
  <si>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</si>
  <si>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</si>
  <si>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</si>
  <si>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</si>
  <si>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</si>
  <si>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</si>
  <si>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</si>
  <si>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</si>
  <si>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</si>
  <si>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</si>
  <si>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</si>
  <si>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</si>
  <si>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</si>
  <si>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</si>
  <si>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</si>
  <si>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</si>
  <si>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</si>
  <si>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</si>
  <si>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</si>
  <si>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</si>
  <si>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</si>
  <si>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</si>
  <si>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</si>
  <si>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</si>
  <si>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</si>
  <si>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</si>
  <si>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</si>
  <si>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</si>
  <si>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</si>
  <si>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</si>
  <si>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</si>
  <si>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</si>
  <si>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</si>
  <si>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</si>
  <si>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</si>
  <si>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</si>
  <si>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</si>
  <si>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</si>
  <si>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</si>
  <si>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</si>
  <si>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</si>
  <si>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</si>
  <si>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</si>
  <si>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</si>
  <si>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</si>
  <si>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</si>
  <si>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</si>
  <si>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</si>
  <si>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</si>
  <si>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</si>
  <si>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</si>
  <si>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</si>
  <si>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</si>
  <si>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</si>
  <si>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</si>
  <si>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</si>
  <si>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</si>
  <si>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</si>
  <si>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</si>
  <si>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</si>
  <si>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</si>
  <si>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</si>
  <si>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</si>
  <si>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</si>
  <si>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</si>
  <si>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</si>
  <si>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</si>
  <si>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</si>
  <si>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</si>
  <si>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</si>
  <si>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</si>
  <si>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</si>
  <si>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</si>
  <si>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</si>
  <si>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</si>
  <si>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</si>
  <si>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</si>
  <si>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</si>
  <si>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</si>
  <si>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</si>
  <si>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</si>
  <si>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</si>
  <si>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</si>
  <si>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</si>
  <si>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</si>
  <si>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</si>
  <si>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</si>
  <si>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</si>
  <si>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</si>
  <si>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</si>
  <si>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</si>
  <si>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</si>
  <si>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</si>
  <si>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</si>
  <si>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</si>
  <si>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</si>
  <si>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</si>
  <si>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</si>
  <si>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</si>
  <si>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</si>
  <si>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</si>
  <si>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</si>
  <si>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</si>
  <si>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</si>
  <si>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</si>
  <si>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</si>
  <si>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</si>
  <si>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</si>
  <si>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</si>
  <si>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</si>
  <si>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</si>
  <si>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</si>
  <si>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</si>
  <si>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</si>
  <si>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</si>
  <si>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</si>
  <si>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</si>
  <si>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</si>
  <si>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</si>
  <si>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</si>
  <si>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</si>
  <si>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</si>
  <si>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</si>
  <si>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</si>
  <si>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</si>
  <si>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</si>
  <si>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</si>
  <si>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</si>
  <si>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</si>
  <si>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</si>
  <si>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</si>
  <si>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</si>
  <si>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</si>
  <si>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</si>
  <si>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</si>
  <si>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</si>
  <si>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</si>
  <si>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</si>
  <si>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</si>
  <si>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</si>
  <si>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</si>
  <si>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</si>
  <si>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</si>
  <si>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</si>
  <si>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</si>
  <si>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</si>
  <si>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</si>
  <si>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</si>
  <si>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</si>
  <si>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</si>
  <si>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</si>
  <si>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</si>
  <si>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</si>
  <si>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</si>
  <si>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</si>
  <si>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</si>
  <si>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</si>
  <si>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</si>
  <si>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</si>
  <si>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</si>
  <si>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</si>
  <si>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</si>
  <si>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</si>
  <si>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</si>
  <si>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</si>
  <si>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</si>
  <si>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</si>
  <si>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</si>
  <si>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</si>
  <si>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</si>
  <si>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</si>
  <si>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</si>
  <si>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</si>
  <si>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</si>
  <si>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</si>
  <si>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</si>
  <si>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</si>
  <si>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</si>
  <si>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</si>
  <si>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</si>
  <si>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</si>
  <si>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</si>
  <si>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</si>
  <si>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</si>
  <si>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</si>
  <si>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</si>
  <si>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</si>
  <si>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</si>
  <si>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</si>
  <si>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</si>
  <si>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</si>
  <si>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</si>
  <si>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</si>
  <si>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</si>
  <si>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00000000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</si>
  <si>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</si>
  <si>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</si>
  <si>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</si>
  <si>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</si>
  <si>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</si>
  <si>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</si>
  <si>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</si>
  <si>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mov r4, r2</t>
  </si>
  <si>
    <t>mov r0, 0x3</t>
  </si>
  <si>
    <t>0240A0E1</t>
  </si>
  <si>
    <t>0300A0E3</t>
  </si>
  <si>
    <t>cmp r0, r4</t>
  </si>
  <si>
    <t>040050E1</t>
  </si>
  <si>
    <t>1200A0E3</t>
  </si>
  <si>
    <t>mov r0, 0x12</t>
  </si>
  <si>
    <t>bl 0x00087B58</t>
  </si>
  <si>
    <t>Check self attacker</t>
  </si>
  <si>
    <t>Use highest stat 0x2D</t>
  </si>
  <si>
    <t>mov r8, r2</t>
  </si>
  <si>
    <t>cmp r0, r8</t>
  </si>
  <si>
    <t>mov r1, r6</t>
  </si>
  <si>
    <t>mov r2, sp</t>
  </si>
  <si>
    <t>cmp r1, r6</t>
  </si>
  <si>
    <t>mov r2, r8</t>
  </si>
  <si>
    <t>mov r5, r0</t>
  </si>
  <si>
    <t>mov r1, r0</t>
  </si>
  <si>
    <t>mov r1, r5</t>
  </si>
  <si>
    <t>cmp r4, r7</t>
  </si>
  <si>
    <t>mov r1, r8</t>
  </si>
  <si>
    <t xml:space="preserve">nop </t>
  </si>
  <si>
    <t>ldrdeq r0, r1, [r0], -r2</t>
  </si>
  <si>
    <t>F04F2DE9</t>
  </si>
  <si>
    <t>0CD04DE2</t>
  </si>
  <si>
    <t>0280A0E1</t>
  </si>
  <si>
    <t>0190A0E1</t>
  </si>
  <si>
    <t>B5F0FEEB</t>
  </si>
  <si>
    <t>080050E1</t>
  </si>
  <si>
    <t>3C00001A</t>
  </si>
  <si>
    <t>0400A0E3</t>
  </si>
  <si>
    <t>B1F0FEEB</t>
  </si>
  <si>
    <t>FF6000E2</t>
  </si>
  <si>
    <t>0610A0E1</t>
  </si>
  <si>
    <t>0900A0E1</t>
  </si>
  <si>
    <t>15E1FEEB</t>
  </si>
  <si>
    <t>040050E3</t>
  </si>
  <si>
    <t>3400000A</t>
  </si>
  <si>
    <t>337DFEEB</t>
  </si>
  <si>
    <t>020050E3</t>
  </si>
  <si>
    <t>3200000A</t>
  </si>
  <si>
    <t>0CE1FEEB</t>
  </si>
  <si>
    <t>091C80E3</t>
  </si>
  <si>
    <t>0D20A0E1</t>
  </si>
  <si>
    <t>F552FEEB</t>
  </si>
  <si>
    <t>007050E2</t>
  </si>
  <si>
    <t>0040A0E3</t>
  </si>
  <si>
    <t>0DA0A081</t>
  </si>
  <si>
    <t>07B0A083</t>
  </si>
  <si>
    <t>2400009A</t>
  </si>
  <si>
    <t>0410DAE7</t>
  </si>
  <si>
    <t>060051E1</t>
  </si>
  <si>
    <t>1D00000A</t>
  </si>
  <si>
    <t>661AFFEB</t>
  </si>
  <si>
    <t>08008DE5</t>
  </si>
  <si>
    <t>0820A0E1</t>
  </si>
  <si>
    <t>0610A0E3</t>
  </si>
  <si>
    <t>79EFFEEB</t>
  </si>
  <si>
    <t>0050A0E1</t>
  </si>
  <si>
    <t>0400DAE7</t>
  </si>
  <si>
    <t>1010A0E3</t>
  </si>
  <si>
    <t>0800C5E5</t>
  </si>
  <si>
    <t>08009DE5</t>
  </si>
  <si>
    <t>25D0FEEB</t>
  </si>
  <si>
    <t>0010A0E1</t>
  </si>
  <si>
    <t>0A00D5E5</t>
  </si>
  <si>
    <t>0980C5E5</t>
  </si>
  <si>
    <t>B610C5E1</t>
  </si>
  <si>
    <t>010080E3</t>
  </si>
  <si>
    <t>04B0C5E5</t>
  </si>
  <si>
    <t>0A00C5E5</t>
  </si>
  <si>
    <t>50209FE5</t>
  </si>
  <si>
    <t>0210A0E3</t>
  </si>
  <si>
    <t>100085E2</t>
  </si>
  <si>
    <t>C5F8FEEB</t>
  </si>
  <si>
    <t>0810D5E5</t>
  </si>
  <si>
    <t>A8CFFEEB</t>
  </si>
  <si>
    <t>0510A0E1</t>
  </si>
  <si>
    <t>E1C4FEEB</t>
  </si>
  <si>
    <t>010084E2</t>
  </si>
  <si>
    <t>FF4000E2</t>
  </si>
  <si>
    <t>070054E1</t>
  </si>
  <si>
    <t>DAFFFF3A</t>
  </si>
  <si>
    <t>0CD08DE2</t>
  </si>
  <si>
    <t>F08FBDE8</t>
  </si>
  <si>
    <t>0810A0E1</t>
  </si>
  <si>
    <t>D9E0FEEB</t>
  </si>
  <si>
    <t>061C80E3</t>
  </si>
  <si>
    <t>00F020E3</t>
  </si>
  <si>
    <t>CAFFFFEA</t>
  </si>
  <si>
    <t>000CB868</t>
  </si>
  <si>
    <t>push {r4, r5, r6, r7, r8, r9, r10, r11, lr}</t>
  </si>
  <si>
    <t>sub sp, sp, 0xc</t>
  </si>
  <si>
    <t>orr r1, r0, 0x900</t>
  </si>
  <si>
    <t>bl 0x604ac</t>
  </si>
  <si>
    <t>bl 0x92298</t>
  </si>
  <si>
    <t>bl 0x876f8</t>
  </si>
  <si>
    <t>mov r1, 0x10</t>
  </si>
  <si>
    <t>ldrb r0, [r5, 0xa]</t>
  </si>
  <si>
    <t>strb r0, [r5, 0xa]</t>
  </si>
  <si>
    <t>add r0, r5, 0x10</t>
  </si>
  <si>
    <t>and r4, r0, 0xff</t>
  </si>
  <si>
    <t>blo 0xcb8e8</t>
  </si>
  <si>
    <t>add sp, sp, 0xc</t>
  </si>
  <si>
    <t>orr r1, r0, 0x600</t>
  </si>
  <si>
    <t>b 0xcb8c8</t>
  </si>
  <si>
    <t>mov r0, 0x4</t>
  </si>
  <si>
    <t>cmp r0, 0x4</t>
  </si>
  <si>
    <t>cmp r0, 0x2</t>
  </si>
  <si>
    <t>subs r7, r0, 0x0</t>
  </si>
  <si>
    <t>mov r4, 0x0</t>
  </si>
  <si>
    <t>str r0, [sp, 0x8]</t>
  </si>
  <si>
    <t>mov r1, 0x6</t>
  </si>
  <si>
    <t>strb r0, [r5, 0x8]</t>
  </si>
  <si>
    <t>ldr r0, [sp, 0x8]</t>
  </si>
  <si>
    <t>strb r8, [r5, 0x9]</t>
  </si>
  <si>
    <t>strh r1, [r5, 0x6]</t>
  </si>
  <si>
    <t>orr r0, r0, 0x1</t>
  </si>
  <si>
    <t>mov r1, 0x2</t>
  </si>
  <si>
    <t>ldrb r1, [r5, 0x8]</t>
  </si>
  <si>
    <t>add r0, r4, 0x1</t>
  </si>
  <si>
    <t>and r6, r0, 0xFF</t>
  </si>
  <si>
    <t>mov r9, r1</t>
  </si>
  <si>
    <t>mov r0, r9</t>
  </si>
  <si>
    <t>bl 0x00083CF8</t>
  </si>
  <si>
    <t>Damage ally of target if fails (timing from High Jump Kick).</t>
  </si>
  <si>
    <t>Defender index to r6</t>
  </si>
  <si>
    <t>Check something</t>
  </si>
  <si>
    <t>bl 0x0006AD80</t>
  </si>
  <si>
    <t>Handle 2 allies in BR</t>
  </si>
  <si>
    <t>Set r7 to non-fainted enemy count</t>
  </si>
  <si>
    <t>movhi r10, sp</t>
  </si>
  <si>
    <t>ldrb r1, [r10, r4]</t>
  </si>
  <si>
    <t>ldrb r0, [r10, r4]</t>
  </si>
  <si>
    <t>movhi r11, 0x7</t>
  </si>
  <si>
    <t>strb r11, [r5, 0x4]</t>
  </si>
  <si>
    <t>Set iterator to 0</t>
  </si>
  <si>
    <t>If no non-fainted enemies, exit</t>
  </si>
  <si>
    <t>r1 = index of Pokemon in this loop</t>
  </si>
  <si>
    <t>if it matches the target</t>
  </si>
  <si>
    <t>go to next iteration</t>
  </si>
  <si>
    <t>Otherwise store pointer in sp + 8</t>
  </si>
  <si>
    <t>And the animation/text pointer</t>
  </si>
  <si>
    <t>Store value that will be reloaded</t>
  </si>
  <si>
    <t>for text printing</t>
  </si>
  <si>
    <t>Get pointer</t>
  </si>
  <si>
    <t>bl 0x0007F9C0</t>
  </si>
  <si>
    <t>Get damage to deal</t>
  </si>
  <si>
    <t>move to r1</t>
  </si>
  <si>
    <t>set damage</t>
  </si>
  <si>
    <t>Get text string index</t>
  </si>
  <si>
    <t>bl 0x0007F804</t>
  </si>
  <si>
    <t>Select text to print</t>
  </si>
  <si>
    <t>load stored pointer</t>
  </si>
  <si>
    <t>bl 0x0007CCF4</t>
  </si>
  <si>
    <t>bl 0x00089C6C</t>
  </si>
  <si>
    <t>write value</t>
  </si>
  <si>
    <t>print text</t>
  </si>
  <si>
    <t>Add 1 to iterator</t>
  </si>
  <si>
    <t>if more left go again</t>
  </si>
  <si>
    <t>D2050000</t>
  </si>
  <si>
    <t>bl 0x000876F8</t>
  </si>
  <si>
    <t>Get pointer to defender</t>
  </si>
  <si>
    <t>bl 0x00092298</t>
  </si>
  <si>
    <t>Get pointer to attacker</t>
  </si>
  <si>
    <t>1/16 for damage %</t>
  </si>
  <si>
    <t>return damage in r0</t>
  </si>
  <si>
    <t>cmp r0, 0x0</t>
  </si>
  <si>
    <t>check if damage is 0</t>
  </si>
  <si>
    <t>if yes go to next iter</t>
  </si>
  <si>
    <t>if damage not 0, this makes it stop after ending this iteration, so it doesn't double-dip in Royale</t>
  </si>
  <si>
    <t>ldrb r3, [r10, r4]</t>
  </si>
  <si>
    <t>strb r3, [r5, 0x8]</t>
  </si>
  <si>
    <t>mov r4, 0x32</t>
  </si>
  <si>
    <t>Set 50 power</t>
  </si>
  <si>
    <t>Set highest</t>
  </si>
  <si>
    <t>mov r5, 0x2</t>
  </si>
  <si>
    <t>Set Physical</t>
  </si>
  <si>
    <t>mov r6, 0x0</t>
  </si>
  <si>
    <t>push {r4, r5, r6}</t>
  </si>
  <si>
    <t>CC070000</t>
  </si>
  <si>
    <t>Get text string index (Dragon Darts)</t>
  </si>
  <si>
    <t>Get move index</t>
  </si>
  <si>
    <t>uxth r0, r0</t>
  </si>
  <si>
    <t>sub r0, r0, 0x200</t>
  </si>
  <si>
    <t>subs r0, r0, 0xEC</t>
  </si>
  <si>
    <t>Check for Tachyon Cutter</t>
  </si>
  <si>
    <t>addeq r2, r2, 0x4</t>
  </si>
  <si>
    <t>Add 4 to get text for that</t>
  </si>
  <si>
    <t>000C8CD0</t>
  </si>
  <si>
    <t>Dragon Darts Call Function</t>
  </si>
  <si>
    <t>check attacker</t>
  </si>
  <si>
    <t>000050E3</t>
  </si>
  <si>
    <t>bl 0x000604AC</t>
  </si>
  <si>
    <t>mov r5, r1</t>
  </si>
  <si>
    <t>mov r0, r5</t>
  </si>
  <si>
    <t>bl 0x00101038</t>
  </si>
  <si>
    <t>000D28E4</t>
  </si>
  <si>
    <t>0150A0E1</t>
  </si>
  <si>
    <t>0500A0E1</t>
  </si>
  <si>
    <t>001011EC</t>
  </si>
  <si>
    <t>70002DE9</t>
  </si>
  <si>
    <t>0430DAE7</t>
  </si>
  <si>
    <t>0830C5E5</t>
  </si>
  <si>
    <t>3240A0E3</t>
  </si>
  <si>
    <t>0250A0E3</t>
  </si>
  <si>
    <t>0060A0E3</t>
  </si>
  <si>
    <t>7000BDE8</t>
  </si>
  <si>
    <t>7000FFE6</t>
  </si>
  <si>
    <t>020C40E2</t>
  </si>
  <si>
    <t>EC0050E2</t>
  </si>
  <si>
    <t>04208202</t>
  </si>
  <si>
    <t>Check Self</t>
  </si>
  <si>
    <t>mov r0, 0x2</t>
  </si>
  <si>
    <t>index defender</t>
  </si>
  <si>
    <t>145F90</t>
  </si>
  <si>
    <t>and r0, r0, 0xFF</t>
  </si>
  <si>
    <t>push {r4, lr}</t>
  </si>
  <si>
    <t>get bss spot</t>
  </si>
  <si>
    <t>bss byte storage</t>
  </si>
  <si>
    <t>strb r0, [r1]</t>
  </si>
  <si>
    <t>mov r6, r1</t>
  </si>
  <si>
    <t>10402DE9</t>
  </si>
  <si>
    <t>FF0000E2</t>
  </si>
  <si>
    <t>0000C1E5</t>
  </si>
  <si>
    <t>1080BDE8</t>
  </si>
  <si>
    <t>0200A0E3</t>
  </si>
  <si>
    <t>0160A0E1</t>
  </si>
  <si>
    <t>store defender index bool</t>
  </si>
  <si>
    <t>load byte there</t>
  </si>
  <si>
    <t>load pointer to bss</t>
  </si>
  <si>
    <t>set r6 to index</t>
  </si>
  <si>
    <t>moveq r1, r6</t>
  </si>
  <si>
    <t>go to inflict damage</t>
  </si>
  <si>
    <t>mov r7, 0x0</t>
  </si>
  <si>
    <t>Damage ally of target if fails (timing from High Jump Kick). 0x2B/0x60 (second for double second hit)</t>
  </si>
  <si>
    <t>mov r0, 0x2E</t>
  </si>
  <si>
    <t>b 0x00082D44</t>
  </si>
  <si>
    <t>no change if 1 enemy</t>
  </si>
  <si>
    <t>Add damage manually to field so Shell Bell and stuff works</t>
  </si>
  <si>
    <t>mov r0, 0x36</t>
  </si>
  <si>
    <t>get total damage so far</t>
  </si>
  <si>
    <t>r1 = damage so far + damage dealt</t>
  </si>
  <si>
    <t>strh r0, [r5, 0x6]</t>
  </si>
  <si>
    <t>set parameter 0 to have value 1</t>
  </si>
  <si>
    <t>B600C5E1</t>
  </si>
  <si>
    <t>3600A0E3</t>
  </si>
  <si>
    <t>0070A0E3</t>
  </si>
  <si>
    <t>0610A001</t>
  </si>
  <si>
    <t>2E00A0E3</t>
  </si>
  <si>
    <t>bl #0x00087B58</t>
  </si>
  <si>
    <t>Set Defender Index 0x50</t>
  </si>
  <si>
    <t>mov r1, 0x5</t>
  </si>
  <si>
    <t>bl 0x000DD1F8</t>
  </si>
  <si>
    <t>Get enemy ally count</t>
  </si>
  <si>
    <t>strbeq r1, [r10, r4]</t>
  </si>
  <si>
    <t>check timing (0x60 for double 2nd hit)</t>
  </si>
  <si>
    <t>0410CA07</t>
  </si>
  <si>
    <t>mov r2, 0x7</t>
  </si>
  <si>
    <t>strb r2, [r5, 0x4]</t>
  </si>
  <si>
    <t>movhi r11, 0x0</t>
  </si>
  <si>
    <t>mov r11, r0</t>
  </si>
  <si>
    <t>add r1, r0, r11</t>
  </si>
  <si>
    <t>cmpeq r11, 0x0</t>
  </si>
  <si>
    <t>if both true, inflict to original</t>
  </si>
  <si>
    <t>00B0A083</t>
  </si>
  <si>
    <t>3300000A</t>
  </si>
  <si>
    <t>00B0A0E1</t>
  </si>
  <si>
    <t>0B1080E0</t>
  </si>
  <si>
    <t>0720A0E3</t>
  </si>
  <si>
    <t>0420C5E5</t>
  </si>
  <si>
    <t>00005B03</t>
  </si>
  <si>
    <t>get timing byte</t>
  </si>
  <si>
    <t>cmp r0, 0x60</t>
  </si>
  <si>
    <t>5B00001A</t>
  </si>
  <si>
    <t>5300000A</t>
  </si>
  <si>
    <t>600050E3</t>
  </si>
  <si>
    <t>E819FEEB</t>
  </si>
  <si>
    <t>E419FEEB</t>
  </si>
  <si>
    <t>sub sp, sp, 0xC</t>
  </si>
  <si>
    <t>add sp, sp, 0xC</t>
  </si>
  <si>
    <t>add r4, r4, 0x1</t>
  </si>
  <si>
    <t>cmp r0, 0x2B</t>
  </si>
  <si>
    <t>ldrbeq r1, [r10, r4]</t>
  </si>
  <si>
    <t>reload index to r1</t>
  </si>
  <si>
    <t>so grab its index and store it to this spot</t>
  </si>
  <si>
    <t>otherwise check if miss case - do same thing again (1st hit redirect, 2nd hit as is)</t>
  </si>
  <si>
    <t>014084E2</t>
  </si>
  <si>
    <t>C5FFFF3A</t>
  </si>
  <si>
    <t>2B0050E3</t>
  </si>
  <si>
    <t>0410DA07</t>
  </si>
  <si>
    <t>reset timing to not be either, inf loop avoid</t>
  </si>
  <si>
    <t>ldrb r1, [r6]</t>
  </si>
  <si>
    <t>strb r9, [r6, 0x1]</t>
  </si>
  <si>
    <t>ldrb r0, [r2, 0x1]</t>
  </si>
  <si>
    <t>strbeq r4, [r2, 0x1]</t>
  </si>
  <si>
    <t>DC619FE5</t>
  </si>
  <si>
    <t>0190C6E5</t>
  </si>
  <si>
    <t>521AFEEB</t>
  </si>
  <si>
    <t>0010D6E5</t>
  </si>
  <si>
    <t>B40AFEEB</t>
  </si>
  <si>
    <t>D2A6FDEB</t>
  </si>
  <si>
    <t>AB0AFEEB</t>
  </si>
  <si>
    <t>947CFDEB</t>
  </si>
  <si>
    <t>0544FEEB</t>
  </si>
  <si>
    <t>1819FEEB</t>
  </si>
  <si>
    <t>F943FEEB</t>
  </si>
  <si>
    <t>5CFFFFEB</t>
  </si>
  <si>
    <t>1D1AFEEB</t>
  </si>
  <si>
    <t>C26FFFEB</t>
  </si>
  <si>
    <t>111AFEEB</t>
  </si>
  <si>
    <t>B428DFE1</t>
  </si>
  <si>
    <t>4E22FEEB</t>
  </si>
  <si>
    <t>31F9FDEB</t>
  </si>
  <si>
    <t>6AEEFDEB</t>
  </si>
  <si>
    <t>0100D2E5</t>
  </si>
  <si>
    <t>0140C205</t>
  </si>
  <si>
    <t>AAFFFFEA</t>
  </si>
  <si>
    <t>0400001A</t>
  </si>
  <si>
    <t>04109FE5</t>
  </si>
  <si>
    <t>78209FE5</t>
  </si>
  <si>
    <t>branch to zeroing phase</t>
  </si>
  <si>
    <t>ldr r1, [r10, 0x8]</t>
  </si>
  <si>
    <t>08109AE5</t>
  </si>
  <si>
    <t>subeq r4, r4, 0x1</t>
  </si>
  <si>
    <t>5500000A</t>
  </si>
  <si>
    <t>4500009A</t>
  </si>
  <si>
    <t>0200000A</t>
  </si>
  <si>
    <t>01404402</t>
  </si>
  <si>
    <t>BCFFFF0A</t>
  </si>
  <si>
    <t>570AFEEB</t>
  </si>
  <si>
    <t>Set only 1/2 primary hit in double+ 0x43</t>
  </si>
  <si>
    <t>push {r4, r5, r6, lr}</t>
  </si>
  <si>
    <t>mov r6, r3</t>
  </si>
  <si>
    <t>Get move hit count</t>
  </si>
  <si>
    <t>lsr r1, r0, #1</t>
  </si>
  <si>
    <t>divide count by 2</t>
  </si>
  <si>
    <t>and r1, r0, 0xFF</t>
  </si>
  <si>
    <t>str r4, [r6]</t>
  </si>
  <si>
    <t>001025D8</t>
  </si>
  <si>
    <t>70402DE9</t>
  </si>
  <si>
    <t>0360A0E1</t>
  </si>
  <si>
    <t>5915FEEB</t>
  </si>
  <si>
    <t>0E00001A</t>
  </si>
  <si>
    <t>5515FEEB</t>
  </si>
  <si>
    <t>FF1000E2</t>
  </si>
  <si>
    <t>DCA1FDEB</t>
  </si>
  <si>
    <t>0700000A</t>
  </si>
  <si>
    <t>4E15FEEB</t>
  </si>
  <si>
    <t>A010A0E1</t>
  </si>
  <si>
    <t>004086E5</t>
  </si>
  <si>
    <t>7040BDE8</t>
  </si>
  <si>
    <t>C301FEEA</t>
  </si>
  <si>
    <t>7080BDE8</t>
  </si>
  <si>
    <t>get pointer to byte</t>
  </si>
  <si>
    <t>strb r1, [r7]</t>
  </si>
  <si>
    <t>Handle # hits in Multi 0x43</t>
  </si>
  <si>
    <t>Call on other Target if fail or miss or other target after first hit. 0x2B/0x9E</t>
  </si>
  <si>
    <t>mov r6, r2</t>
  </si>
  <si>
    <t>cmp r9, 0x2B</t>
  </si>
  <si>
    <t>In 0x2B need 0x2, in 9E 0x3</t>
  </si>
  <si>
    <t>moveq r0, 0x2</t>
  </si>
  <si>
    <t>movne r0, 0x3</t>
  </si>
  <si>
    <t>check is self</t>
  </si>
  <si>
    <t>cmp r0, r6</t>
  </si>
  <si>
    <t>add r0, r0, 0x1</t>
  </si>
  <si>
    <t>get pointer to self</t>
  </si>
  <si>
    <t>ldrh r7, [r0, 0x38]</t>
  </si>
  <si>
    <t>load current move index</t>
  </si>
  <si>
    <t>bl 0x0008519C</t>
  </si>
  <si>
    <t>mov r2, r6</t>
  </si>
  <si>
    <t>mov r1, 0x42</t>
  </si>
  <si>
    <t>Gets animation and stuff pointer</t>
  </si>
  <si>
    <t>strh r7, [r0, 0xA]</t>
  </si>
  <si>
    <t>mov r4, r0</t>
  </si>
  <si>
    <t>strb r6, [r0, 0x8]</t>
  </si>
  <si>
    <t>ldrb r0, [r0, 0x246]</t>
  </si>
  <si>
    <t>ldr r1, [r4, 0x4]</t>
  </si>
  <si>
    <t>strb r0, [r4, 0xC]</t>
  </si>
  <si>
    <t>text index</t>
  </si>
  <si>
    <t>sub r0, r7, 0x200</t>
  </si>
  <si>
    <t>orr r0, r1, 0x10</t>
  </si>
  <si>
    <t>str r0, [r4, 0x4]</t>
  </si>
  <si>
    <t>add r0, r4, 0x10</t>
  </si>
  <si>
    <t>set text string</t>
  </si>
  <si>
    <t>Thistledown Barrage</t>
  </si>
  <si>
    <t>addeq r2, r2, 0x60</t>
  </si>
  <si>
    <t>mov r1, r4</t>
  </si>
  <si>
    <t>b 0x0007CCF4</t>
  </si>
  <si>
    <t>strb r1, [r8]</t>
  </si>
  <si>
    <t>cmp r1, 0x0</t>
  </si>
  <si>
    <t>exit</t>
  </si>
  <si>
    <t>Redirect if target is Protected or later loop 0x31</t>
  </si>
  <si>
    <t>mov r8, r3</t>
  </si>
  <si>
    <t>mov r4, r7</t>
  </si>
  <si>
    <t>cmp r5, r4</t>
  </si>
  <si>
    <t>mov r0, r7</t>
  </si>
  <si>
    <t>and r6, r0, 0xff</t>
  </si>
  <si>
    <t>orr r1, r0, 0x100</t>
  </si>
  <si>
    <t>mov r1, 0x7</t>
  </si>
  <si>
    <t>cmp r0, 0x1</t>
  </si>
  <si>
    <t>add r7, r7, 0x1</t>
  </si>
  <si>
    <t>mov r2, 0x3</t>
  </si>
  <si>
    <t>mov r10, sp</t>
  </si>
  <si>
    <t>Get current target</t>
  </si>
  <si>
    <t>Get pointer to target</t>
  </si>
  <si>
    <t>Check is Protected</t>
  </si>
  <si>
    <t>bl 0x00092ABC</t>
  </si>
  <si>
    <t>get enemy out count</t>
  </si>
  <si>
    <t>setup loop</t>
  </si>
  <si>
    <t>get next index</t>
  </si>
  <si>
    <t>pass</t>
  </si>
  <si>
    <t>get pointer</t>
  </si>
  <si>
    <t>if it is</t>
  </si>
  <si>
    <t>save index</t>
  </si>
  <si>
    <t>add 1 to possible targets</t>
  </si>
  <si>
    <t>iter ++</t>
  </si>
  <si>
    <t>check if done</t>
  </si>
  <si>
    <t>if not repeat loop</t>
  </si>
  <si>
    <t>check number found</t>
  </si>
  <si>
    <t>if 0 exit</t>
  </si>
  <si>
    <t>bl 0x00084D70</t>
  </si>
  <si>
    <t>Choose random one of them</t>
  </si>
  <si>
    <t>and load it</t>
  </si>
  <si>
    <t>set new target</t>
  </si>
  <si>
    <t>mov r0, 0x0</t>
  </si>
  <si>
    <t>check if attempt is 0</t>
  </si>
  <si>
    <t>b 0x00060128</t>
  </si>
  <si>
    <t>clear storage</t>
  </si>
  <si>
    <t>if 1st attempt and only 1 target, no changes anywhere</t>
  </si>
  <si>
    <t>Decrement hit counter 0x5B</t>
  </si>
  <si>
    <t>sub r1, r1, 0x1</t>
  </si>
  <si>
    <t>subtract 1</t>
  </si>
  <si>
    <t>make sure we don't have error</t>
  </si>
  <si>
    <t>strb r1, [r0]</t>
  </si>
  <si>
    <t>write byte back to memory</t>
  </si>
  <si>
    <t>00103EC4</t>
  </si>
  <si>
    <t>andeq r0, r0, ip, asr #15</t>
  </si>
  <si>
    <t>ldr r0, [r8, r0, lsl #0x2]</t>
  </si>
  <si>
    <t>0380A0E1</t>
  </si>
  <si>
    <t>1D0FFEEB</t>
  </si>
  <si>
    <t>180FFEEB</t>
  </si>
  <si>
    <t>000051E3</t>
  </si>
  <si>
    <t>0710A0E3</t>
  </si>
  <si>
    <t>9E04FEEB</t>
  </si>
  <si>
    <t>010050E3</t>
  </si>
  <si>
    <t>0410A0E1</t>
  </si>
  <si>
    <t>011C80E3</t>
  </si>
  <si>
    <t>0740A0E1</t>
  </si>
  <si>
    <t>0DA0A0E1</t>
  </si>
  <si>
    <t>0200001A</t>
  </si>
  <si>
    <t>000198E7</t>
  </si>
  <si>
    <t>017087E2</t>
  </si>
  <si>
    <t>040055E1</t>
  </si>
  <si>
    <t>0700A0E1</t>
  </si>
  <si>
    <t>0320A0E3</t>
  </si>
  <si>
    <t>F04FBDE8</t>
  </si>
  <si>
    <t>0000A0E3</t>
  </si>
  <si>
    <t>1800001A</t>
  </si>
  <si>
    <t>60709FE5</t>
  </si>
  <si>
    <t>0D00001A</t>
  </si>
  <si>
    <t>0010C7E5</t>
  </si>
  <si>
    <t>0260A0E1</t>
  </si>
  <si>
    <t>B873D0E1</t>
  </si>
  <si>
    <t>2B0059E3</t>
  </si>
  <si>
    <t>0200A003</t>
  </si>
  <si>
    <t>0300A013</t>
  </si>
  <si>
    <t>060050E1</t>
  </si>
  <si>
    <t>34801FE5</t>
  </si>
  <si>
    <t>010080E2</t>
  </si>
  <si>
    <t>0010C8E5</t>
  </si>
  <si>
    <t>0620A0E1</t>
  </si>
  <si>
    <t>4210A0E3</t>
  </si>
  <si>
    <t>0040A0E1</t>
  </si>
  <si>
    <t>BA70C0E1</t>
  </si>
  <si>
    <t>0860C0E5</t>
  </si>
  <si>
    <t>4602D0E5</t>
  </si>
  <si>
    <t>041094E5</t>
  </si>
  <si>
    <t>0C00C4E5</t>
  </si>
  <si>
    <t>100081E3</t>
  </si>
  <si>
    <t>040084E5</t>
  </si>
  <si>
    <t>020C47E2</t>
  </si>
  <si>
    <t>100084E2</t>
  </si>
  <si>
    <t>0800001A</t>
  </si>
  <si>
    <t>011041E2</t>
  </si>
  <si>
    <t>0010C0E5</t>
  </si>
  <si>
    <t>if not, load saved target index</t>
  </si>
  <si>
    <t>and run even if not protected</t>
  </si>
  <si>
    <t>DF38FEEB</t>
  </si>
  <si>
    <t>str r0, [r8, r7, lsl #0x2]</t>
  </si>
  <si>
    <t>070188E7</t>
  </si>
  <si>
    <t>otherwise store target byte</t>
  </si>
  <si>
    <t>0700001A</t>
  </si>
  <si>
    <t>load target index</t>
  </si>
  <si>
    <t>push {r4, r5, r6, r7, r8, lr}</t>
  </si>
  <si>
    <t>F0412DE9</t>
  </si>
  <si>
    <t>0900000A</t>
  </si>
  <si>
    <t>F041BDE8</t>
  </si>
  <si>
    <t>F081BDE8</t>
  </si>
  <si>
    <t>cmp r0, 0x9</t>
  </si>
  <si>
    <t>0100000A</t>
  </si>
  <si>
    <t>090050E3</t>
  </si>
  <si>
    <t>mov r10, r0</t>
  </si>
  <si>
    <t>mov r0, r10</t>
  </si>
  <si>
    <t>push {r4, r5, r6, r7, r8, r9, r10, lr}</t>
  </si>
  <si>
    <t>strb r0, [r8, 0x1]</t>
  </si>
  <si>
    <t>F0472DE9</t>
  </si>
  <si>
    <t>00A0A0E1</t>
  </si>
  <si>
    <t>0100C8E5</t>
  </si>
  <si>
    <t>0A00A0E1</t>
  </si>
  <si>
    <t>F047BDE8</t>
  </si>
  <si>
    <t>F087BDE8</t>
  </si>
  <si>
    <t>hits can also be zero if the first hit missed, 0x2B</t>
  </si>
  <si>
    <t>clear bytes</t>
  </si>
  <si>
    <t>get total attempts</t>
  </si>
  <si>
    <t>ldrb r0, [r11, 0x3]</t>
  </si>
  <si>
    <t>ldrbne r6, [r11, 0x2]</t>
  </si>
  <si>
    <t>strb r6, [r11, 0x2]</t>
  </si>
  <si>
    <t>str r0, [r11]</t>
  </si>
  <si>
    <t>strb r1, [r7, 0x1]</t>
  </si>
  <si>
    <t>strb r0, [r11]</t>
  </si>
  <si>
    <t>load hits remaining</t>
  </si>
  <si>
    <t>get pointer to table</t>
  </si>
  <si>
    <t>ldrb r0, [r8, 0x1]</t>
  </si>
  <si>
    <t>hits remaining</t>
  </si>
  <si>
    <t>str r0, [r8]</t>
  </si>
  <si>
    <t>not miss, check hits remaining</t>
  </si>
  <si>
    <t>ldrb r0, [r8]</t>
  </si>
  <si>
    <t>mov r1, 0x1</t>
  </si>
  <si>
    <t>mov r0, 0x1</t>
  </si>
  <si>
    <t>strb r0, [r8]</t>
  </si>
  <si>
    <t>store that byte</t>
  </si>
  <si>
    <t>otherwise reduce hits by 1</t>
  </si>
  <si>
    <t>sub r0, r0, 0x1</t>
  </si>
  <si>
    <t>ldrb r1, [r7, 0x2]</t>
  </si>
  <si>
    <t>neither protected, missed, or 2nd target (so very 1st)</t>
  </si>
  <si>
    <t>if protected, set dart tries to 1</t>
  </si>
  <si>
    <t>ldrb r0, [r8, 0x3]</t>
  </si>
  <si>
    <t>since we missed, check dart attempt byte</t>
  </si>
  <si>
    <t>get attempts total</t>
  </si>
  <si>
    <t>add 1</t>
  </si>
  <si>
    <t>store it back</t>
  </si>
  <si>
    <t>if 0, set all bytes to 0 and exit (signed &lt;= 0 to catch errors)</t>
  </si>
  <si>
    <t>self index</t>
  </si>
  <si>
    <t>ldrb r1, [r0, 0x1]</t>
  </si>
  <si>
    <t>movlt r1, 0x0</t>
  </si>
  <si>
    <t>strb r1, [r0, 0x1]</t>
  </si>
  <si>
    <t>mov r1, 0x0</t>
  </si>
  <si>
    <t>get byte of # hits remaining</t>
  </si>
  <si>
    <t>reset dart missed/protected to 0</t>
  </si>
  <si>
    <t>write byte</t>
  </si>
  <si>
    <t>0300DBE5</t>
  </si>
  <si>
    <t>0260DB15</t>
  </si>
  <si>
    <t>0900001A</t>
  </si>
  <si>
    <t>0260CBE5</t>
  </si>
  <si>
    <t>0100A0E3</t>
  </si>
  <si>
    <t>0000CBE5</t>
  </si>
  <si>
    <t>DF3AFEEB</t>
  </si>
  <si>
    <t>5771FDEB</t>
  </si>
  <si>
    <t>00008BE5</t>
  </si>
  <si>
    <t>0210D7E5</t>
  </si>
  <si>
    <t>0110C7E5</t>
  </si>
  <si>
    <t>B10EFEEB</t>
  </si>
  <si>
    <t>0000D8E5</t>
  </si>
  <si>
    <t>0000C8E5</t>
  </si>
  <si>
    <t>0100D8E5</t>
  </si>
  <si>
    <t>010040E2</t>
  </si>
  <si>
    <t>0300D8E5</t>
  </si>
  <si>
    <t>B824DFE1</t>
  </si>
  <si>
    <t>000088E5</t>
  </si>
  <si>
    <t>0110D0E5</t>
  </si>
  <si>
    <t>0010A0B3</t>
  </si>
  <si>
    <t>0110C0E5</t>
  </si>
  <si>
    <t>0010A0E3</t>
  </si>
  <si>
    <t>4 byte for attacking storage</t>
  </si>
  <si>
    <t>If 0 enemies (no target), clear &amp; exit</t>
  </si>
  <si>
    <t>ldrb r1, [r11]</t>
  </si>
  <si>
    <t>check if already redirected</t>
  </si>
  <si>
    <t>lsr r1, r1, #1</t>
  </si>
  <si>
    <t>A110A0E1</t>
  </si>
  <si>
    <t>ldrb r0, [r7, 0x3]</t>
  </si>
  <si>
    <t>0300D7E5</t>
  </si>
  <si>
    <t>ldrbne r1, [r7, 0x1]</t>
  </si>
  <si>
    <t>0110D715</t>
  </si>
  <si>
    <t>rsbs r0, r0, 0x1</t>
  </si>
  <si>
    <t>was 0, do not reduce hits by 1</t>
  </si>
  <si>
    <t>do 1 - r0 and set CPSR. If it was 1, now EQ, otherwise NE</t>
  </si>
  <si>
    <t>if NOT missed, we finished previous dart, try next</t>
  </si>
  <si>
    <t>set "dart attempt" to 0</t>
  </si>
  <si>
    <t>010070E2</t>
  </si>
  <si>
    <t>0500001A</t>
  </si>
  <si>
    <t>020000EA</t>
  </si>
  <si>
    <t>240000DA</t>
  </si>
  <si>
    <t>load attempts count</t>
  </si>
  <si>
    <t>not miss on very first attempt, so hits byte should be set</t>
  </si>
  <si>
    <t>check if 0</t>
  </si>
  <si>
    <t>missed on very first attempt, so hits byte not set,</t>
  </si>
  <si>
    <t>strb r0, [r8, 0x3]</t>
  </si>
  <si>
    <t>r0 is already 0, go to increment total attempts and try again</t>
  </si>
  <si>
    <t>0110A0E3</t>
  </si>
  <si>
    <t>0C0000EA</t>
  </si>
  <si>
    <t>0300C8E5</t>
  </si>
  <si>
    <t>48011FE5</t>
  </si>
  <si>
    <t>check if no attempts</t>
  </si>
  <si>
    <t>if hits != 0 and not first attempt, set that. Otherwise…</t>
  </si>
  <si>
    <t>mov r1, 0xFF</t>
  </si>
  <si>
    <t>set dart attempt byte to FF</t>
  </si>
  <si>
    <t>get roll of actual # hits</t>
  </si>
  <si>
    <t>ldrb r1, [r7]</t>
  </si>
  <si>
    <t>get byte of dart attempts</t>
  </si>
  <si>
    <t>cmp r1, 0xFF</t>
  </si>
  <si>
    <t>check if flagged for first use of move missed</t>
  </si>
  <si>
    <t>0010D7E5</t>
  </si>
  <si>
    <t>FF0051E3</t>
  </si>
  <si>
    <t>FF10A0E3</t>
  </si>
  <si>
    <t>check current index against previous target</t>
  </si>
  <si>
    <t>if different continue to Protected check</t>
  </si>
  <si>
    <t>3E00001A</t>
  </si>
  <si>
    <t>0010DBE5</t>
  </si>
  <si>
    <t>C438FEEB</t>
  </si>
  <si>
    <t>8304FEEB</t>
  </si>
  <si>
    <t>EDFFFF8A</t>
  </si>
  <si>
    <t>otherwise get byte for dart attempt # (if initial attempt (0) for this dart can hit same Pokemon again)</t>
  </si>
  <si>
    <t>if not initial for this dart, next iteration</t>
  </si>
  <si>
    <t>not so, load remaining hits</t>
  </si>
  <si>
    <t>set dart attemp to 1</t>
  </si>
  <si>
    <t>0500000A</t>
  </si>
  <si>
    <t>0B00001A</t>
  </si>
  <si>
    <t>cmp r7, 0x1</t>
  </si>
  <si>
    <t>moveq r0, 0x0</t>
  </si>
  <si>
    <t>if 1 set r0 to 0 and load that single one</t>
  </si>
  <si>
    <t>load #1</t>
  </si>
  <si>
    <t>ldrb r0, [r8, 0x4]</t>
  </si>
  <si>
    <t>load #2</t>
  </si>
  <si>
    <t>cmp r7, 0x3</t>
  </si>
  <si>
    <t>check if 3 enemies (Battle Royale)</t>
  </si>
  <si>
    <t>2 enemies case</t>
  </si>
  <si>
    <t>load #3</t>
  </si>
  <si>
    <t>check if this index is current target</t>
  </si>
  <si>
    <t>moveq r7, 0x2</t>
  </si>
  <si>
    <t>ldrb r0, [r8, 0x8]</t>
  </si>
  <si>
    <t>moveq r10, 0x0</t>
  </si>
  <si>
    <t>moveq r10, 0x1</t>
  </si>
  <si>
    <t>in this case, just reduce r7 by one</t>
  </si>
  <si>
    <t>cmp r0, r10</t>
  </si>
  <si>
    <t>check if equals current target</t>
  </si>
  <si>
    <t>if so roll again</t>
  </si>
  <si>
    <t>and roll</t>
  </si>
  <si>
    <t>(r10 was set to sp, so if it's 0, 1, or 2 we've already crashed)</t>
  </si>
  <si>
    <t>4E00001A</t>
  </si>
  <si>
    <t>C4B19FE5</t>
  </si>
  <si>
    <t>3100000A</t>
  </si>
  <si>
    <t>010057E3</t>
  </si>
  <si>
    <t>1B00003A</t>
  </si>
  <si>
    <t>0000A003</t>
  </si>
  <si>
    <t>1000000A</t>
  </si>
  <si>
    <t>030057E3</t>
  </si>
  <si>
    <t>0300001A</t>
  </si>
  <si>
    <t>0800D8E5</t>
  </si>
  <si>
    <t>0270A003</t>
  </si>
  <si>
    <t>0600000A</t>
  </si>
  <si>
    <t>00A0A003</t>
  </si>
  <si>
    <t>0400D8E5</t>
  </si>
  <si>
    <t>01A0A003</t>
  </si>
  <si>
    <t>5D03FEEB</t>
  </si>
  <si>
    <t>0A0050E1</t>
  </si>
  <si>
    <t>FBFFFF0A</t>
  </si>
  <si>
    <t>4270FDEA</t>
  </si>
  <si>
    <t>C40EFEEB</t>
  </si>
  <si>
    <t>3F9BFDEB</t>
  </si>
  <si>
    <t>24FBFDEA</t>
  </si>
  <si>
    <t>9F0EFEEB</t>
  </si>
  <si>
    <t>5138FEEB</t>
  </si>
  <si>
    <t>640DFEEB</t>
  </si>
  <si>
    <t>AE16FEEB</t>
  </si>
  <si>
    <t>91EDFDEB</t>
  </si>
  <si>
    <t>C9E2FDEA</t>
  </si>
  <si>
    <t>5A0EFEEB</t>
  </si>
  <si>
    <t>This is full implementation of all stock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</si>
</sst>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C483"/>
        <bgColor indexed="64"/>
      </patternFill>
    </fill>
    <fill>
      <patternFill patternType="solid">
        <fgColor rgb="FFF1A9BF"/>
        <bgColor indexed="64"/>
      </patternFill>
    </fill>
    <fill>
      <patternFill patternType="solid">
        <fgColor rgb="FFAFAF00"/>
        <bgColor indexed="64"/>
      </patternFill>
    </fill>
    <fill>
      <patternFill patternType="solid">
        <fgColor rgb="FFFFC864"/>
        <bgColor indexed="64"/>
      </patternFill>
    </fill>
    <fill>
      <patternFill patternType="solid">
        <fgColor rgb="FFC8FF64"/>
        <bgColor indexed="64"/>
      </patternFill>
    </fill>
    <fill>
      <patternFill patternType="solid">
        <fgColor rgb="FFEBB6E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quotePrefix="1" applyFont="1"/>
    <xf numFmtId="0" fontId="4" fillId="0" borderId="0" xfId="0" applyFont="1"/>
    <xf numFmtId="0" fontId="3" fillId="0" borderId="0" xfId="1" applyNumberFormat="1" applyFont="1" applyFill="1"/>
    <xf numFmtId="0" fontId="3" fillId="3" borderId="0" xfId="0" applyFont="1" applyFill="1"/>
    <xf numFmtId="0" fontId="3" fillId="3" borderId="0" xfId="0" quotePrefix="1" applyFont="1" applyFill="1"/>
    <xf numFmtId="0" fontId="3" fillId="2" borderId="0" xfId="0" applyFont="1" applyFill="1"/>
    <xf numFmtId="0" fontId="3" fillId="4" borderId="0" xfId="0" applyFont="1" applyFill="1"/>
    <xf numFmtId="0" fontId="3" fillId="4" borderId="0" xfId="0" quotePrefix="1" applyFont="1" applyFill="1"/>
    <xf numFmtId="0" fontId="3" fillId="5" borderId="0" xfId="0" applyFont="1" applyFill="1"/>
    <xf numFmtId="0" fontId="3" fillId="5" borderId="0" xfId="0" quotePrefix="1" applyFont="1" applyFill="1"/>
    <xf numFmtId="0" fontId="2" fillId="0" borderId="0" xfId="0" quotePrefix="1" applyFont="1"/>
    <xf numFmtId="0" fontId="3" fillId="6" borderId="0" xfId="0" applyFont="1" applyFill="1"/>
    <xf numFmtId="0" fontId="3" fillId="6" borderId="0" xfId="0" quotePrefix="1" applyFont="1" applyFill="1"/>
    <xf numFmtId="0" fontId="4" fillId="5" borderId="0" xfId="0" quotePrefix="1" applyFont="1" applyFill="1"/>
    <xf numFmtId="0" fontId="4" fillId="5" borderId="0" xfId="0" applyFont="1" applyFill="1"/>
    <xf numFmtId="0" fontId="3" fillId="7" borderId="0" xfId="0" applyFont="1" applyFill="1"/>
    <xf numFmtId="0" fontId="4" fillId="7" borderId="0" xfId="0" quotePrefix="1" applyFont="1" applyFill="1"/>
    <xf numFmtId="0" fontId="4" fillId="7" borderId="0" xfId="0" applyFont="1" applyFill="1"/>
    <xf numFmtId="0" fontId="3" fillId="8" borderId="0" xfId="0" applyFont="1" applyFill="1"/>
    <xf numFmtId="0" fontId="4" fillId="8" borderId="0" xfId="0" quotePrefix="1" applyFont="1" applyFill="1"/>
    <xf numFmtId="0" fontId="4" fillId="8" borderId="0" xfId="0" applyFont="1" applyFill="1"/>
    <xf numFmtId="0" fontId="3" fillId="9" borderId="0" xfId="0" applyFont="1" applyFill="1"/>
    <xf numFmtId="0" fontId="4" fillId="9" borderId="0" xfId="0" quotePrefix="1" applyFont="1" applyFill="1"/>
    <xf numFmtId="0" fontId="4" fillId="9" borderId="0" xfId="0" applyFont="1" applyFill="1"/>
    <xf numFmtId="0" fontId="3" fillId="10" borderId="0" xfId="0" applyFont="1" applyFill="1"/>
    <xf numFmtId="0" fontId="4" fillId="10" borderId="0" xfId="0" quotePrefix="1" applyFont="1" applyFill="1"/>
    <xf numFmtId="0" fontId="4" fillId="10" borderId="0" xfId="0" applyFont="1" applyFill="1"/>
    <xf numFmtId="0" fontId="3" fillId="11" borderId="0" xfId="0" applyFont="1" applyFill="1"/>
    <xf numFmtId="0" fontId="4" fillId="11" borderId="0" xfId="0" quotePrefix="1" applyFont="1" applyFill="1"/>
    <xf numFmtId="0" fontId="4" fillId="11" borderId="0" xfId="0" applyFont="1" applyFill="1"/>
    <xf numFmtId="0" fontId="3" fillId="12" borderId="0" xfId="0" applyFont="1" applyFill="1"/>
    <xf numFmtId="0" fontId="4" fillId="12" borderId="0" xfId="0" quotePrefix="1" applyFont="1" applyFill="1"/>
    <xf numFmtId="0" fontId="4" fillId="12" borderId="0" xfId="0" applyFont="1" applyFill="1"/>
    <xf numFmtId="0" fontId="3" fillId="13" borderId="0" xfId="0" applyFont="1" applyFill="1"/>
    <xf numFmtId="0" fontId="4" fillId="13" borderId="0" xfId="0" quotePrefix="1" applyFont="1" applyFill="1"/>
    <xf numFmtId="0" fontId="4" fillId="13" borderId="0" xfId="0" applyFont="1" applyFill="1"/>
    <xf numFmtId="0" fontId="3" fillId="14" borderId="0" xfId="0" applyFont="1" applyFill="1"/>
    <xf numFmtId="0" fontId="3" fillId="14" borderId="0" xfId="0" quotePrefix="1" applyFont="1" applyFill="1"/>
    <xf numFmtId="0" fontId="4" fillId="14" borderId="0" xfId="0" applyFont="1" applyFill="1"/>
    <xf numFmtId="0" fontId="3" fillId="15" borderId="0" xfId="0" applyFont="1" applyFill="1"/>
    <xf numFmtId="0" fontId="3" fillId="15" borderId="0" xfId="0" quotePrefix="1" applyFont="1" applyFill="1"/>
    <xf numFmtId="0" fontId="3" fillId="16" borderId="0" xfId="0" applyFont="1" applyFill="1"/>
    <xf numFmtId="0" fontId="3" fillId="16" borderId="0" xfId="0" quotePrefix="1" applyFont="1" applyFill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3" fillId="13" borderId="0" xfId="0" applyFont="1" applyFill="1" applyAlignment="1">
      <alignment wrapText="1"/>
    </xf>
    <xf numFmtId="0" fontId="3" fillId="14" borderId="0" xfId="0" applyFont="1" applyFill="1" applyAlignment="1">
      <alignment wrapText="1"/>
    </xf>
    <xf numFmtId="0" fontId="3" fillId="15" borderId="0" xfId="0" applyFont="1" applyFill="1" applyAlignment="1">
      <alignment wrapText="1"/>
    </xf>
    <xf numFmtId="0" fontId="3" fillId="16" borderId="0" xfId="0" applyFont="1" applyFill="1" applyAlignment="1">
      <alignment wrapText="1"/>
    </xf>
    <xf numFmtId="0" fontId="3" fillId="5" borderId="0" xfId="0" quotePrefix="1" applyFont="1" applyFill="1" applyAlignment="1">
      <alignment wrapText="1"/>
    </xf>
    <xf numFmtId="0" fontId="3" fillId="17" borderId="0" xfId="0" applyFont="1" applyFill="1"/>
    <xf numFmtId="0" fontId="3" fillId="17" borderId="0" xfId="0" quotePrefix="1" applyFont="1" applyFill="1"/>
    <xf numFmtId="0" fontId="3" fillId="18" borderId="0" xfId="0" applyFont="1" applyFill="1"/>
    <xf numFmtId="0" fontId="3" fillId="18" borderId="0" xfId="0" quotePrefix="1" applyFont="1" applyFill="1"/>
    <xf numFmtId="0" fontId="3" fillId="19" borderId="0" xfId="0" applyFont="1" applyFill="1"/>
    <xf numFmtId="0" fontId="3" fillId="19" borderId="0" xfId="0" quotePrefix="1" applyFont="1" applyFill="1"/>
    <xf numFmtId="0" fontId="3" fillId="2" borderId="0" xfId="0" quotePrefix="1" applyFont="1" applyFill="1"/>
    <xf numFmtId="0" fontId="3" fillId="13" borderId="0" xfId="0" quotePrefix="1" applyFont="1" applyFill="1"/>
    <xf numFmtId="0" fontId="4" fillId="14" borderId="0" xfId="0" quotePrefix="1" applyFont="1" applyFill="1"/>
    <xf numFmtId="0" fontId="3" fillId="20" borderId="0" xfId="0" applyFont="1" applyFill="1"/>
    <xf numFmtId="0" fontId="4" fillId="20" borderId="0" xfId="0" quotePrefix="1" applyFont="1" applyFill="1"/>
    <xf numFmtId="0" fontId="3" fillId="20" borderId="0" xfId="0" quotePrefix="1" applyFont="1" applyFill="1"/>
    <xf numFmtId="0" fontId="3" fillId="21" borderId="0" xfId="0" applyFont="1" applyFill="1"/>
    <xf numFmtId="0" fontId="3" fillId="21" borderId="0" xfId="0" quotePrefix="1" applyFont="1" applyFill="1"/>
    <xf numFmtId="0" fontId="3" fillId="12" borderId="0" xfId="0" quotePrefix="1" applyFont="1" applyFill="1"/>
    <xf numFmtId="0" fontId="3" fillId="8" borderId="0" xfId="0" quotePrefix="1" applyFont="1" applyFill="1"/>
    <xf numFmtId="0" fontId="3" fillId="9" borderId="0" xfId="0" quotePrefix="1" applyFont="1" applyFill="1"/>
    <xf numFmtId="0" fontId="3" fillId="10" borderId="0" xfId="0" quotePrefix="1" applyFont="1" applyFill="1"/>
    <xf numFmtId="0" fontId="3" fillId="22" borderId="0" xfId="0" applyFont="1" applyFill="1"/>
    <xf numFmtId="0" fontId="3" fillId="22" borderId="0" xfId="0" quotePrefix="1" applyFont="1" applyFill="1"/>
    <xf numFmtId="0" fontId="3" fillId="23" borderId="0" xfId="0" applyFont="1" applyFill="1"/>
    <xf numFmtId="0" fontId="3" fillId="23" borderId="0" xfId="0" quotePrefix="1" applyFont="1" applyFill="1"/>
    <xf numFmtId="0" fontId="3" fillId="24" borderId="0" xfId="0" applyFont="1" applyFill="1"/>
    <xf numFmtId="0" fontId="3" fillId="24" borderId="0" xfId="0" quotePrefix="1" applyFont="1" applyFill="1"/>
    <xf numFmtId="0" fontId="3" fillId="25" borderId="0" xfId="0" applyFont="1" applyFill="1"/>
    <xf numFmtId="0" fontId="3" fillId="25" borderId="0" xfId="0" quotePrefix="1" applyFont="1" applyFill="1"/>
    <xf numFmtId="0" fontId="3" fillId="26" borderId="0" xfId="0" applyFont="1" applyFill="1"/>
    <xf numFmtId="0" fontId="3" fillId="26" borderId="0" xfId="0" quotePrefix="1" applyFont="1" applyFill="1"/>
    <xf numFmtId="0" fontId="3" fillId="27" borderId="0" xfId="0" applyFont="1" applyFill="1"/>
    <xf numFmtId="0" fontId="3" fillId="27" borderId="0" xfId="0" quotePrefix="1" applyFont="1" applyFill="1"/>
    <xf numFmtId="0" fontId="3" fillId="27" borderId="0" xfId="0" applyFont="1" applyFill="1" applyAlignment="1">
      <alignment wrapText="1"/>
    </xf>
    <xf numFmtId="0" fontId="3" fillId="28" borderId="0" xfId="0" applyFont="1" applyFill="1"/>
    <xf numFmtId="0" fontId="4" fillId="28" borderId="0" xfId="0" quotePrefix="1" applyFont="1" applyFill="1"/>
    <xf numFmtId="0" fontId="3" fillId="29" borderId="0" xfId="0" applyFont="1" applyFill="1"/>
    <xf numFmtId="0" fontId="4" fillId="29" borderId="0" xfId="0" quotePrefix="1" applyFont="1" applyFill="1"/>
    <xf numFmtId="0" fontId="3" fillId="30" borderId="0" xfId="0" applyFont="1" applyFill="1"/>
    <xf numFmtId="0" fontId="3" fillId="30" borderId="0" xfId="0" quotePrefix="1" applyFont="1" applyFill="1"/>
    <xf numFmtId="0" fontId="3" fillId="28" borderId="0" xfId="0" quotePrefix="1" applyFont="1" applyFill="1"/>
    <xf numFmtId="0" fontId="3" fillId="31" borderId="0" xfId="0" applyFont="1" applyFill="1"/>
    <xf numFmtId="0" fontId="3" fillId="31" borderId="0" xfId="0" quotePrefix="1" applyFont="1" applyFill="1"/>
    <xf numFmtId="0" fontId="3" fillId="31" borderId="0" xfId="0" applyFont="1" applyFill="1" applyAlignment="1">
      <alignment wrapText="1"/>
    </xf>
    <xf numFmtId="0" fontId="3" fillId="32" borderId="0" xfId="0" applyFont="1" applyFill="1"/>
    <xf numFmtId="0" fontId="3" fillId="32" borderId="0" xfId="0" quotePrefix="1" applyFont="1" applyFill="1"/>
    <xf numFmtId="0" fontId="3" fillId="18" borderId="0" xfId="0" applyFont="1" applyFill="1" applyAlignment="1">
      <alignment wrapText="1"/>
    </xf>
    <xf numFmtId="0" fontId="3" fillId="25" borderId="0" xfId="0" applyFont="1" applyFill="1" applyAlignment="1">
      <alignment wrapText="1"/>
    </xf>
    <xf numFmtId="0" fontId="3" fillId="21" borderId="0" xfId="0" applyFont="1" applyFill="1" applyAlignment="1">
      <alignment wrapText="1"/>
    </xf>
    <xf numFmtId="0" fontId="3" fillId="26" borderId="0" xfId="0" applyFont="1" applyFill="1" applyAlignment="1">
      <alignment wrapText="1"/>
    </xf>
    <xf numFmtId="0" fontId="3" fillId="12" borderId="0" xfId="0" applyFont="1" applyFill="1" applyAlignment="1">
      <alignment wrapText="1"/>
    </xf>
    <xf numFmtId="0" fontId="3" fillId="22" borderId="0" xfId="0" applyFont="1" applyFill="1" applyAlignment="1">
      <alignment wrapText="1"/>
    </xf>
    <xf numFmtId="0" fontId="3" fillId="23" borderId="0" xfId="0" applyFont="1" applyFill="1" applyAlignment="1">
      <alignment wrapText="1"/>
    </xf>
    <xf numFmtId="0" fontId="3" fillId="24" borderId="0" xfId="0" applyFont="1" applyFill="1" applyAlignment="1">
      <alignment wrapText="1"/>
    </xf>
    <xf numFmtId="0" fontId="3" fillId="19" borderId="0" xfId="0" applyFont="1" applyFill="1" applyAlignment="1">
      <alignment wrapText="1"/>
    </xf>
    <xf numFmtId="0" fontId="3" fillId="17" borderId="0" xfId="0" applyFont="1" applyFill="1" applyAlignment="1">
      <alignment wrapText="1"/>
    </xf>
    <xf numFmtId="0" fontId="3" fillId="32" borderId="0" xfId="0" applyFont="1" applyFill="1" applyAlignment="1">
      <alignment wrapText="1"/>
    </xf>
    <xf numFmtId="0" fontId="3" fillId="30" borderId="0" xfId="0" applyFont="1" applyFill="1" applyAlignment="1">
      <alignment wrapText="1"/>
    </xf>
    <xf numFmtId="0" fontId="3" fillId="28" borderId="0" xfId="0" applyFont="1" applyFill="1" applyAlignment="1">
      <alignment wrapText="1"/>
    </xf>
    <xf numFmtId="0" fontId="3" fillId="29" borderId="0" xfId="0" applyFont="1" applyFill="1" applyAlignment="1">
      <alignment wrapText="1"/>
    </xf>
    <xf numFmtId="0" fontId="3" fillId="20" borderId="0" xfId="0" applyFont="1" applyFill="1" applyAlignment="1">
      <alignment wrapText="1"/>
    </xf>
    <xf numFmtId="0" fontId="3" fillId="33" borderId="0" xfId="0" applyFont="1" applyFill="1"/>
    <xf numFmtId="0" fontId="3" fillId="33" borderId="0" xfId="0" quotePrefix="1" applyFont="1" applyFill="1"/>
    <xf numFmtId="0" fontId="3" fillId="33" borderId="0" xfId="0" applyFont="1" applyFill="1" applyAlignment="1">
      <alignment wrapText="1"/>
    </xf>
    <xf numFmtId="0" fontId="3" fillId="34" borderId="0" xfId="0" applyFont="1" applyFill="1"/>
    <xf numFmtId="0" fontId="3" fillId="34" borderId="0" xfId="0" quotePrefix="1" applyFont="1" applyFill="1"/>
    <xf numFmtId="0" fontId="3" fillId="34" borderId="0" xfId="0" applyFont="1" applyFill="1" applyAlignment="1">
      <alignment wrapText="1"/>
    </xf>
    <xf numFmtId="0" fontId="3" fillId="35" borderId="0" xfId="0" applyFont="1" applyFill="1"/>
    <xf numFmtId="0" fontId="3" fillId="35" borderId="0" xfId="0" quotePrefix="1" applyFont="1" applyFill="1"/>
    <xf numFmtId="0" fontId="3" fillId="35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8FF64"/>
      <color rgb="FFEBB6E6"/>
      <color rgb="FFFFC864"/>
      <color rgb="FFD9C483"/>
      <color rgb="FFAFAF00"/>
      <color rgb="FFF1A9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98B5-6BF0-4324-8B7C-4C4A3A8F7E4C}">
  <dimension ref="A1:G249"/>
  <sheetViews>
    <sheetView tabSelected="1" zoomScale="85" zoomScaleNormal="85" workbookViewId="0">
      <pane ySplit="1" topLeftCell="A216" activePane="bottomLeft" state="frozen"/>
      <selection pane="bottomLeft" activeCell="A233" sqref="A233:XFD245"/>
    </sheetView>
  </sheetViews>
  <sheetFormatPr defaultColWidth="9.2109375" defaultRowHeight="15.9"/>
  <cols>
    <col min="1" max="1" width="10.2109375" style="2" customWidth="1"/>
    <col min="2" max="2" width="9.640625" style="2" bestFit="1" customWidth="1"/>
    <col min="3" max="3" width="47.5" style="2" bestFit="1" customWidth="1"/>
    <col min="4" max="4" width="71" style="48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47" t="s">
        <v>3</v>
      </c>
    </row>
    <row r="2" spans="1:4">
      <c r="A2" s="1" t="s">
        <v>1029</v>
      </c>
      <c r="B2" s="1"/>
      <c r="C2" s="1"/>
      <c r="D2" s="48" t="s">
        <v>1517</v>
      </c>
    </row>
    <row r="3" spans="1:4">
      <c r="A3" s="3" t="s">
        <v>1028</v>
      </c>
      <c r="B3" s="2" t="str">
        <f>_xlfn.CONCAT("0",RIGHT(C3,1),"10A0E3")</f>
        <v>0610A0E3</v>
      </c>
      <c r="C3" s="2" t="s">
        <v>951</v>
      </c>
      <c r="D3" s="47"/>
    </row>
    <row r="4" spans="1:4">
      <c r="A4" s="2" t="str">
        <f t="shared" ref="A4:A7" si="0">DEC2HEX(HEX2DEC(A3)+4,8)</f>
        <v>000C8CD4</v>
      </c>
      <c r="B4" s="3" t="s">
        <v>831</v>
      </c>
      <c r="C4" s="2" t="s">
        <v>832</v>
      </c>
      <c r="D4" s="47"/>
    </row>
    <row r="5" spans="1:4">
      <c r="A5" s="2" t="str">
        <f t="shared" si="0"/>
        <v>000C8CD8</v>
      </c>
      <c r="B5" s="2" t="s">
        <v>833</v>
      </c>
      <c r="C5" s="2" t="s">
        <v>834</v>
      </c>
      <c r="D5" s="47"/>
    </row>
    <row r="6" spans="1:4">
      <c r="A6" s="2" t="str">
        <f t="shared" si="0"/>
        <v>000C8CDC</v>
      </c>
      <c r="B6" s="2" t="s">
        <v>835</v>
      </c>
      <c r="C6" s="2" t="s">
        <v>836</v>
      </c>
    </row>
    <row r="7" spans="1:4">
      <c r="A7" s="2" t="str">
        <f t="shared" si="0"/>
        <v>000C8CE0</v>
      </c>
      <c r="B7" s="3" t="s">
        <v>830</v>
      </c>
      <c r="C7" s="2" t="s">
        <v>837</v>
      </c>
    </row>
    <row r="8" spans="1:4">
      <c r="B8" s="1"/>
      <c r="C8" s="1"/>
      <c r="D8" s="47"/>
    </row>
    <row r="9" spans="1:4">
      <c r="A9" s="1" t="s">
        <v>848</v>
      </c>
      <c r="C9" s="5"/>
    </row>
    <row r="10" spans="1:4">
      <c r="A10" s="2" t="s">
        <v>1036</v>
      </c>
      <c r="B10" s="3"/>
    </row>
    <row r="11" spans="1:4">
      <c r="B11" s="3"/>
    </row>
    <row r="12" spans="1:4">
      <c r="A12" s="1" t="s">
        <v>1231</v>
      </c>
      <c r="C12" s="5"/>
    </row>
    <row r="13" spans="1:4">
      <c r="A13" s="2" t="s">
        <v>1275</v>
      </c>
      <c r="B13" s="3" t="s">
        <v>862</v>
      </c>
      <c r="C13" s="2" t="s">
        <v>930</v>
      </c>
    </row>
    <row r="14" spans="1:4">
      <c r="A14" s="2" t="str">
        <f t="shared" ref="A14:A93" si="1">DEC2HEX(HEX2DEC(A13)+4,8)</f>
        <v>00103EC8</v>
      </c>
      <c r="B14" s="3" t="s">
        <v>863</v>
      </c>
      <c r="C14" s="2" t="s">
        <v>1118</v>
      </c>
    </row>
    <row r="15" spans="1:4">
      <c r="A15" s="2" t="str">
        <f t="shared" si="1"/>
        <v>00103ECC</v>
      </c>
      <c r="B15" s="3" t="s">
        <v>840</v>
      </c>
      <c r="C15" s="2" t="s">
        <v>838</v>
      </c>
    </row>
    <row r="16" spans="1:4">
      <c r="A16" s="2" t="str">
        <f t="shared" si="1"/>
        <v>00103ED0</v>
      </c>
      <c r="B16" s="3" t="s">
        <v>865</v>
      </c>
      <c r="C16" s="2" t="s">
        <v>961</v>
      </c>
    </row>
    <row r="17" spans="1:4">
      <c r="A17" s="2" t="str">
        <f t="shared" si="1"/>
        <v>00103ED4</v>
      </c>
      <c r="B17" s="3" t="s">
        <v>1278</v>
      </c>
      <c r="C17" s="2" t="s">
        <v>1232</v>
      </c>
    </row>
    <row r="18" spans="1:4">
      <c r="A18" s="15" t="str">
        <f t="shared" si="1"/>
        <v>00103ED8</v>
      </c>
      <c r="B18" s="16" t="s">
        <v>841</v>
      </c>
      <c r="C18" s="15" t="s">
        <v>839</v>
      </c>
      <c r="D18" s="49" t="s">
        <v>847</v>
      </c>
    </row>
    <row r="19" spans="1:4">
      <c r="A19" s="15" t="str">
        <f t="shared" si="1"/>
        <v>00103EDC</v>
      </c>
      <c r="B19" s="16" t="s">
        <v>1279</v>
      </c>
      <c r="C19" s="15" t="s">
        <v>846</v>
      </c>
      <c r="D19" s="49"/>
    </row>
    <row r="20" spans="1:4">
      <c r="A20" s="15" t="str">
        <f t="shared" si="1"/>
        <v>00103EE0</v>
      </c>
      <c r="B20" s="16" t="s">
        <v>843</v>
      </c>
      <c r="C20" s="15" t="s">
        <v>842</v>
      </c>
      <c r="D20" s="49"/>
    </row>
    <row r="21" spans="1:4">
      <c r="A21" s="15" t="str">
        <f t="shared" si="1"/>
        <v>00103EE4</v>
      </c>
      <c r="B21" s="16" t="s">
        <v>1488</v>
      </c>
      <c r="C21" s="15" t="str">
        <f>_xlfn.CONCAT("bne 0x",A101)</f>
        <v>bne 0x00104024</v>
      </c>
      <c r="D21" s="49"/>
    </row>
    <row r="22" spans="1:4">
      <c r="A22" s="2" t="str">
        <f t="shared" si="1"/>
        <v>00103EE8</v>
      </c>
      <c r="B22" s="3" t="s">
        <v>1489</v>
      </c>
      <c r="C22" s="2" t="str">
        <f>_xlfn.CONCAT("ldr r11, [pc, #",HEX2DEC(A$139)-HEX2DEC(A22)-8,"]")</f>
        <v>ldr r11, [pc, #452]</v>
      </c>
      <c r="D22" s="48" t="s">
        <v>1251</v>
      </c>
    </row>
    <row r="23" spans="1:4">
      <c r="A23" s="9" t="str">
        <f t="shared" si="1"/>
        <v>00103EEC</v>
      </c>
      <c r="B23" s="70" t="s">
        <v>869</v>
      </c>
      <c r="C23" s="9" t="s">
        <v>945</v>
      </c>
      <c r="D23" s="50" t="s">
        <v>1243</v>
      </c>
    </row>
    <row r="24" spans="1:4">
      <c r="A24" s="9" t="str">
        <f t="shared" si="1"/>
        <v>00103EF0</v>
      </c>
      <c r="B24" s="70" t="s">
        <v>1280</v>
      </c>
      <c r="C24" s="9" t="s">
        <v>846</v>
      </c>
      <c r="D24" s="50"/>
    </row>
    <row r="25" spans="1:4">
      <c r="A25" s="9" t="str">
        <f t="shared" si="1"/>
        <v>00103EF4</v>
      </c>
      <c r="B25" s="70" t="s">
        <v>871</v>
      </c>
      <c r="C25" s="9" t="s">
        <v>1236</v>
      </c>
      <c r="D25" s="50"/>
    </row>
    <row r="26" spans="1:4">
      <c r="A26" s="88" t="str">
        <f t="shared" si="1"/>
        <v>00103EF8</v>
      </c>
      <c r="B26" s="89" t="s">
        <v>1390</v>
      </c>
      <c r="C26" s="88" t="s">
        <v>1354</v>
      </c>
      <c r="D26" s="108" t="s">
        <v>1353</v>
      </c>
    </row>
    <row r="27" spans="1:4">
      <c r="A27" s="88" t="str">
        <f t="shared" si="1"/>
        <v>00103EFC</v>
      </c>
      <c r="B27" s="89" t="s">
        <v>1031</v>
      </c>
      <c r="C27" s="88" t="s">
        <v>1006</v>
      </c>
      <c r="D27" s="108" t="s">
        <v>1265</v>
      </c>
    </row>
    <row r="28" spans="1:4">
      <c r="A28" s="88" t="str">
        <f t="shared" si="1"/>
        <v>00103F00</v>
      </c>
      <c r="B28" s="89" t="s">
        <v>1391</v>
      </c>
      <c r="C28" s="88" t="s">
        <v>1355</v>
      </c>
      <c r="D28" s="108" t="s">
        <v>1325</v>
      </c>
    </row>
    <row r="29" spans="1:4">
      <c r="A29" s="76" t="str">
        <f t="shared" si="1"/>
        <v>00103F04</v>
      </c>
      <c r="B29" s="77" t="s">
        <v>1392</v>
      </c>
      <c r="C29" s="76" t="str">
        <f>_xlfn.CONCAT("bne 0x",A40)</f>
        <v>bne 0x00103F30</v>
      </c>
      <c r="D29" s="109" t="s">
        <v>1326</v>
      </c>
    </row>
    <row r="30" spans="1:4">
      <c r="A30" s="88" t="str">
        <f t="shared" si="1"/>
        <v>00103F08</v>
      </c>
      <c r="B30" s="89" t="s">
        <v>1393</v>
      </c>
      <c r="C30" s="88" t="s">
        <v>1356</v>
      </c>
      <c r="D30" s="108" t="s">
        <v>1330</v>
      </c>
    </row>
    <row r="31" spans="1:4">
      <c r="A31" s="7" t="str">
        <f t="shared" si="1"/>
        <v>00103F0C</v>
      </c>
      <c r="B31" s="8" t="s">
        <v>872</v>
      </c>
      <c r="C31" s="7" t="s">
        <v>851</v>
      </c>
      <c r="D31" s="51" t="s">
        <v>1244</v>
      </c>
    </row>
    <row r="32" spans="1:4">
      <c r="A32" s="7" t="str">
        <f t="shared" si="1"/>
        <v>00103F10</v>
      </c>
      <c r="B32" s="8" t="s">
        <v>873</v>
      </c>
      <c r="C32" s="7" t="s">
        <v>962</v>
      </c>
      <c r="D32" s="51"/>
    </row>
    <row r="33" spans="1:4">
      <c r="A33" s="7" t="str">
        <f t="shared" si="1"/>
        <v>00103F14</v>
      </c>
      <c r="B33" s="8" t="s">
        <v>1327</v>
      </c>
      <c r="C33" s="7" t="s">
        <v>1002</v>
      </c>
      <c r="D33" s="51"/>
    </row>
    <row r="34" spans="1:4">
      <c r="A34" s="10" t="str">
        <f t="shared" si="1"/>
        <v>00103F18</v>
      </c>
      <c r="B34" s="11" t="s">
        <v>1282</v>
      </c>
      <c r="C34" s="10" t="s">
        <v>1238</v>
      </c>
      <c r="D34" s="52" t="s">
        <v>1245</v>
      </c>
    </row>
    <row r="35" spans="1:4">
      <c r="A35" s="10" t="str">
        <f t="shared" si="1"/>
        <v>00103F1C</v>
      </c>
      <c r="B35" s="11" t="s">
        <v>1283</v>
      </c>
      <c r="C35" s="10" t="s">
        <v>1208</v>
      </c>
      <c r="D35" s="52"/>
    </row>
    <row r="36" spans="1:4">
      <c r="A36" s="10" t="str">
        <f t="shared" si="1"/>
        <v>00103F20</v>
      </c>
      <c r="B36" s="11" t="s">
        <v>1284</v>
      </c>
      <c r="C36" s="10" t="s">
        <v>1239</v>
      </c>
      <c r="D36" s="52"/>
    </row>
    <row r="37" spans="1:4">
      <c r="A37" s="66" t="str">
        <f t="shared" si="1"/>
        <v>00103F24</v>
      </c>
      <c r="B37" s="67" t="s">
        <v>1456</v>
      </c>
      <c r="C37" s="66" t="str">
        <f>_xlfn.CONCAT("bne 0x",A$101)</f>
        <v>bne 0x00104024</v>
      </c>
      <c r="D37" s="107" t="s">
        <v>1374</v>
      </c>
    </row>
    <row r="38" spans="1:4">
      <c r="A38" s="10" t="str">
        <f t="shared" si="1"/>
        <v>00103F28</v>
      </c>
      <c r="B38" s="11" t="s">
        <v>1394</v>
      </c>
      <c r="C38" s="10" t="s">
        <v>1368</v>
      </c>
      <c r="D38" s="52" t="s">
        <v>1375</v>
      </c>
    </row>
    <row r="39" spans="1:4">
      <c r="A39" s="10" t="str">
        <f t="shared" si="1"/>
        <v>00103F2C</v>
      </c>
      <c r="B39" s="11" t="s">
        <v>1395</v>
      </c>
      <c r="C39" s="10" t="s">
        <v>1359</v>
      </c>
      <c r="D39" s="52"/>
    </row>
    <row r="40" spans="1:4">
      <c r="A40" s="76" t="str">
        <f t="shared" si="1"/>
        <v>00103F30</v>
      </c>
      <c r="B40" s="77" t="s">
        <v>1285</v>
      </c>
      <c r="C40" s="76" t="s">
        <v>1226</v>
      </c>
      <c r="D40" s="109" t="s">
        <v>1247</v>
      </c>
    </row>
    <row r="41" spans="1:4">
      <c r="A41" s="76" t="str">
        <f t="shared" si="1"/>
        <v>00103F34</v>
      </c>
      <c r="B41" s="77" t="s">
        <v>873</v>
      </c>
      <c r="C41" s="76" t="s">
        <v>962</v>
      </c>
      <c r="D41" s="109"/>
    </row>
    <row r="42" spans="1:4">
      <c r="A42" s="76" t="str">
        <f t="shared" si="1"/>
        <v>00103F38</v>
      </c>
      <c r="B42" s="77" t="s">
        <v>1396</v>
      </c>
      <c r="C42" s="76" t="s">
        <v>1246</v>
      </c>
      <c r="D42" s="109"/>
    </row>
    <row r="43" spans="1:4">
      <c r="A43" s="76" t="str">
        <f t="shared" si="1"/>
        <v>00103F3C</v>
      </c>
      <c r="B43" s="77" t="s">
        <v>1286</v>
      </c>
      <c r="C43" s="76" t="s">
        <v>1237</v>
      </c>
      <c r="D43" s="109"/>
    </row>
    <row r="44" spans="1:4">
      <c r="A44" s="76" t="str">
        <f t="shared" si="1"/>
        <v>00103F40</v>
      </c>
      <c r="B44" s="77" t="s">
        <v>882</v>
      </c>
      <c r="C44" s="76" t="s">
        <v>852</v>
      </c>
      <c r="D44" s="109"/>
    </row>
    <row r="45" spans="1:4">
      <c r="A45" s="76" t="str">
        <f t="shared" si="1"/>
        <v>00103F44</v>
      </c>
      <c r="B45" s="77" t="s">
        <v>873</v>
      </c>
      <c r="C45" s="76" t="s">
        <v>962</v>
      </c>
      <c r="D45" s="109"/>
    </row>
    <row r="46" spans="1:4">
      <c r="A46" s="76" t="str">
        <f t="shared" si="1"/>
        <v>00103F48</v>
      </c>
      <c r="B46" s="77" t="s">
        <v>1397</v>
      </c>
      <c r="C46" s="76" t="s">
        <v>1032</v>
      </c>
      <c r="D46" s="109"/>
    </row>
    <row r="47" spans="1:4">
      <c r="A47" s="90" t="str">
        <f t="shared" si="1"/>
        <v>00103F4C</v>
      </c>
      <c r="B47" s="91" t="s">
        <v>1031</v>
      </c>
      <c r="C47" s="90" t="s">
        <v>1006</v>
      </c>
      <c r="D47" s="110"/>
    </row>
    <row r="48" spans="1:4">
      <c r="A48" s="90" t="str">
        <f t="shared" si="1"/>
        <v>00103F50</v>
      </c>
      <c r="B48" s="91" t="s">
        <v>1490</v>
      </c>
      <c r="C48" s="90" t="str">
        <f>_xlfn.CONCAT("beq 0x",A99)</f>
        <v>beq 0x0010401C</v>
      </c>
      <c r="D48" s="110" t="s">
        <v>1414</v>
      </c>
    </row>
    <row r="49" spans="1:4">
      <c r="A49" s="34" t="str">
        <f t="shared" si="1"/>
        <v>00103F54</v>
      </c>
      <c r="B49" s="78" t="s">
        <v>897</v>
      </c>
      <c r="C49" s="34" t="s">
        <v>855</v>
      </c>
      <c r="D49" s="111" t="s">
        <v>1248</v>
      </c>
    </row>
    <row r="50" spans="1:4">
      <c r="A50" s="34" t="str">
        <f t="shared" si="1"/>
        <v>00103F58</v>
      </c>
      <c r="B50" s="78" t="s">
        <v>1086</v>
      </c>
      <c r="C50" s="34" t="s">
        <v>1073</v>
      </c>
      <c r="D50" s="111"/>
    </row>
    <row r="51" spans="1:4">
      <c r="A51" s="34" t="str">
        <f t="shared" si="1"/>
        <v>00103F5C</v>
      </c>
      <c r="B51" s="78" t="s">
        <v>1287</v>
      </c>
      <c r="C51" s="34" t="s">
        <v>1233</v>
      </c>
      <c r="D51" s="111"/>
    </row>
    <row r="52" spans="1:4">
      <c r="A52" s="34" t="str">
        <f t="shared" si="1"/>
        <v>00103F60</v>
      </c>
      <c r="B52" s="78" t="s">
        <v>1288</v>
      </c>
      <c r="C52" s="34" t="s">
        <v>1242</v>
      </c>
      <c r="D52" s="111"/>
    </row>
    <row r="53" spans="1:4">
      <c r="A53" s="22" t="str">
        <f t="shared" si="1"/>
        <v>00103F64</v>
      </c>
      <c r="B53" s="79" t="s">
        <v>889</v>
      </c>
      <c r="C53" s="22" t="s">
        <v>971</v>
      </c>
      <c r="D53" s="55" t="s">
        <v>1249</v>
      </c>
    </row>
    <row r="54" spans="1:4">
      <c r="A54" s="22" t="str">
        <f t="shared" si="1"/>
        <v>00103F68</v>
      </c>
      <c r="B54" s="79" t="s">
        <v>890</v>
      </c>
      <c r="C54" s="22" t="s">
        <v>853</v>
      </c>
      <c r="D54" s="55" t="s">
        <v>1454</v>
      </c>
    </row>
    <row r="55" spans="1:4">
      <c r="A55" s="22" t="str">
        <f t="shared" si="1"/>
        <v>00103F6C</v>
      </c>
      <c r="B55" s="79" t="s">
        <v>1289</v>
      </c>
      <c r="C55" s="22" t="str">
        <f>_xlfn.CONCAT("bne 0x",A59)</f>
        <v>bne 0x00103F7C</v>
      </c>
      <c r="D55" s="55" t="s">
        <v>1455</v>
      </c>
    </row>
    <row r="56" spans="1:4" ht="31.75">
      <c r="A56" s="122" t="str">
        <f t="shared" si="1"/>
        <v>00103F70</v>
      </c>
      <c r="B56" s="123" t="s">
        <v>1457</v>
      </c>
      <c r="C56" s="122" t="s">
        <v>1415</v>
      </c>
      <c r="D56" s="124" t="s">
        <v>1461</v>
      </c>
    </row>
    <row r="57" spans="1:4">
      <c r="A57" s="122" t="str">
        <f t="shared" si="1"/>
        <v>00103F74</v>
      </c>
      <c r="B57" s="123" t="s">
        <v>1281</v>
      </c>
      <c r="C57" s="122" t="s">
        <v>1229</v>
      </c>
      <c r="D57" s="124" t="s">
        <v>1416</v>
      </c>
    </row>
    <row r="58" spans="1:4">
      <c r="A58" s="122" t="str">
        <f t="shared" si="1"/>
        <v>00103F78</v>
      </c>
      <c r="B58" s="123" t="s">
        <v>1322</v>
      </c>
      <c r="C58" s="122" t="str">
        <f>_xlfn.CONCAT("bne 0x",A68)</f>
        <v>bne 0x00103FA0</v>
      </c>
      <c r="D58" s="124" t="s">
        <v>1462</v>
      </c>
    </row>
    <row r="59" spans="1:4">
      <c r="A59" s="25" t="str">
        <f t="shared" si="1"/>
        <v>00103F7C</v>
      </c>
      <c r="B59" s="80" t="s">
        <v>873</v>
      </c>
      <c r="C59" s="25" t="s">
        <v>962</v>
      </c>
      <c r="D59" s="56" t="s">
        <v>1251</v>
      </c>
    </row>
    <row r="60" spans="1:4">
      <c r="A60" s="25" t="str">
        <f t="shared" si="1"/>
        <v>00103F80</v>
      </c>
      <c r="B60" s="80" t="s">
        <v>1458</v>
      </c>
      <c r="C60" s="25" t="s">
        <v>1002</v>
      </c>
      <c r="D60" s="56"/>
    </row>
    <row r="61" spans="1:4">
      <c r="A61" s="25" t="str">
        <f t="shared" si="1"/>
        <v>00103F84</v>
      </c>
      <c r="B61" s="80" t="s">
        <v>1282</v>
      </c>
      <c r="C61" s="25" t="s">
        <v>1238</v>
      </c>
      <c r="D61" s="56" t="s">
        <v>1245</v>
      </c>
    </row>
    <row r="62" spans="1:4">
      <c r="A62" s="25" t="str">
        <f t="shared" si="1"/>
        <v>00103F88</v>
      </c>
      <c r="B62" s="80" t="s">
        <v>1459</v>
      </c>
      <c r="C62" s="25" t="s">
        <v>1208</v>
      </c>
      <c r="D62" s="56"/>
    </row>
    <row r="63" spans="1:4">
      <c r="A63" s="25" t="str">
        <f t="shared" si="1"/>
        <v>00103F8C</v>
      </c>
      <c r="B63" s="80" t="s">
        <v>1031</v>
      </c>
      <c r="C63" s="25" t="s">
        <v>1006</v>
      </c>
      <c r="D63" s="56" t="s">
        <v>1252</v>
      </c>
    </row>
    <row r="64" spans="1:4">
      <c r="A64" s="25" t="str">
        <f t="shared" si="1"/>
        <v>00103F90</v>
      </c>
      <c r="B64" s="80" t="s">
        <v>1289</v>
      </c>
      <c r="C64" s="25" t="str">
        <f>_xlfn.CONCAT("bne 0x",A68)</f>
        <v>bne 0x00103FA0</v>
      </c>
      <c r="D64" s="56" t="s">
        <v>1250</v>
      </c>
    </row>
    <row r="65" spans="1:4">
      <c r="A65" s="28" t="str">
        <f t="shared" si="1"/>
        <v>00103F94</v>
      </c>
      <c r="B65" s="81" t="s">
        <v>898</v>
      </c>
      <c r="C65" s="28" t="s">
        <v>972</v>
      </c>
      <c r="D65" s="57" t="s">
        <v>1253</v>
      </c>
    </row>
    <row r="66" spans="1:4">
      <c r="A66" s="28" t="str">
        <f t="shared" si="1"/>
        <v>00103F98</v>
      </c>
      <c r="B66" s="81" t="s">
        <v>1329</v>
      </c>
      <c r="C66" s="28" t="s">
        <v>1328</v>
      </c>
      <c r="D66" s="57"/>
    </row>
    <row r="67" spans="1:4">
      <c r="A67" s="28" t="str">
        <f t="shared" si="1"/>
        <v>00103F9C</v>
      </c>
      <c r="B67" s="81" t="s">
        <v>1291</v>
      </c>
      <c r="C67" s="28" t="s">
        <v>1240</v>
      </c>
      <c r="D67" s="57" t="s">
        <v>1254</v>
      </c>
    </row>
    <row r="68" spans="1:4">
      <c r="A68" s="82" t="str">
        <f t="shared" si="1"/>
        <v>00103FA0</v>
      </c>
      <c r="B68" s="83" t="s">
        <v>1126</v>
      </c>
      <c r="C68" s="82" t="s">
        <v>1120</v>
      </c>
      <c r="D68" s="112" t="s">
        <v>1255</v>
      </c>
    </row>
    <row r="69" spans="1:4">
      <c r="A69" s="82" t="str">
        <f t="shared" si="1"/>
        <v>00103FA4</v>
      </c>
      <c r="B69" s="83" t="s">
        <v>1292</v>
      </c>
      <c r="C69" s="82" t="s">
        <v>1234</v>
      </c>
      <c r="D69" s="112" t="s">
        <v>1256</v>
      </c>
    </row>
    <row r="70" spans="1:4">
      <c r="A70" s="82" t="str">
        <f t="shared" si="1"/>
        <v>00103FA8</v>
      </c>
      <c r="B70" s="83" t="s">
        <v>1460</v>
      </c>
      <c r="C70" s="82" t="str">
        <f>_xlfn.CONCAT("bhi 0x",A53)</f>
        <v>bhi 0x00103F64</v>
      </c>
      <c r="D70" s="112" t="s">
        <v>1257</v>
      </c>
    </row>
    <row r="71" spans="1:4">
      <c r="A71" s="84" t="str">
        <f t="shared" si="1"/>
        <v>00103FAC</v>
      </c>
      <c r="B71" s="85" t="s">
        <v>1491</v>
      </c>
      <c r="C71" s="84" t="s">
        <v>1467</v>
      </c>
      <c r="D71" s="113" t="s">
        <v>1258</v>
      </c>
    </row>
    <row r="72" spans="1:4">
      <c r="A72" s="84" t="str">
        <f t="shared" si="1"/>
        <v>00103FB0</v>
      </c>
      <c r="B72" s="85" t="s">
        <v>1492</v>
      </c>
      <c r="C72" s="84" t="str">
        <f>_xlfn.CONCAT("blo 0x",A101)</f>
        <v>blo 0x00104024</v>
      </c>
      <c r="D72" s="113" t="s">
        <v>1259</v>
      </c>
    </row>
    <row r="73" spans="1:4">
      <c r="A73" s="125" t="str">
        <f t="shared" si="1"/>
        <v>00103FB4</v>
      </c>
      <c r="B73" s="126" t="s">
        <v>1493</v>
      </c>
      <c r="C73" s="125" t="s">
        <v>1468</v>
      </c>
      <c r="D73" s="127" t="s">
        <v>1469</v>
      </c>
    </row>
    <row r="74" spans="1:4">
      <c r="A74" s="125" t="str">
        <f t="shared" si="1"/>
        <v>00103FB8</v>
      </c>
      <c r="B74" s="126" t="s">
        <v>1494</v>
      </c>
      <c r="C74" s="125" t="str">
        <f>_xlfn.CONCAT("beq 0x",A92)</f>
        <v>beq 0x00104000</v>
      </c>
      <c r="D74" s="127"/>
    </row>
    <row r="75" spans="1:4">
      <c r="A75" s="84" t="str">
        <f t="shared" si="1"/>
        <v>00103FBC</v>
      </c>
      <c r="B75" s="85" t="s">
        <v>1495</v>
      </c>
      <c r="C75" s="84" t="s">
        <v>1473</v>
      </c>
      <c r="D75" s="113" t="s">
        <v>1474</v>
      </c>
    </row>
    <row r="76" spans="1:4">
      <c r="A76" s="84" t="str">
        <f t="shared" si="1"/>
        <v>00103FC0</v>
      </c>
      <c r="B76" s="85" t="s">
        <v>1496</v>
      </c>
      <c r="C76" s="84" t="str">
        <f>_xlfn.CONCAT("bne 0x",A81)</f>
        <v>bne 0x00103FD4</v>
      </c>
      <c r="D76" s="113" t="s">
        <v>1475</v>
      </c>
    </row>
    <row r="77" spans="1:4">
      <c r="A77" s="84" t="str">
        <f t="shared" si="1"/>
        <v>00103FC4</v>
      </c>
      <c r="B77" s="85" t="s">
        <v>1497</v>
      </c>
      <c r="C77" s="84" t="s">
        <v>1479</v>
      </c>
      <c r="D77" s="113" t="s">
        <v>1476</v>
      </c>
    </row>
    <row r="78" spans="1:4">
      <c r="A78" s="84" t="str">
        <f t="shared" si="1"/>
        <v>00103FC8</v>
      </c>
      <c r="B78" s="85" t="s">
        <v>1306</v>
      </c>
      <c r="C78" s="84" t="s">
        <v>1203</v>
      </c>
      <c r="D78" s="113" t="s">
        <v>1477</v>
      </c>
    </row>
    <row r="79" spans="1:4">
      <c r="A79" s="84" t="str">
        <f t="shared" si="1"/>
        <v>00103FCC</v>
      </c>
      <c r="B79" s="85" t="s">
        <v>1498</v>
      </c>
      <c r="C79" s="84" t="s">
        <v>1478</v>
      </c>
      <c r="D79" s="113" t="s">
        <v>1482</v>
      </c>
    </row>
    <row r="80" spans="1:4">
      <c r="A80" s="84" t="str">
        <f t="shared" si="1"/>
        <v>00103FD0</v>
      </c>
      <c r="B80" s="85" t="s">
        <v>1499</v>
      </c>
      <c r="C80" s="84" t="str">
        <f>_xlfn.CONCAT("beq 0x",A88)</f>
        <v>beq 0x00103FF0</v>
      </c>
      <c r="D80" s="113" t="s">
        <v>1486</v>
      </c>
    </row>
    <row r="81" spans="1:4">
      <c r="A81" s="128" t="str">
        <f t="shared" si="1"/>
        <v>00103FD4</v>
      </c>
      <c r="B81" s="129" t="s">
        <v>1402</v>
      </c>
      <c r="C81" s="128" t="s">
        <v>1366</v>
      </c>
      <c r="D81" s="130" t="s">
        <v>1470</v>
      </c>
    </row>
    <row r="82" spans="1:4">
      <c r="A82" s="128" t="str">
        <f t="shared" si="1"/>
        <v>00103FD8</v>
      </c>
      <c r="B82" s="129" t="s">
        <v>1306</v>
      </c>
      <c r="C82" s="128" t="s">
        <v>1203</v>
      </c>
      <c r="D82" s="130"/>
    </row>
    <row r="83" spans="1:4">
      <c r="A83" s="128" t="str">
        <f t="shared" si="1"/>
        <v>00103FDC</v>
      </c>
      <c r="B83" s="129" t="s">
        <v>1500</v>
      </c>
      <c r="C83" s="128" t="s">
        <v>1480</v>
      </c>
      <c r="D83" s="130"/>
    </row>
    <row r="84" spans="1:4">
      <c r="A84" s="128" t="str">
        <f t="shared" si="1"/>
        <v>00103FE0</v>
      </c>
      <c r="B84" s="129" t="s">
        <v>1166</v>
      </c>
      <c r="C84" s="128" t="str">
        <f>_xlfn.CONCAT("beq 0x",A88)</f>
        <v>beq 0x00103FF0</v>
      </c>
      <c r="D84" s="130"/>
    </row>
    <row r="85" spans="1:4">
      <c r="A85" s="105" t="str">
        <f t="shared" si="1"/>
        <v>00103FE4</v>
      </c>
      <c r="B85" s="106" t="s">
        <v>1501</v>
      </c>
      <c r="C85" s="105" t="s">
        <v>1471</v>
      </c>
      <c r="D85" s="117" t="s">
        <v>1472</v>
      </c>
    </row>
    <row r="86" spans="1:4">
      <c r="A86" s="105" t="str">
        <f t="shared" si="1"/>
        <v>00103FE8</v>
      </c>
      <c r="B86" s="106" t="s">
        <v>1306</v>
      </c>
      <c r="C86" s="105" t="s">
        <v>1203</v>
      </c>
      <c r="D86" s="117"/>
    </row>
    <row r="87" spans="1:4">
      <c r="A87" s="105" t="str">
        <f t="shared" si="1"/>
        <v>00103FEC</v>
      </c>
      <c r="B87" s="106" t="s">
        <v>1502</v>
      </c>
      <c r="C87" s="105" t="s">
        <v>1481</v>
      </c>
      <c r="D87" s="117" t="s">
        <v>1487</v>
      </c>
    </row>
    <row r="88" spans="1:4">
      <c r="A88" s="86" t="str">
        <f t="shared" si="1"/>
        <v>00103FF0</v>
      </c>
      <c r="B88" s="87" t="s">
        <v>1293</v>
      </c>
      <c r="C88" s="86" t="s">
        <v>1235</v>
      </c>
      <c r="D88" s="114" t="s">
        <v>1261</v>
      </c>
    </row>
    <row r="89" spans="1:4">
      <c r="A89" s="86" t="str">
        <f t="shared" si="1"/>
        <v>00103FF4</v>
      </c>
      <c r="B89" s="87" t="s">
        <v>1503</v>
      </c>
      <c r="C89" s="86" t="s">
        <v>1260</v>
      </c>
      <c r="D89" s="114"/>
    </row>
    <row r="90" spans="1:4">
      <c r="A90" s="86" t="str">
        <f t="shared" si="1"/>
        <v>00103FF8</v>
      </c>
      <c r="B90" s="87" t="s">
        <v>1504</v>
      </c>
      <c r="C90" s="86" t="s">
        <v>1483</v>
      </c>
      <c r="D90" s="114" t="s">
        <v>1484</v>
      </c>
    </row>
    <row r="91" spans="1:4">
      <c r="A91" s="86" t="str">
        <f t="shared" si="1"/>
        <v>00103FFC</v>
      </c>
      <c r="B91" s="87" t="s">
        <v>1505</v>
      </c>
      <c r="C91" s="86" t="str">
        <f>_xlfn.CONCAT("beq 0x",A88)</f>
        <v>beq 0x00103FF0</v>
      </c>
      <c r="D91" s="114" t="s">
        <v>1485</v>
      </c>
    </row>
    <row r="92" spans="1:4">
      <c r="A92" s="2" t="str">
        <f t="shared" si="1"/>
        <v>00104000</v>
      </c>
      <c r="B92" s="3" t="s">
        <v>1290</v>
      </c>
      <c r="C92" s="2" t="s">
        <v>1277</v>
      </c>
      <c r="D92" s="48" t="s">
        <v>1262</v>
      </c>
    </row>
    <row r="93" spans="1:4">
      <c r="A93" s="2" t="str">
        <f t="shared" si="1"/>
        <v>00104004</v>
      </c>
      <c r="B93" s="3" t="s">
        <v>1062</v>
      </c>
      <c r="C93" s="2" t="s">
        <v>1055</v>
      </c>
    </row>
    <row r="94" spans="1:4">
      <c r="A94" s="2" t="str">
        <f t="shared" ref="A94:A102" si="2">DEC2HEX(HEX2DEC(A93)+4,8)</f>
        <v>00104008</v>
      </c>
      <c r="B94" s="3" t="s">
        <v>911</v>
      </c>
      <c r="C94" s="2" t="s">
        <v>957</v>
      </c>
    </row>
    <row r="95" spans="1:4">
      <c r="A95" s="2" t="str">
        <f t="shared" si="2"/>
        <v>0010400C</v>
      </c>
      <c r="B95" s="3" t="s">
        <v>1294</v>
      </c>
      <c r="C95" s="2" t="s">
        <v>1241</v>
      </c>
    </row>
    <row r="96" spans="1:4">
      <c r="A96" s="2" t="str">
        <f t="shared" si="2"/>
        <v>00104010</v>
      </c>
      <c r="B96" s="3" t="s">
        <v>922</v>
      </c>
      <c r="C96" s="2" t="s">
        <v>1119</v>
      </c>
    </row>
    <row r="97" spans="1:4">
      <c r="A97" s="2" t="str">
        <f t="shared" si="2"/>
        <v>00104014</v>
      </c>
      <c r="B97" s="3" t="s">
        <v>1295</v>
      </c>
      <c r="C97" s="2" t="str">
        <f>SUBSTITUTE(C13,"push","pop")</f>
        <v>pop {r4, r5, r6, r7, r8, r9, r10, r11, lr}</v>
      </c>
    </row>
    <row r="98" spans="1:4">
      <c r="A98" s="2" t="str">
        <f t="shared" si="2"/>
        <v>00104018</v>
      </c>
      <c r="B98" s="3" t="s">
        <v>1506</v>
      </c>
      <c r="C98" s="2" t="s">
        <v>1266</v>
      </c>
      <c r="D98" s="48" t="s">
        <v>1263</v>
      </c>
    </row>
    <row r="99" spans="1:4">
      <c r="A99" s="68" t="str">
        <f t="shared" si="2"/>
        <v>0010401C</v>
      </c>
      <c r="B99" s="69" t="s">
        <v>1296</v>
      </c>
      <c r="C99" s="68" t="s">
        <v>1264</v>
      </c>
      <c r="D99" s="115" t="s">
        <v>1267</v>
      </c>
    </row>
    <row r="100" spans="1:4">
      <c r="A100" s="68" t="str">
        <f t="shared" si="2"/>
        <v>00104020</v>
      </c>
      <c r="B100" s="69" t="s">
        <v>1398</v>
      </c>
      <c r="C100" s="68" t="s">
        <v>1357</v>
      </c>
      <c r="D100" s="115"/>
    </row>
    <row r="101" spans="1:4">
      <c r="A101" s="66" t="str">
        <f t="shared" si="2"/>
        <v>00104024</v>
      </c>
      <c r="B101" s="67" t="s">
        <v>922</v>
      </c>
      <c r="C101" s="66" t="s">
        <v>1119</v>
      </c>
      <c r="D101" s="107" t="s">
        <v>1230</v>
      </c>
    </row>
    <row r="102" spans="1:4">
      <c r="A102" s="66" t="str">
        <f t="shared" si="2"/>
        <v>00104028</v>
      </c>
      <c r="B102" s="67" t="s">
        <v>923</v>
      </c>
      <c r="C102" s="66" t="str">
        <f>SUBSTITUTE(C97,"lr","pc")</f>
        <v>pop {r4, r5, r6, r7, r8, r9, r10, r11, pc}</v>
      </c>
      <c r="D102" s="107"/>
    </row>
    <row r="103" spans="1:4">
      <c r="B103" s="3"/>
    </row>
    <row r="104" spans="1:4">
      <c r="A104" s="14" t="s">
        <v>1195</v>
      </c>
      <c r="B104" s="4"/>
    </row>
    <row r="105" spans="1:4">
      <c r="A105" s="2" t="str">
        <f>DEC2HEX(HEX2DEC(A102)+4,8)</f>
        <v>0010402C</v>
      </c>
      <c r="B105" s="2" t="s">
        <v>1334</v>
      </c>
      <c r="C105" s="2" t="s">
        <v>1333</v>
      </c>
    </row>
    <row r="106" spans="1:4">
      <c r="A106" s="2" t="str">
        <f t="shared" ref="A106:A139" si="3">DEC2HEX(HEX2DEC(A105)+4,8)</f>
        <v>00104030</v>
      </c>
      <c r="B106" s="2" t="s">
        <v>840</v>
      </c>
      <c r="C106" s="2" t="s">
        <v>838</v>
      </c>
    </row>
    <row r="107" spans="1:4">
      <c r="A107" s="2" t="str">
        <f t="shared" si="3"/>
        <v>00104034</v>
      </c>
      <c r="B107" s="2" t="s">
        <v>1037</v>
      </c>
      <c r="C107" s="2" t="s">
        <v>1033</v>
      </c>
    </row>
    <row r="108" spans="1:4">
      <c r="A108" s="2" t="str">
        <f t="shared" si="3"/>
        <v>00104038</v>
      </c>
      <c r="B108" s="2" t="s">
        <v>1180</v>
      </c>
      <c r="C108" s="2" t="s">
        <v>1172</v>
      </c>
    </row>
    <row r="109" spans="1:4">
      <c r="A109" s="15" t="str">
        <f t="shared" si="3"/>
        <v>0010403C</v>
      </c>
      <c r="B109" s="15" t="s">
        <v>841</v>
      </c>
      <c r="C109" s="15" t="s">
        <v>839</v>
      </c>
      <c r="D109" s="49" t="s">
        <v>1030</v>
      </c>
    </row>
    <row r="110" spans="1:4">
      <c r="A110" s="15" t="str">
        <f t="shared" si="3"/>
        <v>00104040</v>
      </c>
      <c r="B110" s="15" t="s">
        <v>1507</v>
      </c>
      <c r="C110" s="15" t="s">
        <v>846</v>
      </c>
      <c r="D110" s="49"/>
    </row>
    <row r="111" spans="1:4">
      <c r="A111" s="15" t="str">
        <f t="shared" si="3"/>
        <v>00104044</v>
      </c>
      <c r="B111" s="16" t="s">
        <v>843</v>
      </c>
      <c r="C111" s="15" t="s">
        <v>842</v>
      </c>
      <c r="D111" s="49"/>
    </row>
    <row r="112" spans="1:4">
      <c r="A112" s="15" t="str">
        <f t="shared" si="3"/>
        <v>00104048</v>
      </c>
      <c r="B112" s="15" t="s">
        <v>1297</v>
      </c>
      <c r="C112" s="15" t="str">
        <f>_xlfn.CONCAT("bne 0x",A138)</f>
        <v>bne 0x001040B0</v>
      </c>
      <c r="D112" s="49"/>
    </row>
    <row r="113" spans="1:4">
      <c r="A113" s="64" t="str">
        <f t="shared" si="3"/>
        <v>0010404C</v>
      </c>
      <c r="B113" s="65" t="s">
        <v>1298</v>
      </c>
      <c r="C113" s="64" t="str">
        <f>_xlfn.CONCAT("ldr r7, [pc, #",HEX2DEC(A$139)-HEX2DEC(A113)-8,"]")</f>
        <v>ldr r7, [pc, #96]</v>
      </c>
      <c r="D113" s="116" t="s">
        <v>1193</v>
      </c>
    </row>
    <row r="114" spans="1:4">
      <c r="A114" s="64" t="str">
        <f t="shared" si="3"/>
        <v>00104050</v>
      </c>
      <c r="B114" s="65" t="s">
        <v>1420</v>
      </c>
      <c r="C114" s="64" t="s">
        <v>1419</v>
      </c>
      <c r="D114" s="116" t="s">
        <v>1353</v>
      </c>
    </row>
    <row r="115" spans="1:4">
      <c r="A115" s="66" t="str">
        <f t="shared" si="3"/>
        <v>00104054</v>
      </c>
      <c r="B115" s="67" t="s">
        <v>1031</v>
      </c>
      <c r="C115" s="66" t="s">
        <v>1006</v>
      </c>
      <c r="D115" s="107" t="s">
        <v>1442</v>
      </c>
    </row>
    <row r="116" spans="1:4">
      <c r="A116" s="66" t="str">
        <f t="shared" si="3"/>
        <v>00104058</v>
      </c>
      <c r="B116" s="67" t="s">
        <v>1465</v>
      </c>
      <c r="C116" s="66" t="str">
        <f>_xlfn.CONCAT("beq 0x",A123)</f>
        <v>beq 0x00104074</v>
      </c>
      <c r="D116" s="107" t="s">
        <v>1446</v>
      </c>
    </row>
    <row r="117" spans="1:4">
      <c r="A117" s="105" t="str">
        <f t="shared" si="3"/>
        <v>0010405C</v>
      </c>
      <c r="B117" s="106" t="s">
        <v>1451</v>
      </c>
      <c r="C117" s="105" t="s">
        <v>1447</v>
      </c>
      <c r="D117" s="117" t="s">
        <v>1448</v>
      </c>
    </row>
    <row r="118" spans="1:4">
      <c r="A118" s="105" t="str">
        <f t="shared" si="3"/>
        <v>00104060</v>
      </c>
      <c r="B118" s="106" t="s">
        <v>1452</v>
      </c>
      <c r="C118" s="105" t="s">
        <v>1449</v>
      </c>
      <c r="D118" s="117" t="s">
        <v>1450</v>
      </c>
    </row>
    <row r="119" spans="1:4">
      <c r="A119" s="90" t="str">
        <f t="shared" si="3"/>
        <v>00104064</v>
      </c>
      <c r="B119" s="91" t="s">
        <v>1422</v>
      </c>
      <c r="C119" s="90" t="s">
        <v>1421</v>
      </c>
      <c r="D119" s="110" t="s">
        <v>1463</v>
      </c>
    </row>
    <row r="120" spans="1:4">
      <c r="A120" s="90" t="str">
        <f t="shared" si="3"/>
        <v>00104068</v>
      </c>
      <c r="B120" s="91" t="s">
        <v>1466</v>
      </c>
      <c r="C120" s="90" t="str">
        <f>_xlfn.CONCAT("bne 0x",A133)</f>
        <v>bne 0x0010409C</v>
      </c>
      <c r="D120" s="110" t="s">
        <v>1443</v>
      </c>
    </row>
    <row r="121" spans="1:4">
      <c r="A121" s="105" t="str">
        <f t="shared" si="3"/>
        <v>0010406C</v>
      </c>
      <c r="B121" s="106" t="s">
        <v>1438</v>
      </c>
      <c r="C121" s="105" t="s">
        <v>1367</v>
      </c>
      <c r="D121" s="117" t="s">
        <v>1464</v>
      </c>
    </row>
    <row r="122" spans="1:4">
      <c r="A122" s="105" t="str">
        <f t="shared" si="3"/>
        <v>00104070</v>
      </c>
      <c r="B122" s="106" t="s">
        <v>1300</v>
      </c>
      <c r="C122" s="105" t="s">
        <v>1194</v>
      </c>
      <c r="D122" s="117"/>
    </row>
    <row r="123" spans="1:4">
      <c r="A123" s="40" t="str">
        <f t="shared" si="3"/>
        <v>00104074</v>
      </c>
      <c r="B123" s="41" t="s">
        <v>1399</v>
      </c>
      <c r="C123" s="40" t="s">
        <v>1373</v>
      </c>
      <c r="D123" s="60" t="s">
        <v>1332</v>
      </c>
    </row>
    <row r="124" spans="1:4">
      <c r="A124" s="7" t="str">
        <f t="shared" si="3"/>
        <v>00104078</v>
      </c>
      <c r="B124" s="7" t="s">
        <v>1038</v>
      </c>
      <c r="C124" s="7" t="s">
        <v>1034</v>
      </c>
      <c r="D124" s="51" t="s">
        <v>1093</v>
      </c>
    </row>
    <row r="125" spans="1:4">
      <c r="A125" s="7" t="str">
        <f t="shared" si="3"/>
        <v>0010407C</v>
      </c>
      <c r="B125" s="7" t="s">
        <v>1508</v>
      </c>
      <c r="C125" s="7" t="s">
        <v>967</v>
      </c>
      <c r="D125" s="51"/>
    </row>
    <row r="126" spans="1:4">
      <c r="A126" s="7" t="str">
        <f t="shared" si="3"/>
        <v>00104080</v>
      </c>
      <c r="B126" s="8" t="s">
        <v>1031</v>
      </c>
      <c r="C126" s="7" t="s">
        <v>1006</v>
      </c>
      <c r="D126" s="51" t="s">
        <v>1268</v>
      </c>
    </row>
    <row r="127" spans="1:4">
      <c r="A127" s="7" t="str">
        <f t="shared" si="3"/>
        <v>00104084</v>
      </c>
      <c r="B127" s="8" t="s">
        <v>1335</v>
      </c>
      <c r="C127" s="7" t="str">
        <f>_xlfn.CONCAT("beq 0x",A138)</f>
        <v>beq 0x001040B0</v>
      </c>
      <c r="D127" s="51"/>
    </row>
    <row r="128" spans="1:4">
      <c r="A128" s="66" t="str">
        <f t="shared" si="3"/>
        <v>00104088</v>
      </c>
      <c r="B128" s="67" t="s">
        <v>1088</v>
      </c>
      <c r="C128" s="66" t="s">
        <v>1075</v>
      </c>
      <c r="D128" s="107" t="s">
        <v>1173</v>
      </c>
    </row>
    <row r="129" spans="1:4">
      <c r="A129" s="66" t="str">
        <f t="shared" si="3"/>
        <v>0010408C</v>
      </c>
      <c r="B129" s="67" t="s">
        <v>1401</v>
      </c>
      <c r="C129" s="66" t="s">
        <v>846</v>
      </c>
      <c r="D129" s="107"/>
    </row>
    <row r="130" spans="1:4">
      <c r="A130" s="66" t="str">
        <f t="shared" si="3"/>
        <v>00104090</v>
      </c>
      <c r="B130" s="67" t="s">
        <v>1184</v>
      </c>
      <c r="C130" s="66" t="s">
        <v>1176</v>
      </c>
      <c r="D130" s="107"/>
    </row>
    <row r="131" spans="1:4">
      <c r="A131" s="66" t="str">
        <f t="shared" si="3"/>
        <v>00104094</v>
      </c>
      <c r="B131" s="67" t="s">
        <v>1400</v>
      </c>
      <c r="C131" s="66" t="s">
        <v>1358</v>
      </c>
      <c r="D131" s="107"/>
    </row>
    <row r="132" spans="1:4">
      <c r="A132" s="66" t="str">
        <f t="shared" si="3"/>
        <v>00104098</v>
      </c>
      <c r="B132" s="67" t="s">
        <v>1418</v>
      </c>
      <c r="C132" s="66" t="s">
        <v>1417</v>
      </c>
      <c r="D132" s="107" t="s">
        <v>1175</v>
      </c>
    </row>
    <row r="133" spans="1:4">
      <c r="A133" s="12" t="str">
        <f t="shared" si="3"/>
        <v>0010409C</v>
      </c>
      <c r="B133" s="12" t="s">
        <v>1088</v>
      </c>
      <c r="C133" s="12" t="s">
        <v>1075</v>
      </c>
      <c r="D133" s="53"/>
    </row>
    <row r="134" spans="1:4">
      <c r="A134" s="12" t="str">
        <f t="shared" si="3"/>
        <v>001040A0</v>
      </c>
      <c r="B134" s="12" t="s">
        <v>885</v>
      </c>
      <c r="C134" s="12" t="s">
        <v>949</v>
      </c>
      <c r="D134" s="53"/>
    </row>
    <row r="135" spans="1:4">
      <c r="A135" s="12" t="str">
        <f t="shared" si="3"/>
        <v>001040A4</v>
      </c>
      <c r="B135" s="13" t="s">
        <v>1189</v>
      </c>
      <c r="C135" s="12" t="s">
        <v>1177</v>
      </c>
      <c r="D135" s="53"/>
    </row>
    <row r="136" spans="1:4">
      <c r="A136" s="12" t="str">
        <f t="shared" si="3"/>
        <v>001040A8</v>
      </c>
      <c r="B136" s="12" t="s">
        <v>1336</v>
      </c>
      <c r="C136" s="12" t="str">
        <f>SUBSTITUTE(C105,"push","pop")</f>
        <v>pop {r4, r5, r6, r7, r8, lr}</v>
      </c>
      <c r="D136" s="53"/>
    </row>
    <row r="137" spans="1:4">
      <c r="A137" s="12" t="str">
        <f t="shared" si="3"/>
        <v>001040AC</v>
      </c>
      <c r="B137" s="12" t="s">
        <v>1509</v>
      </c>
      <c r="C137" s="12" t="s">
        <v>1076</v>
      </c>
      <c r="D137" s="53"/>
    </row>
    <row r="138" spans="1:4">
      <c r="A138" s="2" t="str">
        <f t="shared" si="3"/>
        <v>001040B0</v>
      </c>
      <c r="B138" s="2" t="s">
        <v>1337</v>
      </c>
      <c r="C138" s="2" t="str">
        <f>SUBSTITUTE(C136,"lr","pc")</f>
        <v>pop {r4, r5, r6, r7, r8, pc}</v>
      </c>
    </row>
    <row r="139" spans="1:4">
      <c r="A139" s="2" t="str">
        <f t="shared" si="3"/>
        <v>001040B4</v>
      </c>
      <c r="B139" s="3" t="s">
        <v>830</v>
      </c>
      <c r="C139" s="2" t="s">
        <v>837</v>
      </c>
      <c r="D139" s="48" t="s">
        <v>1413</v>
      </c>
    </row>
    <row r="140" spans="1:4">
      <c r="B140" s="1"/>
      <c r="C140" s="1"/>
      <c r="D140" s="47"/>
    </row>
    <row r="141" spans="1:4">
      <c r="A141" s="14" t="s">
        <v>1196</v>
      </c>
      <c r="B141" s="4"/>
    </row>
    <row r="142" spans="1:4">
      <c r="A142" s="2" t="str">
        <f>DEC2HEX(HEX2DEC(A139)+4,8)</f>
        <v>001040B8</v>
      </c>
      <c r="B142" s="2" t="s">
        <v>1345</v>
      </c>
      <c r="C142" s="2" t="s">
        <v>1343</v>
      </c>
    </row>
    <row r="143" spans="1:4">
      <c r="A143" s="2" t="str">
        <f t="shared" ref="A143:A206" si="4">DEC2HEX(HEX2DEC(A142)+4,8)</f>
        <v>001040BC</v>
      </c>
      <c r="B143" s="2" t="s">
        <v>1301</v>
      </c>
      <c r="C143" s="2" t="s">
        <v>1197</v>
      </c>
    </row>
    <row r="144" spans="1:4">
      <c r="A144" s="2" t="str">
        <f t="shared" si="4"/>
        <v>001040C0</v>
      </c>
      <c r="B144" s="2" t="s">
        <v>1037</v>
      </c>
      <c r="C144" s="2" t="s">
        <v>1033</v>
      </c>
    </row>
    <row r="145" spans="1:4">
      <c r="A145" s="2" t="str">
        <f t="shared" si="4"/>
        <v>001040C4</v>
      </c>
      <c r="B145" s="2" t="s">
        <v>1302</v>
      </c>
      <c r="C145" s="2" t="s">
        <v>1206</v>
      </c>
      <c r="D145" s="48" t="s">
        <v>1207</v>
      </c>
    </row>
    <row r="146" spans="1:4">
      <c r="A146" s="15" t="str">
        <f t="shared" si="4"/>
        <v>001040C8</v>
      </c>
      <c r="B146" s="15" t="s">
        <v>1303</v>
      </c>
      <c r="C146" s="15" t="s">
        <v>1198</v>
      </c>
      <c r="D146" s="49" t="s">
        <v>1199</v>
      </c>
    </row>
    <row r="147" spans="1:4">
      <c r="A147" s="15" t="str">
        <f t="shared" si="4"/>
        <v>001040CC</v>
      </c>
      <c r="B147" s="15" t="s">
        <v>1304</v>
      </c>
      <c r="C147" s="15" t="s">
        <v>1200</v>
      </c>
      <c r="D147" s="49"/>
    </row>
    <row r="148" spans="1:4">
      <c r="A148" s="15" t="str">
        <f t="shared" si="4"/>
        <v>001040D0</v>
      </c>
      <c r="B148" s="15" t="s">
        <v>1305</v>
      </c>
      <c r="C148" s="15" t="s">
        <v>1201</v>
      </c>
      <c r="D148" s="49"/>
    </row>
    <row r="149" spans="1:4">
      <c r="A149" s="15" t="str">
        <f t="shared" si="4"/>
        <v>001040D4</v>
      </c>
      <c r="B149" s="16" t="s">
        <v>1510</v>
      </c>
      <c r="C149" s="15" t="s">
        <v>846</v>
      </c>
      <c r="D149" s="49" t="s">
        <v>1202</v>
      </c>
    </row>
    <row r="150" spans="1:4">
      <c r="A150" s="15" t="str">
        <f t="shared" si="4"/>
        <v>001040D8</v>
      </c>
      <c r="B150" s="16" t="s">
        <v>1306</v>
      </c>
      <c r="C150" s="15" t="s">
        <v>1203</v>
      </c>
      <c r="D150" s="49"/>
    </row>
    <row r="151" spans="1:4">
      <c r="A151" s="15" t="str">
        <f t="shared" si="4"/>
        <v>001040DC</v>
      </c>
      <c r="B151" s="16" t="s">
        <v>868</v>
      </c>
      <c r="C151" s="15" t="str">
        <f>_xlfn.CONCAT("bne 0x",A$213)</f>
        <v>bne 0x001041D4</v>
      </c>
      <c r="D151" s="49"/>
    </row>
    <row r="152" spans="1:4">
      <c r="A152" s="66" t="str">
        <f t="shared" si="4"/>
        <v>001040E0</v>
      </c>
      <c r="B152" s="66" t="s">
        <v>1307</v>
      </c>
      <c r="C152" s="66" t="str">
        <f>_xlfn.CONCAT("ldr r8, [pc, #",HEX2DEC(A$139)-HEX2DEC(A152)-8,"]")</f>
        <v>ldr r8, [pc, #-52]</v>
      </c>
      <c r="D152" s="107" t="s">
        <v>1361</v>
      </c>
    </row>
    <row r="153" spans="1:4">
      <c r="A153" s="99" t="str">
        <f t="shared" si="4"/>
        <v>001040E4</v>
      </c>
      <c r="B153" s="100" t="s">
        <v>1303</v>
      </c>
      <c r="C153" s="99" t="s">
        <v>1198</v>
      </c>
      <c r="D153" s="118" t="s">
        <v>1351</v>
      </c>
    </row>
    <row r="154" spans="1:4">
      <c r="A154" s="95" t="str">
        <f t="shared" si="4"/>
        <v>001040E8</v>
      </c>
      <c r="B154" s="101" t="s">
        <v>1299</v>
      </c>
      <c r="C154" s="95" t="str">
        <f>_xlfn.CONCAT("bne 0x",A169)</f>
        <v>bne 0x00104124</v>
      </c>
      <c r="D154" s="119" t="s">
        <v>1365</v>
      </c>
    </row>
    <row r="155" spans="1:4">
      <c r="A155" s="105" t="str">
        <f t="shared" si="4"/>
        <v>001040EC</v>
      </c>
      <c r="B155" s="105" t="s">
        <v>1406</v>
      </c>
      <c r="C155" s="105" t="s">
        <v>1376</v>
      </c>
      <c r="D155" s="117" t="s">
        <v>1432</v>
      </c>
    </row>
    <row r="156" spans="1:4">
      <c r="A156" s="105" t="str">
        <f t="shared" si="4"/>
        <v>001040F0</v>
      </c>
      <c r="B156" s="106" t="s">
        <v>1031</v>
      </c>
      <c r="C156" s="105" t="s">
        <v>1006</v>
      </c>
      <c r="D156" s="117" t="s">
        <v>1434</v>
      </c>
    </row>
    <row r="157" spans="1:4">
      <c r="A157" s="99" t="str">
        <f t="shared" si="4"/>
        <v>001040F4</v>
      </c>
      <c r="B157" s="100" t="s">
        <v>1289</v>
      </c>
      <c r="C157" s="99" t="str">
        <f>_xlfn.CONCAT("bne 0x",A161)</f>
        <v>bne 0x00104104</v>
      </c>
      <c r="D157" s="118" t="s">
        <v>1433</v>
      </c>
    </row>
    <row r="158" spans="1:4">
      <c r="A158" s="102" t="str">
        <f t="shared" si="4"/>
        <v>001040F8</v>
      </c>
      <c r="B158" s="103" t="s">
        <v>1453</v>
      </c>
      <c r="C158" s="102" t="s">
        <v>1444</v>
      </c>
      <c r="D158" s="104" t="s">
        <v>1435</v>
      </c>
    </row>
    <row r="159" spans="1:4">
      <c r="A159" s="102" t="str">
        <f t="shared" si="4"/>
        <v>001040FC</v>
      </c>
      <c r="B159" s="103" t="s">
        <v>1309</v>
      </c>
      <c r="C159" s="102" t="s">
        <v>1228</v>
      </c>
      <c r="D159" s="104" t="s">
        <v>1445</v>
      </c>
    </row>
    <row r="160" spans="1:4">
      <c r="A160" s="102" t="str">
        <f t="shared" si="4"/>
        <v>00104100</v>
      </c>
      <c r="B160" s="103" t="s">
        <v>1439</v>
      </c>
      <c r="C160" s="102" t="str">
        <f>_xlfn.CONCAT("b 0x",A174)</f>
        <v>b 0x00104138</v>
      </c>
      <c r="D160" s="104" t="s">
        <v>1437</v>
      </c>
    </row>
    <row r="161" spans="1:4">
      <c r="A161" s="99" t="str">
        <f t="shared" si="4"/>
        <v>00104104</v>
      </c>
      <c r="B161" s="100" t="s">
        <v>1402</v>
      </c>
      <c r="C161" s="99" t="s">
        <v>1366</v>
      </c>
      <c r="D161" s="118" t="s">
        <v>1377</v>
      </c>
    </row>
    <row r="162" spans="1:4">
      <c r="A162" s="99" t="str">
        <f t="shared" si="4"/>
        <v>00104108</v>
      </c>
      <c r="B162" s="100" t="s">
        <v>1428</v>
      </c>
      <c r="C162" s="99" t="s">
        <v>1423</v>
      </c>
      <c r="D162" s="118" t="s">
        <v>1425</v>
      </c>
    </row>
    <row r="163" spans="1:4">
      <c r="A163" s="99" t="str">
        <f t="shared" si="4"/>
        <v>0010410C</v>
      </c>
      <c r="B163" s="100" t="s">
        <v>1403</v>
      </c>
      <c r="C163" s="99" t="s">
        <v>1369</v>
      </c>
      <c r="D163" s="118" t="s">
        <v>1370</v>
      </c>
    </row>
    <row r="164" spans="1:4">
      <c r="A164" s="7" t="str">
        <f t="shared" si="4"/>
        <v>00104110</v>
      </c>
      <c r="B164" s="8" t="s">
        <v>1429</v>
      </c>
      <c r="C164" s="7" t="str">
        <f>_xlfn.CONCAT("bne 0x",A171)</f>
        <v>bne 0x0010412C</v>
      </c>
      <c r="D164" s="51" t="s">
        <v>1424</v>
      </c>
    </row>
    <row r="165" spans="1:4">
      <c r="A165" s="99" t="str">
        <f t="shared" si="4"/>
        <v>00104114</v>
      </c>
      <c r="B165" s="100" t="s">
        <v>1404</v>
      </c>
      <c r="C165" s="99" t="s">
        <v>1362</v>
      </c>
      <c r="D165" s="118" t="s">
        <v>1371</v>
      </c>
    </row>
    <row r="166" spans="1:4">
      <c r="A166" s="99" t="str">
        <f t="shared" si="4"/>
        <v>00104118</v>
      </c>
      <c r="B166" s="100" t="s">
        <v>1405</v>
      </c>
      <c r="C166" s="99" t="s">
        <v>1372</v>
      </c>
      <c r="D166" s="118"/>
    </row>
    <row r="167" spans="1:4">
      <c r="A167" s="99" t="str">
        <f t="shared" si="4"/>
        <v>0010411C</v>
      </c>
      <c r="B167" s="100" t="s">
        <v>1347</v>
      </c>
      <c r="C167" s="99" t="s">
        <v>1344</v>
      </c>
      <c r="D167" s="118"/>
    </row>
    <row r="168" spans="1:4">
      <c r="A168" s="99" t="str">
        <f t="shared" si="4"/>
        <v>00104120</v>
      </c>
      <c r="B168" s="100" t="s">
        <v>1430</v>
      </c>
      <c r="C168" s="99" t="str">
        <f>_xlfn.CONCAT("b 0x",A172)</f>
        <v>b 0x00104130</v>
      </c>
      <c r="D168" s="118"/>
    </row>
    <row r="169" spans="1:4">
      <c r="A169" s="95" t="str">
        <f t="shared" si="4"/>
        <v>00104124</v>
      </c>
      <c r="B169" s="101" t="s">
        <v>1296</v>
      </c>
      <c r="C169" s="95" t="s">
        <v>1264</v>
      </c>
      <c r="D169" s="119" t="s">
        <v>1426</v>
      </c>
    </row>
    <row r="170" spans="1:4">
      <c r="A170" s="95" t="str">
        <f t="shared" si="4"/>
        <v>00104128</v>
      </c>
      <c r="B170" s="101" t="s">
        <v>1403</v>
      </c>
      <c r="C170" s="95" t="s">
        <v>1369</v>
      </c>
      <c r="D170" s="119" t="s">
        <v>1427</v>
      </c>
    </row>
    <row r="171" spans="1:4">
      <c r="A171" s="7" t="str">
        <f t="shared" si="4"/>
        <v>0010412C</v>
      </c>
      <c r="B171" s="7" t="s">
        <v>1404</v>
      </c>
      <c r="C171" s="7" t="s">
        <v>1362</v>
      </c>
      <c r="D171" s="51" t="s">
        <v>1360</v>
      </c>
    </row>
    <row r="172" spans="1:4">
      <c r="A172" s="7" t="str">
        <f t="shared" si="4"/>
        <v>00104130</v>
      </c>
      <c r="B172" s="8" t="s">
        <v>1031</v>
      </c>
      <c r="C172" s="7" t="s">
        <v>1006</v>
      </c>
      <c r="D172" s="51" t="s">
        <v>1363</v>
      </c>
    </row>
    <row r="173" spans="1:4">
      <c r="A173" s="7" t="str">
        <f t="shared" si="4"/>
        <v>00104134</v>
      </c>
      <c r="B173" s="8" t="s">
        <v>1431</v>
      </c>
      <c r="C173" s="7" t="str">
        <f>_xlfn.CONCAT("ble 0x",A$211)</f>
        <v>ble 0x001041CC</v>
      </c>
      <c r="D173" s="51" t="s">
        <v>1381</v>
      </c>
    </row>
    <row r="174" spans="1:4">
      <c r="A174" s="102" t="str">
        <f t="shared" si="4"/>
        <v>00104138</v>
      </c>
      <c r="B174" s="103" t="s">
        <v>1406</v>
      </c>
      <c r="C174" s="102" t="s">
        <v>1376</v>
      </c>
      <c r="D174" s="104" t="s">
        <v>1378</v>
      </c>
    </row>
    <row r="175" spans="1:4">
      <c r="A175" s="102" t="str">
        <f t="shared" si="4"/>
        <v>0010413C</v>
      </c>
      <c r="B175" s="103" t="s">
        <v>1308</v>
      </c>
      <c r="C175" s="102" t="s">
        <v>1204</v>
      </c>
      <c r="D175" s="104" t="s">
        <v>1379</v>
      </c>
    </row>
    <row r="176" spans="1:4">
      <c r="A176" s="102" t="str">
        <f t="shared" si="4"/>
        <v>00104140</v>
      </c>
      <c r="B176" s="102" t="s">
        <v>1440</v>
      </c>
      <c r="C176" s="102" t="s">
        <v>1436</v>
      </c>
      <c r="D176" s="104" t="s">
        <v>1380</v>
      </c>
    </row>
    <row r="177" spans="1:7">
      <c r="A177" s="9" t="str">
        <f t="shared" si="4"/>
        <v>00104144</v>
      </c>
      <c r="B177" s="70" t="s">
        <v>872</v>
      </c>
      <c r="C177" s="9" t="s">
        <v>851</v>
      </c>
      <c r="D177" s="50" t="s">
        <v>1205</v>
      </c>
    </row>
    <row r="178" spans="1:7">
      <c r="A178" s="9" t="str">
        <f t="shared" si="4"/>
        <v>00104148</v>
      </c>
      <c r="B178" s="9" t="s">
        <v>1038</v>
      </c>
      <c r="C178" s="9" t="s">
        <v>1034</v>
      </c>
      <c r="D178" s="50"/>
    </row>
    <row r="179" spans="1:7">
      <c r="A179" s="9" t="str">
        <f t="shared" si="4"/>
        <v>0010414C</v>
      </c>
      <c r="B179" s="9" t="s">
        <v>1511</v>
      </c>
      <c r="C179" s="9" t="s">
        <v>1002</v>
      </c>
      <c r="D179" s="50"/>
    </row>
    <row r="180" spans="1:7">
      <c r="A180" s="9" t="str">
        <f t="shared" si="4"/>
        <v>00104150</v>
      </c>
      <c r="B180" s="9" t="s">
        <v>1346</v>
      </c>
      <c r="C180" s="9" t="s">
        <v>1341</v>
      </c>
      <c r="D180" s="50"/>
    </row>
    <row r="181" spans="1:7">
      <c r="A181" s="34" t="str">
        <f t="shared" si="4"/>
        <v>00104154</v>
      </c>
      <c r="B181" s="35" t="s">
        <v>1310</v>
      </c>
      <c r="C181" s="36" t="s">
        <v>1209</v>
      </c>
      <c r="D181" s="111" t="s">
        <v>1211</v>
      </c>
    </row>
    <row r="182" spans="1:7">
      <c r="A182" s="34" t="str">
        <f t="shared" si="4"/>
        <v>00104158</v>
      </c>
      <c r="B182" s="35" t="s">
        <v>1311</v>
      </c>
      <c r="C182" s="36" t="s">
        <v>1210</v>
      </c>
      <c r="D182" s="111"/>
      <c r="G182" s="5"/>
    </row>
    <row r="183" spans="1:7">
      <c r="A183" s="34" t="str">
        <f t="shared" si="4"/>
        <v>0010415C</v>
      </c>
      <c r="B183" s="35" t="s">
        <v>1038</v>
      </c>
      <c r="C183" s="34" t="s">
        <v>1034</v>
      </c>
      <c r="D183" s="111"/>
    </row>
    <row r="184" spans="1:7">
      <c r="A184" s="34" t="str">
        <f t="shared" si="4"/>
        <v>00104160</v>
      </c>
      <c r="B184" s="35" t="s">
        <v>1512</v>
      </c>
      <c r="C184" s="34" t="s">
        <v>1000</v>
      </c>
      <c r="D184" s="111"/>
    </row>
    <row r="185" spans="1:7">
      <c r="A185" s="34" t="str">
        <f t="shared" si="4"/>
        <v>00104164</v>
      </c>
      <c r="B185" s="35" t="s">
        <v>1312</v>
      </c>
      <c r="C185" s="34" t="s">
        <v>1213</v>
      </c>
      <c r="D185" s="111"/>
    </row>
    <row r="186" spans="1:7">
      <c r="A186" s="37" t="str">
        <f t="shared" si="4"/>
        <v>00104168</v>
      </c>
      <c r="B186" s="38" t="s">
        <v>1313</v>
      </c>
      <c r="C186" s="39" t="s">
        <v>1212</v>
      </c>
      <c r="D186" s="59"/>
    </row>
    <row r="187" spans="1:7">
      <c r="A187" s="37" t="str">
        <f t="shared" si="4"/>
        <v>0010416C</v>
      </c>
      <c r="B187" s="38" t="s">
        <v>1314</v>
      </c>
      <c r="C187" s="37" t="s">
        <v>1214</v>
      </c>
      <c r="D187" s="59"/>
    </row>
    <row r="188" spans="1:7">
      <c r="A188" s="37" t="str">
        <f t="shared" si="4"/>
        <v>00104170</v>
      </c>
      <c r="B188" s="38" t="s">
        <v>1348</v>
      </c>
      <c r="C188" s="37" t="s">
        <v>1342</v>
      </c>
      <c r="D188" s="59"/>
    </row>
    <row r="189" spans="1:7">
      <c r="A189" s="37" t="str">
        <f t="shared" si="4"/>
        <v>00104174</v>
      </c>
      <c r="B189" s="38" t="s">
        <v>1315</v>
      </c>
      <c r="C189" s="37" t="s">
        <v>1215</v>
      </c>
      <c r="D189" s="59"/>
    </row>
    <row r="190" spans="1:7">
      <c r="A190" s="37" t="str">
        <f t="shared" si="4"/>
        <v>00104178</v>
      </c>
      <c r="B190" s="38" t="s">
        <v>1316</v>
      </c>
      <c r="C190" s="37" t="s">
        <v>1216</v>
      </c>
      <c r="D190" s="59"/>
    </row>
    <row r="191" spans="1:7">
      <c r="A191" s="37" t="str">
        <f t="shared" si="4"/>
        <v>0010417C</v>
      </c>
      <c r="B191" s="71" t="s">
        <v>1317</v>
      </c>
      <c r="C191" s="37" t="s">
        <v>1217</v>
      </c>
      <c r="D191" s="59"/>
    </row>
    <row r="192" spans="1:7">
      <c r="A192" s="37" t="str">
        <f t="shared" si="4"/>
        <v>00104180</v>
      </c>
      <c r="B192" s="71" t="s">
        <v>1318</v>
      </c>
      <c r="C192" s="37" t="s">
        <v>1220</v>
      </c>
      <c r="D192" s="59"/>
    </row>
    <row r="193" spans="1:4">
      <c r="A193" s="37" t="str">
        <f t="shared" si="4"/>
        <v>00104184</v>
      </c>
      <c r="B193" s="71" t="s">
        <v>1319</v>
      </c>
      <c r="C193" s="37" t="s">
        <v>1221</v>
      </c>
      <c r="D193" s="59"/>
    </row>
    <row r="194" spans="1:4">
      <c r="A194" s="40" t="str">
        <f t="shared" si="4"/>
        <v>00104188</v>
      </c>
      <c r="B194" s="40" t="s">
        <v>1407</v>
      </c>
      <c r="C194" s="40" t="str">
        <f>_xlfn.CONCAT("ldrh r2, [pc, 0x",DEC2HEX(HEX2DEC(A$214)-HEX2DEC(A194)-8,3),"]")</f>
        <v>ldrh r2, [pc, 0x048]</v>
      </c>
      <c r="D194" s="60" t="s">
        <v>1020</v>
      </c>
    </row>
    <row r="195" spans="1:4">
      <c r="A195" s="95" t="str">
        <f t="shared" si="4"/>
        <v>0010418C</v>
      </c>
      <c r="B195" s="96" t="s">
        <v>1320</v>
      </c>
      <c r="C195" s="95" t="s">
        <v>1219</v>
      </c>
      <c r="D195" s="119" t="s">
        <v>1025</v>
      </c>
    </row>
    <row r="196" spans="1:4">
      <c r="A196" s="95" t="str">
        <f t="shared" si="4"/>
        <v>00104190</v>
      </c>
      <c r="B196" s="96" t="s">
        <v>1049</v>
      </c>
      <c r="C196" s="95" t="s">
        <v>1024</v>
      </c>
      <c r="D196" s="119"/>
    </row>
    <row r="197" spans="1:4">
      <c r="A197" s="95" t="str">
        <f t="shared" si="4"/>
        <v>00104194</v>
      </c>
      <c r="B197" s="96" t="s">
        <v>1050</v>
      </c>
      <c r="C197" s="95" t="s">
        <v>1026</v>
      </c>
      <c r="D197" s="119" t="s">
        <v>1027</v>
      </c>
    </row>
    <row r="198" spans="1:4">
      <c r="A198" s="95" t="str">
        <f t="shared" si="4"/>
        <v>00104198</v>
      </c>
      <c r="B198" s="96" t="s">
        <v>1339</v>
      </c>
      <c r="C198" s="95" t="str">
        <f>_xlfn.CONCAT("beq 0x",A201)</f>
        <v>beq 0x001041A4</v>
      </c>
      <c r="D198" s="119"/>
    </row>
    <row r="199" spans="1:4">
      <c r="A199" s="97" t="str">
        <f t="shared" si="4"/>
        <v>0010419C</v>
      </c>
      <c r="B199" s="98" t="s">
        <v>1340</v>
      </c>
      <c r="C199" s="97" t="s">
        <v>1338</v>
      </c>
      <c r="D199" s="120" t="s">
        <v>1224</v>
      </c>
    </row>
    <row r="200" spans="1:4">
      <c r="A200" s="97" t="str">
        <f t="shared" si="4"/>
        <v>001041A0</v>
      </c>
      <c r="B200" s="98">
        <v>60208202</v>
      </c>
      <c r="C200" s="97" t="s">
        <v>1225</v>
      </c>
      <c r="D200" s="120"/>
    </row>
    <row r="201" spans="1:4">
      <c r="A201" s="40" t="str">
        <f t="shared" si="4"/>
        <v>001041A4</v>
      </c>
      <c r="B201" s="72" t="s">
        <v>911</v>
      </c>
      <c r="C201" s="40" t="s">
        <v>957</v>
      </c>
      <c r="D201" s="60"/>
    </row>
    <row r="202" spans="1:4">
      <c r="A202" s="40" t="str">
        <f t="shared" si="4"/>
        <v>001041A8</v>
      </c>
      <c r="B202" s="72" t="s">
        <v>1321</v>
      </c>
      <c r="C202" s="40" t="s">
        <v>1222</v>
      </c>
      <c r="D202" s="60"/>
    </row>
    <row r="203" spans="1:4">
      <c r="A203" s="40" t="str">
        <f t="shared" si="4"/>
        <v>001041AC</v>
      </c>
      <c r="B203" s="72" t="s">
        <v>1513</v>
      </c>
      <c r="C203" s="40" t="s">
        <v>994</v>
      </c>
      <c r="D203" s="60" t="s">
        <v>1223</v>
      </c>
    </row>
    <row r="204" spans="1:4">
      <c r="A204" s="73" t="str">
        <f t="shared" si="4"/>
        <v>001041B0</v>
      </c>
      <c r="B204" s="74" t="s">
        <v>872</v>
      </c>
      <c r="C204" s="73" t="s">
        <v>851</v>
      </c>
      <c r="D204" s="121" t="s">
        <v>1382</v>
      </c>
    </row>
    <row r="205" spans="1:4">
      <c r="A205" s="73" t="str">
        <f t="shared" si="4"/>
        <v>001041B4</v>
      </c>
      <c r="B205" s="74" t="s">
        <v>1321</v>
      </c>
      <c r="C205" s="73" t="s">
        <v>1222</v>
      </c>
      <c r="D205" s="121"/>
    </row>
    <row r="206" spans="1:4">
      <c r="A206" s="73" t="str">
        <f t="shared" si="4"/>
        <v>001041B8</v>
      </c>
      <c r="B206" s="75" t="s">
        <v>1514</v>
      </c>
      <c r="C206" s="73" t="s">
        <v>990</v>
      </c>
      <c r="D206" s="121"/>
    </row>
    <row r="207" spans="1:4">
      <c r="A207" s="2" t="str">
        <f t="shared" ref="A207:A214" si="5">DEC2HEX(HEX2DEC(A206)+4,8)</f>
        <v>001041BC</v>
      </c>
      <c r="B207" s="3" t="s">
        <v>1285</v>
      </c>
      <c r="C207" s="2" t="s">
        <v>1226</v>
      </c>
    </row>
    <row r="208" spans="1:4">
      <c r="A208" s="2" t="str">
        <f t="shared" si="5"/>
        <v>001041C0</v>
      </c>
      <c r="B208" s="2" t="s">
        <v>1038</v>
      </c>
      <c r="C208" s="2" t="s">
        <v>1034</v>
      </c>
    </row>
    <row r="209" spans="1:4">
      <c r="A209" s="2" t="str">
        <f t="shared" si="5"/>
        <v>001041C4</v>
      </c>
      <c r="B209" s="2" t="s">
        <v>1349</v>
      </c>
      <c r="C209" s="2" t="str">
        <f>SUBSTITUTE(C142,"push","pop")</f>
        <v>pop {r4, r5, r6, r7, r8, r9, r10, lr}</v>
      </c>
    </row>
    <row r="210" spans="1:4">
      <c r="A210" s="2" t="str">
        <f t="shared" si="5"/>
        <v>001041C8</v>
      </c>
      <c r="B210" s="2" t="s">
        <v>1515</v>
      </c>
      <c r="C210" s="2" t="s">
        <v>1227</v>
      </c>
    </row>
    <row r="211" spans="1:4">
      <c r="A211" s="99" t="str">
        <f t="shared" si="5"/>
        <v>001041CC</v>
      </c>
      <c r="B211" s="99" t="s">
        <v>1296</v>
      </c>
      <c r="C211" s="99" t="s">
        <v>1264</v>
      </c>
      <c r="D211" s="118" t="s">
        <v>1352</v>
      </c>
    </row>
    <row r="212" spans="1:4">
      <c r="A212" s="99" t="str">
        <f t="shared" si="5"/>
        <v>001041D0</v>
      </c>
      <c r="B212" s="100" t="s">
        <v>1408</v>
      </c>
      <c r="C212" s="99" t="s">
        <v>1364</v>
      </c>
      <c r="D212" s="118"/>
    </row>
    <row r="213" spans="1:4">
      <c r="A213" s="2" t="str">
        <f t="shared" si="5"/>
        <v>001041D4</v>
      </c>
      <c r="B213" s="2" t="s">
        <v>1350</v>
      </c>
      <c r="C213" s="2" t="str">
        <f>SUBSTITUTE(C209,"lr","pc")</f>
        <v>pop {r4, r5, r6, r7, r8, r9, r10, pc}</v>
      </c>
    </row>
    <row r="214" spans="1:4">
      <c r="A214" s="2" t="str">
        <f t="shared" si="5"/>
        <v>001041D8</v>
      </c>
      <c r="B214" s="2" t="s">
        <v>1019</v>
      </c>
      <c r="C214" s="2" t="s">
        <v>1276</v>
      </c>
      <c r="D214" s="48" t="s">
        <v>1218</v>
      </c>
    </row>
    <row r="215" spans="1:4">
      <c r="A215" s="3"/>
      <c r="B215" s="4"/>
    </row>
    <row r="216" spans="1:4">
      <c r="A216" s="14" t="s">
        <v>1269</v>
      </c>
      <c r="B216" s="4"/>
    </row>
    <row r="217" spans="1:4">
      <c r="A217" s="2" t="str">
        <f>DEC2HEX(HEX2DEC(A214)+4,8)</f>
        <v>001041DC</v>
      </c>
      <c r="B217" s="2" t="s">
        <v>1061</v>
      </c>
      <c r="C217" s="2" t="s">
        <v>1056</v>
      </c>
    </row>
    <row r="218" spans="1:4">
      <c r="A218" s="2" t="str">
        <f t="shared" ref="A218:A240" si="6">DEC2HEX(HEX2DEC(A217)+4,8)</f>
        <v>001041E0</v>
      </c>
      <c r="B218" s="2" t="s">
        <v>840</v>
      </c>
      <c r="C218" s="2" t="s">
        <v>838</v>
      </c>
    </row>
    <row r="219" spans="1:4">
      <c r="A219" s="15" t="str">
        <f t="shared" si="6"/>
        <v>001041E4</v>
      </c>
      <c r="B219" s="16" t="s">
        <v>841</v>
      </c>
      <c r="C219" s="15" t="s">
        <v>839</v>
      </c>
      <c r="D219" s="49" t="s">
        <v>1030</v>
      </c>
    </row>
    <row r="220" spans="1:4">
      <c r="A220" s="15" t="str">
        <f t="shared" si="6"/>
        <v>001041E8</v>
      </c>
      <c r="B220" s="15" t="s">
        <v>1516</v>
      </c>
      <c r="C220" s="15" t="s">
        <v>846</v>
      </c>
      <c r="D220" s="49"/>
    </row>
    <row r="221" spans="1:4">
      <c r="A221" s="15" t="str">
        <f t="shared" si="6"/>
        <v>001041EC</v>
      </c>
      <c r="B221" s="16" t="s">
        <v>843</v>
      </c>
      <c r="C221" s="15" t="s">
        <v>842</v>
      </c>
      <c r="D221" s="49"/>
    </row>
    <row r="222" spans="1:4">
      <c r="A222" s="15" t="str">
        <f t="shared" si="6"/>
        <v>001041F0</v>
      </c>
      <c r="B222" s="15" t="s">
        <v>1331</v>
      </c>
      <c r="C222" s="15" t="str">
        <f>_xlfn.CONCAT("bne 0x",A231)</f>
        <v>bne 0x00104214</v>
      </c>
      <c r="D222" s="49"/>
    </row>
    <row r="223" spans="1:4">
      <c r="A223" s="64" t="str">
        <f t="shared" si="6"/>
        <v>001041F4</v>
      </c>
      <c r="B223" s="65" t="s">
        <v>1441</v>
      </c>
      <c r="C223" s="64" t="str">
        <f>_xlfn.CONCAT("ldr r0, [pc, #",HEX2DEC(A$139)-HEX2DEC(A223)-8,"]")</f>
        <v>ldr r0, [pc, #-328]</v>
      </c>
      <c r="D223" s="116" t="s">
        <v>1193</v>
      </c>
    </row>
    <row r="224" spans="1:4">
      <c r="A224" s="92" t="str">
        <f t="shared" si="6"/>
        <v>001041F8</v>
      </c>
      <c r="B224" s="92" t="s">
        <v>1409</v>
      </c>
      <c r="C224" s="92" t="s">
        <v>1383</v>
      </c>
      <c r="D224" s="94" t="s">
        <v>1387</v>
      </c>
    </row>
    <row r="225" spans="1:4">
      <c r="A225" s="92" t="str">
        <f t="shared" si="6"/>
        <v>001041FC</v>
      </c>
      <c r="B225" s="93" t="s">
        <v>1323</v>
      </c>
      <c r="C225" s="92" t="s">
        <v>1270</v>
      </c>
      <c r="D225" s="94" t="s">
        <v>1271</v>
      </c>
    </row>
    <row r="226" spans="1:4">
      <c r="A226" s="92" t="str">
        <f t="shared" si="6"/>
        <v>00104200</v>
      </c>
      <c r="B226" s="93" t="s">
        <v>1281</v>
      </c>
      <c r="C226" s="92" t="s">
        <v>1229</v>
      </c>
      <c r="D226" s="94" t="s">
        <v>1272</v>
      </c>
    </row>
    <row r="227" spans="1:4">
      <c r="A227" s="92" t="str">
        <f t="shared" si="6"/>
        <v>00104204</v>
      </c>
      <c r="B227" s="92" t="s">
        <v>1410</v>
      </c>
      <c r="C227" s="92" t="s">
        <v>1384</v>
      </c>
      <c r="D227" s="94"/>
    </row>
    <row r="228" spans="1:4">
      <c r="A228" s="92" t="str">
        <f t="shared" si="6"/>
        <v>00104208</v>
      </c>
      <c r="B228" s="92" t="s">
        <v>1411</v>
      </c>
      <c r="C228" s="92" t="s">
        <v>1385</v>
      </c>
      <c r="D228" s="94" t="s">
        <v>1274</v>
      </c>
    </row>
    <row r="229" spans="1:4">
      <c r="A229" s="90" t="str">
        <f t="shared" si="6"/>
        <v>0010420C</v>
      </c>
      <c r="B229" s="91" t="s">
        <v>1412</v>
      </c>
      <c r="C229" s="90" t="s">
        <v>1386</v>
      </c>
      <c r="D229" s="110" t="s">
        <v>1388</v>
      </c>
    </row>
    <row r="230" spans="1:4">
      <c r="A230" s="90" t="str">
        <f t="shared" si="6"/>
        <v>00104210</v>
      </c>
      <c r="B230" s="90" t="s">
        <v>1324</v>
      </c>
      <c r="C230" s="90" t="s">
        <v>1273</v>
      </c>
      <c r="D230" s="110" t="s">
        <v>1389</v>
      </c>
    </row>
    <row r="231" spans="1:4">
      <c r="A231" s="2" t="str">
        <f t="shared" si="6"/>
        <v>00104214</v>
      </c>
      <c r="B231" s="2" t="s">
        <v>1064</v>
      </c>
      <c r="C231" s="2" t="str">
        <f>SUBSTITUTE(SUBSTITUTE(C217,"push","pop"),"lr","pc")</f>
        <v>pop {r4, pc}</v>
      </c>
    </row>
    <row r="235" spans="1:4">
      <c r="B235" s="3"/>
    </row>
    <row r="236" spans="1:4">
      <c r="B236" s="3"/>
    </row>
    <row r="237" spans="1:4">
      <c r="B237" s="3"/>
    </row>
    <row r="238" spans="1:4">
      <c r="B238" s="3"/>
    </row>
    <row r="239" spans="1:4">
      <c r="B239" s="3"/>
    </row>
    <row r="240" spans="1:4">
      <c r="B240" s="3"/>
    </row>
    <row r="241" spans="2:4">
      <c r="B241" s="3"/>
    </row>
    <row r="242" spans="2:4">
      <c r="B242" s="3"/>
    </row>
    <row r="245" spans="2:4">
      <c r="B245" s="3"/>
    </row>
    <row r="249" spans="2:4">
      <c r="B249" s="3"/>
      <c r="D249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I163"/>
  <sheetViews>
    <sheetView zoomScaleNormal="100" workbookViewId="0">
      <pane ySplit="1" topLeftCell="A2" activePane="bottomLeft" state="frozen"/>
      <selection pane="bottomLeft" activeCell="C32" sqref="C32"/>
    </sheetView>
  </sheetViews>
  <sheetFormatPr defaultColWidth="9.2109375" defaultRowHeight="15.9"/>
  <cols>
    <col min="1" max="1" width="10.2109375" style="2" customWidth="1"/>
    <col min="2" max="2" width="10.0703125" style="2" bestFit="1" customWidth="1"/>
    <col min="3" max="3" width="57.0703125" style="2" bestFit="1" customWidth="1"/>
    <col min="4" max="4" width="54" style="48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47" t="s">
        <v>3</v>
      </c>
    </row>
    <row r="2" spans="1:4">
      <c r="A2" s="1" t="s">
        <v>1029</v>
      </c>
      <c r="B2" s="1"/>
      <c r="C2" s="1"/>
      <c r="D2" s="47"/>
    </row>
    <row r="3" spans="1:4">
      <c r="A3" s="3" t="s">
        <v>1028</v>
      </c>
      <c r="B3" s="2" t="str">
        <f>_xlfn.CONCAT("0",RIGHT(C3,1),"10A0E3")</f>
        <v>0510A0E3</v>
      </c>
      <c r="C3" s="2" t="s">
        <v>1091</v>
      </c>
      <c r="D3" s="47"/>
    </row>
    <row r="4" spans="1:4">
      <c r="A4" s="2" t="str">
        <f t="shared" ref="A4:A7" si="0">DEC2HEX(HEX2DEC(A3)+4,8)</f>
        <v>000C8CD4</v>
      </c>
      <c r="B4" s="3" t="s">
        <v>831</v>
      </c>
      <c r="C4" s="2" t="s">
        <v>832</v>
      </c>
      <c r="D4" s="47"/>
    </row>
    <row r="5" spans="1:4">
      <c r="A5" s="2" t="str">
        <f t="shared" si="0"/>
        <v>000C8CD8</v>
      </c>
      <c r="B5" s="2" t="s">
        <v>833</v>
      </c>
      <c r="C5" s="2" t="s">
        <v>834</v>
      </c>
      <c r="D5" s="47"/>
    </row>
    <row r="6" spans="1:4">
      <c r="A6" s="2" t="str">
        <f t="shared" si="0"/>
        <v>000C8CDC</v>
      </c>
      <c r="B6" s="2" t="s">
        <v>835</v>
      </c>
      <c r="C6" s="2" t="s">
        <v>836</v>
      </c>
    </row>
    <row r="7" spans="1:4">
      <c r="A7" s="2" t="str">
        <f t="shared" si="0"/>
        <v>000C8CE0</v>
      </c>
      <c r="B7" s="3" t="s">
        <v>830</v>
      </c>
      <c r="C7" s="2" t="s">
        <v>837</v>
      </c>
    </row>
    <row r="8" spans="1:4">
      <c r="B8" s="1"/>
      <c r="C8" s="1"/>
      <c r="D8" s="47"/>
    </row>
    <row r="9" spans="1:4">
      <c r="A9" s="1" t="s">
        <v>848</v>
      </c>
      <c r="C9" s="5"/>
    </row>
    <row r="10" spans="1:4">
      <c r="A10" s="2" t="s">
        <v>1036</v>
      </c>
      <c r="B10" s="3"/>
    </row>
    <row r="11" spans="1:4">
      <c r="A11" s="1"/>
      <c r="B11" s="3"/>
      <c r="C11" s="2" t="s">
        <v>1054</v>
      </c>
    </row>
    <row r="12" spans="1:4">
      <c r="A12" s="14" t="s">
        <v>1074</v>
      </c>
      <c r="B12" s="4"/>
    </row>
    <row r="13" spans="1:4">
      <c r="A13" s="3" t="s">
        <v>1039</v>
      </c>
      <c r="B13" s="2" t="s">
        <v>862</v>
      </c>
      <c r="C13" s="2" t="s">
        <v>930</v>
      </c>
    </row>
    <row r="14" spans="1:4">
      <c r="A14" s="9" t="str">
        <f t="shared" ref="A14:A77" si="1">DEC2HEX(HEX2DEC(A13)+4,8)</f>
        <v>001011F0</v>
      </c>
      <c r="B14" s="9" t="s">
        <v>1135</v>
      </c>
      <c r="C14" s="9" t="str">
        <f>_xlfn.CONCAT("ldr r6, [pc, 0x",DEC2HEX(HEX2DEC(A$137)-HEX2DEC(A14)-8,3),"]")</f>
        <v>ldr r6, [pc, 0x1DC]</v>
      </c>
      <c r="D14" s="50" t="s">
        <v>1069</v>
      </c>
    </row>
    <row r="15" spans="1:4">
      <c r="A15" s="2" t="str">
        <f t="shared" si="1"/>
        <v>001011F4</v>
      </c>
      <c r="B15" s="2" t="s">
        <v>1136</v>
      </c>
      <c r="C15" s="2" t="s">
        <v>1132</v>
      </c>
    </row>
    <row r="16" spans="1:4">
      <c r="A16" s="2" t="str">
        <f t="shared" si="1"/>
        <v>001011F8</v>
      </c>
      <c r="B16" s="2" t="s">
        <v>863</v>
      </c>
      <c r="C16" s="2" t="s">
        <v>1118</v>
      </c>
    </row>
    <row r="17" spans="1:4">
      <c r="A17" s="2" t="str">
        <f t="shared" si="1"/>
        <v>001011FC</v>
      </c>
      <c r="B17" s="2" t="s">
        <v>864</v>
      </c>
      <c r="C17" s="2" t="s">
        <v>849</v>
      </c>
    </row>
    <row r="18" spans="1:4">
      <c r="A18" s="2" t="str">
        <f t="shared" si="1"/>
        <v>00101200</v>
      </c>
      <c r="B18" s="2" t="s">
        <v>865</v>
      </c>
      <c r="C18" s="2" t="s">
        <v>961</v>
      </c>
    </row>
    <row r="19" spans="1:4">
      <c r="A19" s="15" t="str">
        <f t="shared" si="1"/>
        <v>00101204</v>
      </c>
      <c r="B19" s="15" t="s">
        <v>1065</v>
      </c>
      <c r="C19" s="15" t="s">
        <v>1052</v>
      </c>
      <c r="D19" s="49" t="s">
        <v>1051</v>
      </c>
    </row>
    <row r="20" spans="1:4">
      <c r="A20" s="15" t="str">
        <f t="shared" si="1"/>
        <v>00101208</v>
      </c>
      <c r="B20" s="15" t="s">
        <v>1137</v>
      </c>
      <c r="C20" s="15" t="s">
        <v>846</v>
      </c>
      <c r="D20" s="49"/>
    </row>
    <row r="21" spans="1:4">
      <c r="A21" s="15" t="str">
        <f t="shared" si="1"/>
        <v>0010120C</v>
      </c>
      <c r="B21" s="16" t="s">
        <v>867</v>
      </c>
      <c r="C21" s="15" t="s">
        <v>850</v>
      </c>
      <c r="D21" s="49"/>
    </row>
    <row r="22" spans="1:4">
      <c r="A22" s="15" t="str">
        <f t="shared" si="1"/>
        <v>00101210</v>
      </c>
      <c r="B22" s="15" t="s">
        <v>1113</v>
      </c>
      <c r="C22" s="15" t="str">
        <f>_xlfn.CONCAT("bne 0x",A$115)</f>
        <v>bne 0x00101384</v>
      </c>
      <c r="D22" s="49"/>
    </row>
    <row r="23" spans="1:4">
      <c r="A23" s="9" t="str">
        <f t="shared" si="1"/>
        <v>00101214</v>
      </c>
      <c r="B23" s="9" t="s">
        <v>1138</v>
      </c>
      <c r="C23" s="9" t="s">
        <v>1131</v>
      </c>
      <c r="D23" s="50" t="s">
        <v>1068</v>
      </c>
    </row>
    <row r="24" spans="1:4">
      <c r="A24" s="9" t="str">
        <f t="shared" si="1"/>
        <v>00101218</v>
      </c>
      <c r="B24" s="9" t="s">
        <v>1066</v>
      </c>
      <c r="C24" s="9" t="s">
        <v>1060</v>
      </c>
      <c r="D24" s="50" t="s">
        <v>1070</v>
      </c>
    </row>
    <row r="25" spans="1:4">
      <c r="A25" s="7" t="str">
        <f t="shared" si="1"/>
        <v>0010121C</v>
      </c>
      <c r="B25" s="7" t="s">
        <v>873</v>
      </c>
      <c r="C25" s="7" t="s">
        <v>962</v>
      </c>
      <c r="D25" s="51" t="s">
        <v>966</v>
      </c>
    </row>
    <row r="26" spans="1:4">
      <c r="A26" s="7" t="str">
        <f t="shared" si="1"/>
        <v>00101220</v>
      </c>
      <c r="B26" s="7" t="s">
        <v>1139</v>
      </c>
      <c r="C26" s="7" t="s">
        <v>963</v>
      </c>
      <c r="D26" s="51"/>
    </row>
    <row r="27" spans="1:4">
      <c r="A27" s="7" t="str">
        <f t="shared" si="1"/>
        <v>00101224</v>
      </c>
      <c r="B27" s="8" t="s">
        <v>875</v>
      </c>
      <c r="C27" s="7" t="s">
        <v>946</v>
      </c>
      <c r="D27" s="51"/>
    </row>
    <row r="28" spans="1:4">
      <c r="A28" s="7" t="str">
        <f t="shared" si="1"/>
        <v>00101228</v>
      </c>
      <c r="B28" s="7" t="s">
        <v>1164</v>
      </c>
      <c r="C28" s="7" t="str">
        <f>_xlfn.CONCAT("beq 0x",A$115)</f>
        <v>beq 0x00101384</v>
      </c>
      <c r="D28" s="51"/>
    </row>
    <row r="29" spans="1:4">
      <c r="A29" s="10" t="str">
        <f t="shared" si="1"/>
        <v>0010122C</v>
      </c>
      <c r="B29" s="10" t="s">
        <v>873</v>
      </c>
      <c r="C29" s="10" t="s">
        <v>962</v>
      </c>
      <c r="D29" s="52" t="s">
        <v>968</v>
      </c>
    </row>
    <row r="30" spans="1:4">
      <c r="A30" s="10" t="str">
        <f t="shared" si="1"/>
        <v>00101230</v>
      </c>
      <c r="B30" s="10" t="s">
        <v>1140</v>
      </c>
      <c r="C30" s="10" t="s">
        <v>967</v>
      </c>
      <c r="D30" s="52"/>
    </row>
    <row r="31" spans="1:4">
      <c r="A31" s="10" t="str">
        <f t="shared" si="1"/>
        <v>00101234</v>
      </c>
      <c r="B31" s="11" t="s">
        <v>878</v>
      </c>
      <c r="C31" s="10" t="s">
        <v>947</v>
      </c>
      <c r="D31" s="52"/>
    </row>
    <row r="32" spans="1:4">
      <c r="A32" s="10" t="str">
        <f t="shared" si="1"/>
        <v>00101238</v>
      </c>
      <c r="B32" s="10" t="s">
        <v>1114</v>
      </c>
      <c r="C32" s="10" t="str">
        <f>_xlfn.CONCAT("beq 0x",A$117)</f>
        <v>beq 0x0010138C</v>
      </c>
      <c r="D32" s="52"/>
    </row>
    <row r="33" spans="1:4">
      <c r="A33" s="12" t="str">
        <f t="shared" si="1"/>
        <v>0010123C</v>
      </c>
      <c r="B33" s="12" t="s">
        <v>872</v>
      </c>
      <c r="C33" s="12" t="s">
        <v>851</v>
      </c>
      <c r="D33" s="53" t="s">
        <v>969</v>
      </c>
    </row>
    <row r="34" spans="1:4">
      <c r="A34" s="12" t="str">
        <f t="shared" si="1"/>
        <v>00101240</v>
      </c>
      <c r="B34" s="12" t="s">
        <v>873</v>
      </c>
      <c r="C34" s="12" t="s">
        <v>962</v>
      </c>
      <c r="D34" s="53"/>
    </row>
    <row r="35" spans="1:4">
      <c r="A35" s="12" t="str">
        <f t="shared" si="1"/>
        <v>00101244</v>
      </c>
      <c r="B35" s="12" t="s">
        <v>1141</v>
      </c>
      <c r="C35" s="12" t="s">
        <v>963</v>
      </c>
      <c r="D35" s="53"/>
    </row>
    <row r="36" spans="1:4">
      <c r="A36" s="12" t="str">
        <f t="shared" si="1"/>
        <v>00101248</v>
      </c>
      <c r="B36" s="12" t="s">
        <v>881</v>
      </c>
      <c r="C36" s="12" t="s">
        <v>932</v>
      </c>
      <c r="D36" s="53"/>
    </row>
    <row r="37" spans="1:4">
      <c r="A37" s="12" t="str">
        <f t="shared" si="1"/>
        <v>0010124C</v>
      </c>
      <c r="B37" s="13" t="s">
        <v>882</v>
      </c>
      <c r="C37" s="12" t="s">
        <v>852</v>
      </c>
      <c r="D37" s="53"/>
    </row>
    <row r="38" spans="1:4">
      <c r="A38" s="12" t="str">
        <f t="shared" si="1"/>
        <v>00101250</v>
      </c>
      <c r="B38" s="17" t="s">
        <v>873</v>
      </c>
      <c r="C38" s="18" t="s">
        <v>962</v>
      </c>
      <c r="D38" s="53"/>
    </row>
    <row r="39" spans="1:4">
      <c r="A39" s="12" t="str">
        <f t="shared" si="1"/>
        <v>00101254</v>
      </c>
      <c r="B39" s="17" t="s">
        <v>1142</v>
      </c>
      <c r="C39" s="18" t="s">
        <v>1032</v>
      </c>
      <c r="D39" s="53"/>
    </row>
    <row r="40" spans="1:4">
      <c r="A40" s="12" t="str">
        <f t="shared" si="1"/>
        <v>00101258</v>
      </c>
      <c r="B40" s="17" t="s">
        <v>884</v>
      </c>
      <c r="C40" s="18" t="s">
        <v>948</v>
      </c>
      <c r="D40" s="53"/>
    </row>
    <row r="41" spans="1:4">
      <c r="A41" s="19" t="str">
        <f t="shared" si="1"/>
        <v>0010125C</v>
      </c>
      <c r="B41" s="20" t="s">
        <v>885</v>
      </c>
      <c r="C41" s="21" t="s">
        <v>949</v>
      </c>
      <c r="D41" s="54" t="s">
        <v>975</v>
      </c>
    </row>
    <row r="42" spans="1:4">
      <c r="A42" s="2" t="str">
        <f t="shared" si="1"/>
        <v>00101260</v>
      </c>
      <c r="B42" s="4" t="s">
        <v>886</v>
      </c>
      <c r="C42" s="5" t="s">
        <v>970</v>
      </c>
    </row>
    <row r="43" spans="1:4">
      <c r="A43" s="2" t="str">
        <f t="shared" si="1"/>
        <v>00101264</v>
      </c>
      <c r="B43" s="4" t="s">
        <v>1104</v>
      </c>
      <c r="C43" s="5" t="s">
        <v>1099</v>
      </c>
    </row>
    <row r="44" spans="1:4">
      <c r="A44" s="12" t="str">
        <f t="shared" si="1"/>
        <v>00101268</v>
      </c>
      <c r="B44" s="17" t="s">
        <v>1165</v>
      </c>
      <c r="C44" s="18" t="str">
        <f>_xlfn.CONCAT("bls 0x",A$115)</f>
        <v>bls 0x00101384</v>
      </c>
      <c r="D44" s="53" t="s">
        <v>976</v>
      </c>
    </row>
    <row r="45" spans="1:4">
      <c r="A45" s="22" t="str">
        <f t="shared" si="1"/>
        <v>0010126C</v>
      </c>
      <c r="B45" s="23" t="s">
        <v>889</v>
      </c>
      <c r="C45" s="24" t="s">
        <v>971</v>
      </c>
      <c r="D45" s="55" t="s">
        <v>977</v>
      </c>
    </row>
    <row r="46" spans="1:4">
      <c r="A46" s="22" t="str">
        <f t="shared" si="1"/>
        <v>00101270</v>
      </c>
      <c r="B46" s="23" t="s">
        <v>890</v>
      </c>
      <c r="C46" s="24" t="s">
        <v>853</v>
      </c>
      <c r="D46" s="55" t="s">
        <v>978</v>
      </c>
    </row>
    <row r="47" spans="1:4">
      <c r="A47" s="22" t="str">
        <f t="shared" si="1"/>
        <v>00101274</v>
      </c>
      <c r="B47" s="23" t="s">
        <v>1105</v>
      </c>
      <c r="C47" s="24" t="str">
        <f>_xlfn.CONCAT("beq 0x",A$100)</f>
        <v>beq 0x00101348</v>
      </c>
      <c r="D47" s="55" t="s">
        <v>979</v>
      </c>
    </row>
    <row r="48" spans="1:4">
      <c r="A48" s="25" t="str">
        <f t="shared" si="1"/>
        <v>00101278</v>
      </c>
      <c r="B48" s="26" t="s">
        <v>873</v>
      </c>
      <c r="C48" s="27" t="s">
        <v>962</v>
      </c>
      <c r="D48" s="56" t="s">
        <v>980</v>
      </c>
    </row>
    <row r="49" spans="1:4">
      <c r="A49" s="25" t="str">
        <f t="shared" si="1"/>
        <v>0010127C</v>
      </c>
      <c r="B49" s="26" t="s">
        <v>1143</v>
      </c>
      <c r="C49" s="27" t="s">
        <v>1002</v>
      </c>
      <c r="D49" s="56"/>
    </row>
    <row r="50" spans="1:4">
      <c r="A50" s="25" t="str">
        <f t="shared" si="1"/>
        <v>00101280</v>
      </c>
      <c r="B50" s="26" t="s">
        <v>893</v>
      </c>
      <c r="C50" s="25" t="s">
        <v>950</v>
      </c>
      <c r="D50" s="56"/>
    </row>
    <row r="51" spans="1:4">
      <c r="A51" s="28" t="str">
        <f t="shared" si="1"/>
        <v>00101284</v>
      </c>
      <c r="B51" s="29" t="s">
        <v>894</v>
      </c>
      <c r="C51" s="30" t="s">
        <v>854</v>
      </c>
      <c r="D51" s="57" t="s">
        <v>981</v>
      </c>
    </row>
    <row r="52" spans="1:4">
      <c r="A52" s="28" t="str">
        <f t="shared" si="1"/>
        <v>00101288</v>
      </c>
      <c r="B52" s="29" t="s">
        <v>895</v>
      </c>
      <c r="C52" s="30" t="s">
        <v>951</v>
      </c>
      <c r="D52" s="57"/>
    </row>
    <row r="53" spans="1:4">
      <c r="A53" s="28" t="str">
        <f t="shared" si="1"/>
        <v>0010128C</v>
      </c>
      <c r="B53" s="29" t="s">
        <v>873</v>
      </c>
      <c r="C53" s="30" t="s">
        <v>962</v>
      </c>
      <c r="D53" s="57"/>
    </row>
    <row r="54" spans="1:4">
      <c r="A54" s="28" t="str">
        <f t="shared" si="1"/>
        <v>00101290</v>
      </c>
      <c r="B54" s="29" t="s">
        <v>1144</v>
      </c>
      <c r="C54" s="30" t="s">
        <v>1000</v>
      </c>
      <c r="D54" s="57"/>
    </row>
    <row r="55" spans="1:4">
      <c r="A55" s="31" t="str">
        <f t="shared" si="1"/>
        <v>00101294</v>
      </c>
      <c r="B55" s="32" t="s">
        <v>897</v>
      </c>
      <c r="C55" s="33" t="s">
        <v>855</v>
      </c>
      <c r="D55" s="58" t="s">
        <v>982</v>
      </c>
    </row>
    <row r="56" spans="1:4">
      <c r="A56" s="2" t="str">
        <f t="shared" si="1"/>
        <v>00101298</v>
      </c>
      <c r="B56" s="4" t="s">
        <v>1040</v>
      </c>
      <c r="C56" s="5" t="s">
        <v>1018</v>
      </c>
    </row>
    <row r="57" spans="1:4">
      <c r="A57" s="31" t="str">
        <f t="shared" si="1"/>
        <v>0010129C</v>
      </c>
      <c r="B57" s="32" t="s">
        <v>1041</v>
      </c>
      <c r="C57" s="33" t="s">
        <v>1010</v>
      </c>
      <c r="D57" s="58" t="s">
        <v>983</v>
      </c>
    </row>
    <row r="58" spans="1:4">
      <c r="A58" s="31" t="str">
        <f t="shared" si="1"/>
        <v>001012A0</v>
      </c>
      <c r="B58" s="32" t="s">
        <v>1042</v>
      </c>
      <c r="C58" s="33" t="s">
        <v>1011</v>
      </c>
      <c r="D58" s="58" t="s">
        <v>1053</v>
      </c>
    </row>
    <row r="59" spans="1:4">
      <c r="A59" s="2" t="str">
        <f t="shared" si="1"/>
        <v>001012A4</v>
      </c>
      <c r="B59" s="4" t="s">
        <v>873</v>
      </c>
      <c r="C59" s="5" t="s">
        <v>962</v>
      </c>
      <c r="D59" s="48" t="s">
        <v>1003</v>
      </c>
    </row>
    <row r="60" spans="1:4">
      <c r="A60" s="2" t="str">
        <f t="shared" si="1"/>
        <v>001012A8</v>
      </c>
      <c r="B60" s="4" t="s">
        <v>924</v>
      </c>
      <c r="C60" s="2" t="s">
        <v>859</v>
      </c>
    </row>
    <row r="61" spans="1:4">
      <c r="A61" s="2" t="str">
        <f t="shared" si="1"/>
        <v>001012AC</v>
      </c>
      <c r="B61" s="4" t="s">
        <v>1145</v>
      </c>
      <c r="C61" s="2" t="s">
        <v>1002</v>
      </c>
    </row>
    <row r="62" spans="1:4">
      <c r="A62" s="2" t="str">
        <f t="shared" si="1"/>
        <v>001012B0</v>
      </c>
      <c r="B62" s="4" t="s">
        <v>1162</v>
      </c>
      <c r="C62" s="5" t="s">
        <v>1161</v>
      </c>
      <c r="D62" s="48" t="s">
        <v>1001</v>
      </c>
    </row>
    <row r="63" spans="1:4">
      <c r="A63" s="2" t="str">
        <f t="shared" si="1"/>
        <v>001012B4</v>
      </c>
      <c r="B63" s="4" t="s">
        <v>1043</v>
      </c>
      <c r="C63" s="2" t="s">
        <v>1012</v>
      </c>
      <c r="D63" s="48" t="s">
        <v>1013</v>
      </c>
    </row>
    <row r="64" spans="1:4">
      <c r="A64" s="2" t="str">
        <f t="shared" si="1"/>
        <v>001012B8</v>
      </c>
      <c r="B64" s="4" t="s">
        <v>1044</v>
      </c>
      <c r="C64" s="2" t="s">
        <v>1015</v>
      </c>
      <c r="D64" s="48" t="s">
        <v>1014</v>
      </c>
    </row>
    <row r="65" spans="1:9">
      <c r="A65" s="2" t="str">
        <f t="shared" si="1"/>
        <v>001012BC</v>
      </c>
      <c r="B65" s="4" t="s">
        <v>1045</v>
      </c>
      <c r="C65" s="2" t="s">
        <v>1017</v>
      </c>
      <c r="D65" s="48" t="s">
        <v>1016</v>
      </c>
    </row>
    <row r="66" spans="1:9">
      <c r="A66" s="2" t="str">
        <f t="shared" si="1"/>
        <v>001012C0</v>
      </c>
      <c r="B66" s="4" t="s">
        <v>1146</v>
      </c>
      <c r="C66" s="2" t="s">
        <v>1035</v>
      </c>
      <c r="D66" s="48" t="s">
        <v>1005</v>
      </c>
    </row>
    <row r="67" spans="1:9">
      <c r="A67" s="2" t="str">
        <f t="shared" si="1"/>
        <v>001012C4</v>
      </c>
      <c r="B67" s="4" t="s">
        <v>1046</v>
      </c>
      <c r="C67" s="2" t="str">
        <f>SUBSTITUTE(C56,"push","pop")</f>
        <v>pop {r4, r5, r6}</v>
      </c>
    </row>
    <row r="68" spans="1:9">
      <c r="A68" s="2" t="str">
        <f t="shared" si="1"/>
        <v>001012C8</v>
      </c>
      <c r="B68" s="3" t="s">
        <v>1031</v>
      </c>
      <c r="C68" s="2" t="s">
        <v>1006</v>
      </c>
      <c r="D68" s="48" t="s">
        <v>1007</v>
      </c>
    </row>
    <row r="69" spans="1:9">
      <c r="A69" s="2" t="str">
        <f t="shared" si="1"/>
        <v>001012CC</v>
      </c>
      <c r="B69" s="4" t="s">
        <v>891</v>
      </c>
      <c r="C69" s="2" t="str">
        <f>_xlfn.CONCAT("beq 0x",A$100)</f>
        <v>beq 0x00101348</v>
      </c>
      <c r="D69" s="48" t="s">
        <v>1008</v>
      </c>
    </row>
    <row r="70" spans="1:9">
      <c r="A70" s="37" t="str">
        <f t="shared" si="1"/>
        <v>001012D0</v>
      </c>
      <c r="B70" s="37" t="s">
        <v>1084</v>
      </c>
      <c r="C70" s="37" t="s">
        <v>1082</v>
      </c>
      <c r="D70" s="59" t="s">
        <v>988</v>
      </c>
    </row>
    <row r="71" spans="1:9" ht="31.75">
      <c r="A71" s="2" t="str">
        <f t="shared" si="1"/>
        <v>001012D4</v>
      </c>
      <c r="B71" s="2" t="s">
        <v>1106</v>
      </c>
      <c r="C71" s="2" t="s">
        <v>1100</v>
      </c>
      <c r="D71" s="48" t="s">
        <v>1078</v>
      </c>
    </row>
    <row r="72" spans="1:9">
      <c r="A72" s="2" t="str">
        <f t="shared" si="1"/>
        <v>001012D8</v>
      </c>
      <c r="B72" s="4" t="s">
        <v>1085</v>
      </c>
      <c r="C72" s="2" t="s">
        <v>1079</v>
      </c>
      <c r="D72" s="48" t="s">
        <v>1080</v>
      </c>
    </row>
    <row r="73" spans="1:9">
      <c r="A73" s="2" t="str">
        <f t="shared" si="1"/>
        <v>001012DC</v>
      </c>
      <c r="B73" s="4" t="s">
        <v>1147</v>
      </c>
      <c r="C73" s="2" t="s">
        <v>846</v>
      </c>
    </row>
    <row r="74" spans="1:9">
      <c r="A74" s="2" t="str">
        <f t="shared" si="1"/>
        <v>001012E0</v>
      </c>
      <c r="B74" s="4" t="s">
        <v>1107</v>
      </c>
      <c r="C74" s="2" t="s">
        <v>1101</v>
      </c>
      <c r="D74" s="48" t="s">
        <v>1081</v>
      </c>
    </row>
    <row r="75" spans="1:9">
      <c r="A75" s="2" t="str">
        <f t="shared" si="1"/>
        <v>001012E4</v>
      </c>
      <c r="B75" s="4" t="s">
        <v>1085</v>
      </c>
      <c r="C75" s="2" t="s">
        <v>1079</v>
      </c>
    </row>
    <row r="76" spans="1:9">
      <c r="A76" s="2" t="str">
        <f t="shared" si="1"/>
        <v>001012E8</v>
      </c>
      <c r="B76" s="4" t="s">
        <v>1148</v>
      </c>
      <c r="C76" s="2" t="s">
        <v>1092</v>
      </c>
      <c r="D76" s="48" t="s">
        <v>1083</v>
      </c>
    </row>
    <row r="77" spans="1:9" ht="47.6">
      <c r="A77" s="2" t="str">
        <f t="shared" si="1"/>
        <v>001012EC</v>
      </c>
      <c r="B77" s="4" t="s">
        <v>1086</v>
      </c>
      <c r="C77" s="2" t="s">
        <v>1073</v>
      </c>
      <c r="D77" s="48" t="s">
        <v>1009</v>
      </c>
    </row>
    <row r="78" spans="1:9">
      <c r="A78" s="37" t="str">
        <f t="shared" ref="A78:A122" si="2">DEC2HEX(HEX2DEC(A77)+4,8)</f>
        <v>001012F0</v>
      </c>
      <c r="B78" s="38" t="s">
        <v>904</v>
      </c>
      <c r="C78" s="37" t="s">
        <v>937</v>
      </c>
      <c r="D78" s="59"/>
      <c r="I78" s="6"/>
    </row>
    <row r="79" spans="1:9">
      <c r="A79" s="37" t="str">
        <f t="shared" si="2"/>
        <v>001012F4</v>
      </c>
      <c r="B79" s="39" t="s">
        <v>905</v>
      </c>
      <c r="C79" s="37" t="s">
        <v>954</v>
      </c>
      <c r="D79" s="59"/>
      <c r="I79" s="6"/>
    </row>
    <row r="80" spans="1:9">
      <c r="A80" s="40" t="str">
        <f t="shared" si="2"/>
        <v>001012F8</v>
      </c>
      <c r="B80" s="41" t="s">
        <v>907</v>
      </c>
      <c r="C80" s="40" t="s">
        <v>956</v>
      </c>
      <c r="D80" s="60"/>
    </row>
    <row r="81" spans="1:7">
      <c r="A81" s="40" t="str">
        <f t="shared" si="2"/>
        <v>001012FC</v>
      </c>
      <c r="B81" s="41" t="s">
        <v>1108</v>
      </c>
      <c r="C81" s="40" t="s">
        <v>1097</v>
      </c>
      <c r="D81" s="60"/>
    </row>
    <row r="82" spans="1:7">
      <c r="A82" s="40" t="str">
        <f t="shared" si="2"/>
        <v>00101300</v>
      </c>
      <c r="B82" s="40" t="s">
        <v>1109</v>
      </c>
      <c r="C82" s="40" t="s">
        <v>1098</v>
      </c>
      <c r="D82" s="60"/>
    </row>
    <row r="83" spans="1:7">
      <c r="A83" s="40" t="str">
        <f t="shared" si="2"/>
        <v>00101304</v>
      </c>
      <c r="B83" s="41" t="s">
        <v>909</v>
      </c>
      <c r="C83" s="40" t="s">
        <v>938</v>
      </c>
      <c r="D83" s="60"/>
    </row>
    <row r="84" spans="1:7">
      <c r="A84" s="40" t="str">
        <f t="shared" si="2"/>
        <v>00101308</v>
      </c>
      <c r="B84" s="40" t="s">
        <v>844</v>
      </c>
      <c r="C84" s="42" t="s">
        <v>845</v>
      </c>
      <c r="D84" s="60" t="s">
        <v>1021</v>
      </c>
      <c r="G84" s="5"/>
    </row>
    <row r="85" spans="1:7">
      <c r="A85" s="40" t="str">
        <f t="shared" si="2"/>
        <v>0010130C</v>
      </c>
      <c r="B85" s="40" t="s">
        <v>1149</v>
      </c>
      <c r="C85" s="42" t="s">
        <v>846</v>
      </c>
      <c r="D85" s="60"/>
    </row>
    <row r="86" spans="1:7">
      <c r="A86" s="40" t="str">
        <f t="shared" si="2"/>
        <v>00101310</v>
      </c>
      <c r="B86" s="40" t="s">
        <v>1047</v>
      </c>
      <c r="C86" s="42" t="s">
        <v>1022</v>
      </c>
      <c r="D86" s="60"/>
    </row>
    <row r="87" spans="1:7">
      <c r="A87" s="40" t="str">
        <f t="shared" si="2"/>
        <v>00101314</v>
      </c>
      <c r="B87" s="40" t="s">
        <v>1150</v>
      </c>
      <c r="C87" s="42" t="str">
        <f>_xlfn.CONCAT("ldrh r2, [pc, 0x",DEC2HEX(HEX2DEC(A$122)-HEX2DEC(A87)-8,3),"]")</f>
        <v>ldrh r2, [pc, 0x084]</v>
      </c>
      <c r="D87" s="60" t="s">
        <v>1020</v>
      </c>
    </row>
    <row r="88" spans="1:7">
      <c r="A88" s="40" t="str">
        <f t="shared" si="2"/>
        <v>00101318</v>
      </c>
      <c r="B88" s="40" t="s">
        <v>1048</v>
      </c>
      <c r="C88" s="42" t="s">
        <v>1023</v>
      </c>
      <c r="D88" s="60" t="s">
        <v>1025</v>
      </c>
    </row>
    <row r="89" spans="1:7">
      <c r="A89" s="40" t="str">
        <f t="shared" si="2"/>
        <v>0010131C</v>
      </c>
      <c r="B89" s="40" t="s">
        <v>1049</v>
      </c>
      <c r="C89" s="42" t="s">
        <v>1024</v>
      </c>
      <c r="D89" s="60"/>
    </row>
    <row r="90" spans="1:7">
      <c r="A90" s="40" t="str">
        <f t="shared" si="2"/>
        <v>00101320</v>
      </c>
      <c r="B90" s="41" t="s">
        <v>1050</v>
      </c>
      <c r="C90" s="42" t="s">
        <v>1026</v>
      </c>
      <c r="D90" s="60" t="s">
        <v>1027</v>
      </c>
    </row>
    <row r="91" spans="1:7">
      <c r="A91" s="40" t="str">
        <f t="shared" si="2"/>
        <v>00101324</v>
      </c>
      <c r="B91" s="40" t="s">
        <v>911</v>
      </c>
      <c r="C91" s="40" t="s">
        <v>957</v>
      </c>
      <c r="D91" s="60"/>
    </row>
    <row r="92" spans="1:7">
      <c r="A92" s="40" t="str">
        <f t="shared" si="2"/>
        <v>00101328</v>
      </c>
      <c r="B92" s="41" t="s">
        <v>912</v>
      </c>
      <c r="C92" s="40" t="s">
        <v>939</v>
      </c>
      <c r="D92" s="60"/>
    </row>
    <row r="93" spans="1:7">
      <c r="A93" s="40" t="str">
        <f t="shared" si="2"/>
        <v>0010132C</v>
      </c>
      <c r="B93" s="40" t="s">
        <v>1151</v>
      </c>
      <c r="C93" s="40" t="s">
        <v>994</v>
      </c>
      <c r="D93" s="60" t="s">
        <v>991</v>
      </c>
    </row>
    <row r="94" spans="1:7">
      <c r="A94" s="40" t="str">
        <f t="shared" si="2"/>
        <v>00101330</v>
      </c>
      <c r="B94" s="40" t="s">
        <v>914</v>
      </c>
      <c r="C94" s="40" t="s">
        <v>958</v>
      </c>
      <c r="D94" s="60" t="s">
        <v>992</v>
      </c>
    </row>
    <row r="95" spans="1:7">
      <c r="A95" s="40" t="str">
        <f t="shared" si="2"/>
        <v>00101334</v>
      </c>
      <c r="B95" s="41" t="s">
        <v>912</v>
      </c>
      <c r="C95" s="40" t="s">
        <v>939</v>
      </c>
      <c r="D95" s="60"/>
    </row>
    <row r="96" spans="1:7">
      <c r="A96" s="40" t="str">
        <f t="shared" si="2"/>
        <v>00101338</v>
      </c>
      <c r="B96" s="40" t="s">
        <v>1152</v>
      </c>
      <c r="C96" s="40" t="s">
        <v>990</v>
      </c>
      <c r="D96" s="60" t="s">
        <v>995</v>
      </c>
    </row>
    <row r="97" spans="1:4">
      <c r="A97" s="40" t="str">
        <f t="shared" si="2"/>
        <v>0010133C</v>
      </c>
      <c r="B97" s="40" t="s">
        <v>916</v>
      </c>
      <c r="C97" s="40" t="s">
        <v>857</v>
      </c>
      <c r="D97" s="60"/>
    </row>
    <row r="98" spans="1:4">
      <c r="A98" s="40" t="str">
        <f t="shared" si="2"/>
        <v>00101340</v>
      </c>
      <c r="B98" s="40" t="s">
        <v>873</v>
      </c>
      <c r="C98" s="40" t="s">
        <v>962</v>
      </c>
      <c r="D98" s="60"/>
    </row>
    <row r="99" spans="1:4">
      <c r="A99" s="40" t="str">
        <f t="shared" si="2"/>
        <v>00101344</v>
      </c>
      <c r="B99" s="40" t="s">
        <v>1153</v>
      </c>
      <c r="C99" s="40" t="s">
        <v>993</v>
      </c>
      <c r="D99" s="60" t="s">
        <v>996</v>
      </c>
    </row>
    <row r="100" spans="1:4">
      <c r="A100" s="43" t="str">
        <f t="shared" si="2"/>
        <v>00101348</v>
      </c>
      <c r="B100" s="44" t="s">
        <v>1126</v>
      </c>
      <c r="C100" s="43" t="s">
        <v>1120</v>
      </c>
      <c r="D100" s="61" t="s">
        <v>997</v>
      </c>
    </row>
    <row r="101" spans="1:4">
      <c r="A101" s="43" t="str">
        <f t="shared" si="2"/>
        <v>0010134C</v>
      </c>
      <c r="B101" s="44" t="s">
        <v>920</v>
      </c>
      <c r="C101" s="43" t="s">
        <v>858</v>
      </c>
      <c r="D101" s="61"/>
    </row>
    <row r="102" spans="1:4">
      <c r="A102" s="43" t="str">
        <f t="shared" si="2"/>
        <v>00101350</v>
      </c>
      <c r="B102" s="44" t="s">
        <v>1127</v>
      </c>
      <c r="C102" s="43" t="str">
        <f>_xlfn.CONCAT("blo 0x",A$45)</f>
        <v>blo 0x0010126C</v>
      </c>
      <c r="D102" s="61" t="s">
        <v>998</v>
      </c>
    </row>
    <row r="103" spans="1:4">
      <c r="A103" s="45" t="str">
        <f t="shared" si="2"/>
        <v>00101354</v>
      </c>
      <c r="B103" s="46" t="s">
        <v>1159</v>
      </c>
      <c r="C103" s="45" t="str">
        <f>_xlfn.CONCAT("ldr r2, [pc, 0x",DEC2HEX(HEX2DEC(A$137)-HEX2DEC(A103)-8,3),"]")</f>
        <v>ldr r2, [pc, 0x078]</v>
      </c>
      <c r="D103" s="62" t="s">
        <v>1111</v>
      </c>
    </row>
    <row r="104" spans="1:4">
      <c r="A104" s="45" t="str">
        <f t="shared" si="2"/>
        <v>00101358</v>
      </c>
      <c r="B104" s="46" t="s">
        <v>1154</v>
      </c>
      <c r="C104" s="45" t="s">
        <v>1133</v>
      </c>
      <c r="D104" s="62"/>
    </row>
    <row r="105" spans="1:4">
      <c r="A105" s="45" t="str">
        <f t="shared" si="2"/>
        <v>0010135C</v>
      </c>
      <c r="B105" s="46" t="s">
        <v>1115</v>
      </c>
      <c r="C105" s="45" t="s">
        <v>1112</v>
      </c>
      <c r="D105" s="62" t="s">
        <v>1095</v>
      </c>
    </row>
    <row r="106" spans="1:4">
      <c r="A106" s="45" t="str">
        <f t="shared" si="2"/>
        <v>00101360</v>
      </c>
      <c r="B106" s="46" t="s">
        <v>1110</v>
      </c>
      <c r="C106" s="45" t="s">
        <v>1102</v>
      </c>
      <c r="D106" s="62" t="s">
        <v>1007</v>
      </c>
    </row>
    <row r="107" spans="1:4">
      <c r="A107" s="45" t="str">
        <f t="shared" si="2"/>
        <v>00101364</v>
      </c>
      <c r="B107" s="46" t="s">
        <v>1087</v>
      </c>
      <c r="C107" s="45" t="s">
        <v>1071</v>
      </c>
      <c r="D107" s="62" t="s">
        <v>1103</v>
      </c>
    </row>
    <row r="108" spans="1:4">
      <c r="A108" s="45" t="str">
        <f t="shared" si="2"/>
        <v>00101368</v>
      </c>
      <c r="B108" s="46" t="s">
        <v>1096</v>
      </c>
      <c r="C108" s="45" t="s">
        <v>1094</v>
      </c>
      <c r="D108" s="62" t="s">
        <v>1124</v>
      </c>
    </row>
    <row r="109" spans="1:4">
      <c r="A109" s="45" t="str">
        <f t="shared" si="2"/>
        <v>0010136C</v>
      </c>
      <c r="B109" s="46" t="s">
        <v>1166</v>
      </c>
      <c r="C109" s="45" t="str">
        <f>_xlfn.CONCAT("beq 0x",A113)</f>
        <v>beq 0x0010137C</v>
      </c>
      <c r="D109" s="62" t="s">
        <v>1160</v>
      </c>
    </row>
    <row r="110" spans="1:4" ht="31.75">
      <c r="A110" s="12" t="str">
        <f t="shared" si="2"/>
        <v>00101370</v>
      </c>
      <c r="B110" s="13" t="s">
        <v>1128</v>
      </c>
      <c r="C110" s="13" t="s">
        <v>1121</v>
      </c>
      <c r="D110" s="63" t="s">
        <v>1125</v>
      </c>
    </row>
    <row r="111" spans="1:4">
      <c r="A111" s="12" t="str">
        <f t="shared" si="2"/>
        <v>00101374</v>
      </c>
      <c r="B111" s="13" t="s">
        <v>1167</v>
      </c>
      <c r="C111" s="13" t="s">
        <v>1163</v>
      </c>
      <c r="D111" s="63"/>
    </row>
    <row r="112" spans="1:4">
      <c r="A112" s="12" t="str">
        <f t="shared" si="2"/>
        <v>00101378</v>
      </c>
      <c r="B112" s="13" t="s">
        <v>1129</v>
      </c>
      <c r="C112" s="13" t="s">
        <v>1122</v>
      </c>
      <c r="D112" s="63" t="s">
        <v>1123</v>
      </c>
    </row>
    <row r="113" spans="1:4">
      <c r="A113" s="46" t="str">
        <f t="shared" si="2"/>
        <v>0010137C</v>
      </c>
      <c r="B113" s="46" t="s">
        <v>1155</v>
      </c>
      <c r="C113" s="45" t="s">
        <v>1134</v>
      </c>
      <c r="D113" s="62" t="s">
        <v>1130</v>
      </c>
    </row>
    <row r="114" spans="1:4">
      <c r="A114" s="46" t="str">
        <f t="shared" si="2"/>
        <v>00101380</v>
      </c>
      <c r="B114" s="46" t="s">
        <v>1168</v>
      </c>
      <c r="C114" s="45" t="str">
        <f>_xlfn.CONCAT("beq 0x",A$48)</f>
        <v>beq 0x00101278</v>
      </c>
      <c r="D114" s="62" t="s">
        <v>1072</v>
      </c>
    </row>
    <row r="115" spans="1:4">
      <c r="A115" s="2" t="str">
        <f t="shared" si="2"/>
        <v>00101384</v>
      </c>
      <c r="B115" s="3" t="s">
        <v>922</v>
      </c>
      <c r="C115" s="3" t="s">
        <v>1119</v>
      </c>
    </row>
    <row r="116" spans="1:4">
      <c r="A116" s="2" t="str">
        <f t="shared" si="2"/>
        <v>00101388</v>
      </c>
      <c r="B116" s="3" t="s">
        <v>923</v>
      </c>
      <c r="C116" s="3" t="str">
        <f>SUBSTITUTE(SUBSTITUTE(C13,"push","pop"),"lr","pc")</f>
        <v>pop {r4, r5, r6, r7, r8, r9, r10, r11, pc}</v>
      </c>
    </row>
    <row r="117" spans="1:4">
      <c r="A117" s="10" t="str">
        <f t="shared" si="2"/>
        <v>0010138C</v>
      </c>
      <c r="B117" s="10" t="s">
        <v>924</v>
      </c>
      <c r="C117" s="10" t="s">
        <v>859</v>
      </c>
      <c r="D117" s="52" t="s">
        <v>968</v>
      </c>
    </row>
    <row r="118" spans="1:4">
      <c r="A118" s="10" t="str">
        <f t="shared" si="2"/>
        <v>00101390</v>
      </c>
      <c r="B118" s="10" t="s">
        <v>873</v>
      </c>
      <c r="C118" s="10" t="s">
        <v>962</v>
      </c>
      <c r="D118" s="52"/>
    </row>
    <row r="119" spans="1:4">
      <c r="A119" s="10" t="str">
        <f t="shared" si="2"/>
        <v>00101394</v>
      </c>
      <c r="B119" s="10" t="s">
        <v>1169</v>
      </c>
      <c r="C119" s="10" t="s">
        <v>963</v>
      </c>
      <c r="D119" s="52"/>
    </row>
    <row r="120" spans="1:4">
      <c r="A120" s="10" t="str">
        <f t="shared" si="2"/>
        <v>00101398</v>
      </c>
      <c r="B120" s="10" t="s">
        <v>926</v>
      </c>
      <c r="C120" s="10" t="s">
        <v>943</v>
      </c>
      <c r="D120" s="52"/>
    </row>
    <row r="121" spans="1:4">
      <c r="A121" s="10" t="str">
        <f t="shared" si="2"/>
        <v>0010139C</v>
      </c>
      <c r="B121" s="10" t="s">
        <v>1156</v>
      </c>
      <c r="C121" s="10" t="str">
        <f>_xlfn.CONCAT("b 0x",A$37)</f>
        <v>b 0x0010124C</v>
      </c>
      <c r="D121" s="52"/>
    </row>
    <row r="122" spans="1:4">
      <c r="A122" s="2" t="str">
        <f t="shared" si="2"/>
        <v>001013A0</v>
      </c>
      <c r="B122" s="2" t="s">
        <v>1019</v>
      </c>
    </row>
    <row r="124" spans="1:4">
      <c r="A124" s="14" t="s">
        <v>1090</v>
      </c>
      <c r="B124" s="4"/>
    </row>
    <row r="125" spans="1:4">
      <c r="A125" s="2" t="str">
        <f>DEC2HEX(HEX2DEC(A122)+4,8)</f>
        <v>001013A4</v>
      </c>
      <c r="B125" s="2" t="s">
        <v>1061</v>
      </c>
      <c r="C125" s="2" t="s">
        <v>1056</v>
      </c>
    </row>
    <row r="126" spans="1:4">
      <c r="A126" s="2" t="str">
        <f t="shared" ref="A126:A137" si="3">DEC2HEX(HEX2DEC(A125)+4,8)</f>
        <v>001013A8</v>
      </c>
      <c r="B126" s="2" t="s">
        <v>840</v>
      </c>
      <c r="C126" s="2" t="s">
        <v>838</v>
      </c>
    </row>
    <row r="127" spans="1:4">
      <c r="A127" s="15" t="str">
        <f t="shared" si="3"/>
        <v>001013AC</v>
      </c>
      <c r="B127" s="15" t="s">
        <v>841</v>
      </c>
      <c r="C127" s="15" t="s">
        <v>839</v>
      </c>
      <c r="D127" s="49" t="s">
        <v>1030</v>
      </c>
    </row>
    <row r="128" spans="1:4">
      <c r="A128" s="15" t="str">
        <f t="shared" si="3"/>
        <v>001013B0</v>
      </c>
      <c r="B128" s="15" t="s">
        <v>1116</v>
      </c>
      <c r="C128" s="15" t="s">
        <v>1089</v>
      </c>
      <c r="D128" s="49"/>
    </row>
    <row r="129" spans="1:4">
      <c r="A129" s="15" t="str">
        <f t="shared" si="3"/>
        <v>001013B4</v>
      </c>
      <c r="B129" s="16" t="s">
        <v>843</v>
      </c>
      <c r="C129" s="15" t="s">
        <v>842</v>
      </c>
      <c r="D129" s="49"/>
    </row>
    <row r="130" spans="1:4">
      <c r="A130" s="15" t="str">
        <f t="shared" si="3"/>
        <v>001013B8</v>
      </c>
      <c r="B130" s="15" t="s">
        <v>1157</v>
      </c>
      <c r="C130" s="15" t="str">
        <f>_xlfn.CONCAT("bne 0x",A136)</f>
        <v>bne 0x001013D0</v>
      </c>
      <c r="D130" s="49"/>
    </row>
    <row r="131" spans="1:4">
      <c r="A131" s="9" t="str">
        <f t="shared" si="3"/>
        <v>001013BC</v>
      </c>
      <c r="B131" s="9" t="s">
        <v>869</v>
      </c>
      <c r="C131" s="9" t="s">
        <v>945</v>
      </c>
      <c r="D131" s="50"/>
    </row>
    <row r="132" spans="1:4">
      <c r="A132" s="9" t="str">
        <f t="shared" si="3"/>
        <v>001013C0</v>
      </c>
      <c r="B132" s="9" t="s">
        <v>1117</v>
      </c>
      <c r="C132" s="9" t="s">
        <v>846</v>
      </c>
      <c r="D132" s="50"/>
    </row>
    <row r="133" spans="1:4">
      <c r="A133" s="9" t="str">
        <f t="shared" si="3"/>
        <v>001013C4</v>
      </c>
      <c r="B133" s="9" t="s">
        <v>1062</v>
      </c>
      <c r="C133" s="9" t="s">
        <v>1055</v>
      </c>
      <c r="D133" s="50"/>
    </row>
    <row r="134" spans="1:4">
      <c r="A134" s="2" t="str">
        <f t="shared" si="3"/>
        <v>001013C8</v>
      </c>
      <c r="B134" s="2" t="s">
        <v>1158</v>
      </c>
      <c r="C134" s="2" t="str">
        <f>_xlfn.CONCAT("ldr r1, [pc, 0x",DEC2HEX(HEX2DEC(A$137)-HEX2DEC(A134)-8,3),"]")</f>
        <v>ldr r1, [pc, 0x004]</v>
      </c>
      <c r="D134" s="48" t="s">
        <v>1057</v>
      </c>
    </row>
    <row r="135" spans="1:4">
      <c r="A135" s="2" t="str">
        <f t="shared" si="3"/>
        <v>001013CC</v>
      </c>
      <c r="B135" s="2" t="s">
        <v>1063</v>
      </c>
      <c r="C135" s="2" t="s">
        <v>1059</v>
      </c>
      <c r="D135" s="48" t="s">
        <v>1067</v>
      </c>
    </row>
    <row r="136" spans="1:4">
      <c r="A136" s="2" t="str">
        <f t="shared" si="3"/>
        <v>001013D0</v>
      </c>
      <c r="B136" s="2" t="s">
        <v>1064</v>
      </c>
      <c r="C136" s="2" t="str">
        <f>SUBSTITUTE(SUBSTITUTE(C125,"push","pop"),"lr","pc")</f>
        <v>pop {r4, pc}</v>
      </c>
    </row>
    <row r="137" spans="1:4">
      <c r="A137" s="2" t="str">
        <f t="shared" si="3"/>
        <v>001013D4</v>
      </c>
      <c r="B137" s="3" t="s">
        <v>830</v>
      </c>
      <c r="D137" s="48" t="s">
        <v>1058</v>
      </c>
    </row>
    <row r="139" spans="1:4">
      <c r="A139" s="14" t="s">
        <v>1170</v>
      </c>
      <c r="B139" s="4"/>
    </row>
    <row r="140" spans="1:4">
      <c r="A140" s="2" t="s">
        <v>1178</v>
      </c>
      <c r="B140" s="2" t="s">
        <v>1179</v>
      </c>
      <c r="C140" s="2" t="s">
        <v>1171</v>
      </c>
    </row>
    <row r="141" spans="1:4">
      <c r="A141" s="2" t="str">
        <f t="shared" ref="A141:A163" si="4">DEC2HEX(HEX2DEC(A140)+4,8)</f>
        <v>001025DC</v>
      </c>
      <c r="B141" s="2" t="s">
        <v>840</v>
      </c>
      <c r="C141" s="2" t="s">
        <v>838</v>
      </c>
    </row>
    <row r="142" spans="1:4">
      <c r="A142" s="2" t="str">
        <f t="shared" si="4"/>
        <v>001025E0</v>
      </c>
      <c r="B142" s="2" t="s">
        <v>1037</v>
      </c>
      <c r="C142" s="2" t="s">
        <v>1033</v>
      </c>
    </row>
    <row r="143" spans="1:4">
      <c r="A143" s="2" t="str">
        <f t="shared" si="4"/>
        <v>001025E4</v>
      </c>
      <c r="B143" s="2" t="s">
        <v>1180</v>
      </c>
      <c r="C143" s="2" t="s">
        <v>1172</v>
      </c>
    </row>
    <row r="144" spans="1:4">
      <c r="A144" s="15" t="str">
        <f t="shared" si="4"/>
        <v>001025E8</v>
      </c>
      <c r="B144" s="15" t="s">
        <v>841</v>
      </c>
      <c r="C144" s="15" t="s">
        <v>839</v>
      </c>
      <c r="D144" s="49" t="s">
        <v>1030</v>
      </c>
    </row>
    <row r="145" spans="1:4">
      <c r="A145" s="15" t="str">
        <f t="shared" si="4"/>
        <v>001025EC</v>
      </c>
      <c r="B145" s="15" t="s">
        <v>1181</v>
      </c>
      <c r="C145" s="15" t="s">
        <v>846</v>
      </c>
      <c r="D145" s="49"/>
    </row>
    <row r="146" spans="1:4">
      <c r="A146" s="15" t="str">
        <f t="shared" si="4"/>
        <v>001025F0</v>
      </c>
      <c r="B146" s="16" t="s">
        <v>843</v>
      </c>
      <c r="C146" s="15" t="s">
        <v>842</v>
      </c>
      <c r="D146" s="49"/>
    </row>
    <row r="147" spans="1:4">
      <c r="A147" s="15" t="str">
        <f t="shared" si="4"/>
        <v>001025F4</v>
      </c>
      <c r="B147" s="15" t="s">
        <v>1182</v>
      </c>
      <c r="C147" s="15" t="str">
        <f>_xlfn.CONCAT("bne 0x",A163)</f>
        <v>bne 0x00102634</v>
      </c>
      <c r="D147" s="49"/>
    </row>
    <row r="148" spans="1:4">
      <c r="A148" s="9" t="str">
        <f t="shared" si="4"/>
        <v>001025F8</v>
      </c>
      <c r="B148" s="9" t="s">
        <v>869</v>
      </c>
      <c r="C148" s="9" t="s">
        <v>945</v>
      </c>
      <c r="D148" s="50"/>
    </row>
    <row r="149" spans="1:4">
      <c r="A149" s="9" t="str">
        <f t="shared" si="4"/>
        <v>001025FC</v>
      </c>
      <c r="B149" s="9" t="s">
        <v>1183</v>
      </c>
      <c r="C149" s="9" t="s">
        <v>846</v>
      </c>
      <c r="D149" s="50"/>
    </row>
    <row r="150" spans="1:4">
      <c r="A150" s="7" t="str">
        <f t="shared" si="4"/>
        <v>00102600</v>
      </c>
      <c r="B150" s="7" t="s">
        <v>1184</v>
      </c>
      <c r="C150" s="7" t="s">
        <v>1176</v>
      </c>
      <c r="D150" s="51" t="s">
        <v>1093</v>
      </c>
    </row>
    <row r="151" spans="1:4">
      <c r="A151" s="7" t="str">
        <f t="shared" si="4"/>
        <v>00102604</v>
      </c>
      <c r="B151" s="7" t="s">
        <v>1038</v>
      </c>
      <c r="C151" s="7" t="s">
        <v>1034</v>
      </c>
      <c r="D151" s="51"/>
    </row>
    <row r="152" spans="1:4">
      <c r="A152" s="7" t="str">
        <f t="shared" si="4"/>
        <v>00102608</v>
      </c>
      <c r="B152" s="7" t="s">
        <v>1185</v>
      </c>
      <c r="C152" s="7" t="s">
        <v>967</v>
      </c>
      <c r="D152" s="51"/>
    </row>
    <row r="153" spans="1:4">
      <c r="A153" s="10" t="str">
        <f t="shared" si="4"/>
        <v>0010260C</v>
      </c>
      <c r="B153" s="11" t="s">
        <v>1031</v>
      </c>
      <c r="C153" s="10" t="s">
        <v>1006</v>
      </c>
      <c r="D153" s="52" t="s">
        <v>1077</v>
      </c>
    </row>
    <row r="154" spans="1:4">
      <c r="A154" s="10" t="str">
        <f t="shared" si="4"/>
        <v>00102610</v>
      </c>
      <c r="B154" s="11" t="s">
        <v>1186</v>
      </c>
      <c r="C154" s="10" t="str">
        <f>_xlfn.CONCAT("beq 0x",A163)</f>
        <v>beq 0x00102634</v>
      </c>
      <c r="D154" s="52"/>
    </row>
    <row r="155" spans="1:4">
      <c r="A155" s="43" t="str">
        <f t="shared" si="4"/>
        <v>00102614</v>
      </c>
      <c r="B155" s="44" t="s">
        <v>1088</v>
      </c>
      <c r="C155" s="43" t="s">
        <v>1075</v>
      </c>
      <c r="D155" s="61" t="s">
        <v>1173</v>
      </c>
    </row>
    <row r="156" spans="1:4">
      <c r="A156" s="43" t="str">
        <f t="shared" si="4"/>
        <v>00102618</v>
      </c>
      <c r="B156" s="44" t="s">
        <v>1187</v>
      </c>
      <c r="C156" s="43" t="s">
        <v>846</v>
      </c>
      <c r="D156" s="61"/>
    </row>
    <row r="157" spans="1:4">
      <c r="A157" s="12" t="str">
        <f t="shared" si="4"/>
        <v>0010261C</v>
      </c>
      <c r="B157" s="12" t="s">
        <v>1188</v>
      </c>
      <c r="C157" s="12" t="s">
        <v>1174</v>
      </c>
      <c r="D157" s="53" t="s">
        <v>1175</v>
      </c>
    </row>
    <row r="158" spans="1:4">
      <c r="A158" s="12" t="str">
        <f t="shared" si="4"/>
        <v>00102620</v>
      </c>
      <c r="B158" s="12" t="s">
        <v>1088</v>
      </c>
      <c r="C158" s="12" t="s">
        <v>1075</v>
      </c>
      <c r="D158" s="53"/>
    </row>
    <row r="159" spans="1:4">
      <c r="A159" s="12" t="str">
        <f t="shared" si="4"/>
        <v>00102624</v>
      </c>
      <c r="B159" s="12" t="s">
        <v>885</v>
      </c>
      <c r="C159" s="12" t="s">
        <v>949</v>
      </c>
      <c r="D159" s="53"/>
    </row>
    <row r="160" spans="1:4">
      <c r="A160" s="12" t="str">
        <f t="shared" si="4"/>
        <v>00102628</v>
      </c>
      <c r="B160" s="13" t="s">
        <v>1189</v>
      </c>
      <c r="C160" s="12" t="s">
        <v>1177</v>
      </c>
      <c r="D160" s="53"/>
    </row>
    <row r="161" spans="1:4">
      <c r="A161" s="12" t="str">
        <f t="shared" si="4"/>
        <v>0010262C</v>
      </c>
      <c r="B161" s="12" t="s">
        <v>1190</v>
      </c>
      <c r="C161" s="12" t="str">
        <f>SUBSTITUTE(C140,"push","pop")</f>
        <v>pop {r4, r5, r6, lr}</v>
      </c>
      <c r="D161" s="53"/>
    </row>
    <row r="162" spans="1:4">
      <c r="A162" s="12" t="str">
        <f t="shared" si="4"/>
        <v>00102630</v>
      </c>
      <c r="B162" s="12" t="s">
        <v>1191</v>
      </c>
      <c r="C162" s="12" t="s">
        <v>1076</v>
      </c>
      <c r="D162" s="53"/>
    </row>
    <row r="163" spans="1:4">
      <c r="A163" s="2" t="str">
        <f t="shared" si="4"/>
        <v>00102634</v>
      </c>
      <c r="B163" s="2" t="s">
        <v>1192</v>
      </c>
      <c r="C163" s="2" t="str">
        <f>SUBSTITUTE(C161,"lr","pc")</f>
        <v>pop {r4, r5, r6, pc}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CF22-1FE0-45EA-BAF8-CD7E23E96E79}">
  <dimension ref="A1:D79"/>
  <sheetViews>
    <sheetView topLeftCell="A72" workbookViewId="0">
      <selection activeCell="D33" sqref="D33"/>
    </sheetView>
  </sheetViews>
  <sheetFormatPr defaultRowHeight="14.15"/>
  <cols>
    <col min="2" max="2" width="10.0703125" bestFit="1" customWidth="1"/>
    <col min="3" max="3" width="51.2109375" bestFit="1" customWidth="1"/>
    <col min="4" max="4" width="40.640625" bestFit="1" customWidth="1"/>
  </cols>
  <sheetData>
    <row r="1" spans="1:4" ht="15.9">
      <c r="A1" s="14" t="s">
        <v>964</v>
      </c>
      <c r="B1" s="4"/>
      <c r="C1" s="2"/>
      <c r="D1" s="2"/>
    </row>
    <row r="2" spans="1:4" ht="15.9">
      <c r="A2" s="3" t="s">
        <v>929</v>
      </c>
      <c r="B2" s="2" t="s">
        <v>862</v>
      </c>
      <c r="C2" s="2" t="s">
        <v>930</v>
      </c>
      <c r="D2" s="2"/>
    </row>
    <row r="3" spans="1:4" ht="15.9">
      <c r="A3" s="2" t="str">
        <f t="shared" ref="A3:A66" si="0">DEC2HEX(HEX2DEC(A2)+4,8)</f>
        <v>000CB86C</v>
      </c>
      <c r="B3" s="2" t="s">
        <v>863</v>
      </c>
      <c r="C3" s="2" t="s">
        <v>931</v>
      </c>
      <c r="D3" s="2"/>
    </row>
    <row r="4" spans="1:4" ht="15.9">
      <c r="A4" s="2" t="str">
        <f t="shared" si="0"/>
        <v>000CB870</v>
      </c>
      <c r="B4" s="2" t="s">
        <v>864</v>
      </c>
      <c r="C4" s="2" t="s">
        <v>849</v>
      </c>
      <c r="D4" s="2"/>
    </row>
    <row r="5" spans="1:4" ht="15.9">
      <c r="A5" s="2" t="str">
        <f t="shared" si="0"/>
        <v>000CB874</v>
      </c>
      <c r="B5" s="2" t="s">
        <v>865</v>
      </c>
      <c r="C5" s="2" t="s">
        <v>961</v>
      </c>
      <c r="D5" s="2"/>
    </row>
    <row r="6" spans="1:4" ht="15.9">
      <c r="A6" s="15" t="str">
        <f t="shared" si="0"/>
        <v>000CB878</v>
      </c>
      <c r="B6" s="15" t="s">
        <v>841</v>
      </c>
      <c r="C6" s="15" t="s">
        <v>839</v>
      </c>
      <c r="D6" s="15" t="s">
        <v>847</v>
      </c>
    </row>
    <row r="7" spans="1:4" ht="15.9">
      <c r="A7" s="15" t="str">
        <f t="shared" si="0"/>
        <v>000CB87C</v>
      </c>
      <c r="B7" s="15" t="s">
        <v>866</v>
      </c>
      <c r="C7" s="15" t="s">
        <v>846</v>
      </c>
      <c r="D7" s="15"/>
    </row>
    <row r="8" spans="1:4" ht="15.9">
      <c r="A8" s="15" t="str">
        <f t="shared" si="0"/>
        <v>000CB880</v>
      </c>
      <c r="B8" s="16" t="s">
        <v>867</v>
      </c>
      <c r="C8" s="15" t="s">
        <v>850</v>
      </c>
      <c r="D8" s="15"/>
    </row>
    <row r="9" spans="1:4" ht="15.9">
      <c r="A9" s="15" t="str">
        <f t="shared" si="0"/>
        <v>000CB884</v>
      </c>
      <c r="B9" s="15" t="s">
        <v>868</v>
      </c>
      <c r="C9" s="15" t="str">
        <f>_xlfn.CONCAT("bne 0x",A$81)</f>
        <v>bne 0x</v>
      </c>
      <c r="D9" s="15"/>
    </row>
    <row r="10" spans="1:4" ht="15.9">
      <c r="A10" s="9" t="str">
        <f t="shared" si="0"/>
        <v>000CB888</v>
      </c>
      <c r="B10" s="9" t="s">
        <v>869</v>
      </c>
      <c r="C10" s="9" t="s">
        <v>945</v>
      </c>
      <c r="D10" s="9" t="s">
        <v>965</v>
      </c>
    </row>
    <row r="11" spans="1:4" ht="15.9">
      <c r="A11" s="9" t="str">
        <f t="shared" si="0"/>
        <v>000CB88C</v>
      </c>
      <c r="B11" s="9" t="s">
        <v>870</v>
      </c>
      <c r="C11" s="9" t="s">
        <v>846</v>
      </c>
      <c r="D11" s="9"/>
    </row>
    <row r="12" spans="1:4" ht="15.9">
      <c r="A12" s="9" t="str">
        <f t="shared" si="0"/>
        <v>000CB890</v>
      </c>
      <c r="B12" s="9" t="s">
        <v>871</v>
      </c>
      <c r="C12" s="9" t="s">
        <v>960</v>
      </c>
      <c r="D12" s="9"/>
    </row>
    <row r="13" spans="1:4" ht="15.9">
      <c r="A13" s="9" t="str">
        <f t="shared" si="0"/>
        <v>000CB894</v>
      </c>
      <c r="B13" s="9" t="s">
        <v>872</v>
      </c>
      <c r="C13" s="9" t="s">
        <v>851</v>
      </c>
      <c r="D13" s="9"/>
    </row>
    <row r="14" spans="1:4" ht="15.9">
      <c r="A14" s="7" t="str">
        <f t="shared" si="0"/>
        <v>000CB898</v>
      </c>
      <c r="B14" s="7" t="s">
        <v>873</v>
      </c>
      <c r="C14" s="7" t="s">
        <v>962</v>
      </c>
      <c r="D14" s="7" t="s">
        <v>966</v>
      </c>
    </row>
    <row r="15" spans="1:4" ht="15.9">
      <c r="A15" s="7" t="str">
        <f t="shared" si="0"/>
        <v>000CB89C</v>
      </c>
      <c r="B15" s="7" t="s">
        <v>874</v>
      </c>
      <c r="C15" s="7" t="s">
        <v>963</v>
      </c>
      <c r="D15" s="7"/>
    </row>
    <row r="16" spans="1:4" ht="15.9">
      <c r="A16" s="7" t="str">
        <f t="shared" si="0"/>
        <v>000CB8A0</v>
      </c>
      <c r="B16" s="8" t="s">
        <v>875</v>
      </c>
      <c r="C16" s="7" t="s">
        <v>946</v>
      </c>
      <c r="D16" s="7"/>
    </row>
    <row r="17" spans="1:4" ht="15.9">
      <c r="A17" s="7" t="str">
        <f t="shared" si="0"/>
        <v>000CB8A4</v>
      </c>
      <c r="B17" s="7" t="s">
        <v>876</v>
      </c>
      <c r="C17" s="7" t="str">
        <f>_xlfn.CONCAT("beq 0x",A$81)</f>
        <v>beq 0x</v>
      </c>
      <c r="D17" s="7"/>
    </row>
    <row r="18" spans="1:4" ht="15.9">
      <c r="A18" s="10" t="str">
        <f t="shared" si="0"/>
        <v>000CB8A8</v>
      </c>
      <c r="B18" s="10" t="s">
        <v>873</v>
      </c>
      <c r="C18" s="10" t="s">
        <v>962</v>
      </c>
      <c r="D18" s="10" t="s">
        <v>968</v>
      </c>
    </row>
    <row r="19" spans="1:4" ht="15.9">
      <c r="A19" s="10" t="str">
        <f t="shared" si="0"/>
        <v>000CB8AC</v>
      </c>
      <c r="B19" s="10" t="s">
        <v>877</v>
      </c>
      <c r="C19" s="10" t="s">
        <v>967</v>
      </c>
      <c r="D19" s="10"/>
    </row>
    <row r="20" spans="1:4" ht="15.9">
      <c r="A20" s="10" t="str">
        <f t="shared" si="0"/>
        <v>000CB8B0</v>
      </c>
      <c r="B20" s="11" t="s">
        <v>878</v>
      </c>
      <c r="C20" s="10" t="s">
        <v>947</v>
      </c>
      <c r="D20" s="10"/>
    </row>
    <row r="21" spans="1:4" ht="15.9">
      <c r="A21" s="10" t="str">
        <f t="shared" si="0"/>
        <v>000CB8B4</v>
      </c>
      <c r="B21" s="10" t="s">
        <v>879</v>
      </c>
      <c r="C21" s="10" t="str">
        <f>_xlfn.CONCAT("beq 0x",A$83)</f>
        <v>beq 0x</v>
      </c>
      <c r="D21" s="10"/>
    </row>
    <row r="22" spans="1:4" ht="15.9">
      <c r="A22" s="12" t="str">
        <f t="shared" si="0"/>
        <v>000CB8B8</v>
      </c>
      <c r="B22" s="12" t="s">
        <v>872</v>
      </c>
      <c r="C22" s="12" t="s">
        <v>851</v>
      </c>
      <c r="D22" s="12" t="s">
        <v>969</v>
      </c>
    </row>
    <row r="23" spans="1:4" ht="15.9">
      <c r="A23" s="12" t="str">
        <f t="shared" si="0"/>
        <v>000CB8BC</v>
      </c>
      <c r="B23" s="12" t="s">
        <v>873</v>
      </c>
      <c r="C23" s="12" t="s">
        <v>962</v>
      </c>
      <c r="D23" s="12"/>
    </row>
    <row r="24" spans="1:4" ht="15.9">
      <c r="A24" s="12" t="str">
        <f t="shared" si="0"/>
        <v>000CB8C0</v>
      </c>
      <c r="B24" s="12" t="s">
        <v>880</v>
      </c>
      <c r="C24" s="12" t="s">
        <v>963</v>
      </c>
      <c r="D24" s="12"/>
    </row>
    <row r="25" spans="1:4" ht="15.9">
      <c r="A25" s="12" t="str">
        <f t="shared" si="0"/>
        <v>000CB8C4</v>
      </c>
      <c r="B25" s="12" t="s">
        <v>881</v>
      </c>
      <c r="C25" s="12" t="s">
        <v>932</v>
      </c>
      <c r="D25" s="12"/>
    </row>
    <row r="26" spans="1:4" ht="15.9">
      <c r="A26" s="12" t="str">
        <f t="shared" si="0"/>
        <v>000CB8C8</v>
      </c>
      <c r="B26" s="13" t="s">
        <v>882</v>
      </c>
      <c r="C26" s="12" t="s">
        <v>852</v>
      </c>
      <c r="D26" s="12"/>
    </row>
    <row r="27" spans="1:4" ht="15.9">
      <c r="A27" s="12" t="str">
        <f t="shared" si="0"/>
        <v>000CB8CC</v>
      </c>
      <c r="B27" s="17" t="s">
        <v>873</v>
      </c>
      <c r="C27" s="18" t="s">
        <v>962</v>
      </c>
      <c r="D27" s="12"/>
    </row>
    <row r="28" spans="1:4" ht="15.9">
      <c r="A28" s="12" t="str">
        <f t="shared" si="0"/>
        <v>000CB8D0</v>
      </c>
      <c r="B28" s="17" t="s">
        <v>883</v>
      </c>
      <c r="C28" s="18" t="s">
        <v>933</v>
      </c>
      <c r="D28" s="12"/>
    </row>
    <row r="29" spans="1:4" ht="15.9">
      <c r="A29" s="12" t="str">
        <f t="shared" si="0"/>
        <v>000CB8D4</v>
      </c>
      <c r="B29" s="17" t="s">
        <v>884</v>
      </c>
      <c r="C29" s="18" t="s">
        <v>948</v>
      </c>
      <c r="D29" s="12"/>
    </row>
    <row r="30" spans="1:4" ht="15.9">
      <c r="A30" s="19" t="str">
        <f t="shared" si="0"/>
        <v>000CB8D8</v>
      </c>
      <c r="B30" s="20" t="s">
        <v>885</v>
      </c>
      <c r="C30" s="21" t="s">
        <v>949</v>
      </c>
      <c r="D30" s="19" t="s">
        <v>975</v>
      </c>
    </row>
    <row r="31" spans="1:4" ht="15.9">
      <c r="A31" s="2" t="str">
        <f t="shared" si="0"/>
        <v>000CB8DC</v>
      </c>
      <c r="B31" s="4" t="s">
        <v>886</v>
      </c>
      <c r="C31" s="5" t="s">
        <v>970</v>
      </c>
      <c r="D31" s="2"/>
    </row>
    <row r="32" spans="1:4" ht="15.9">
      <c r="A32" s="2" t="str">
        <f t="shared" si="0"/>
        <v>000CB8E0</v>
      </c>
      <c r="B32" s="4" t="s">
        <v>887</v>
      </c>
      <c r="C32" s="5" t="s">
        <v>973</v>
      </c>
      <c r="D32" s="2"/>
    </row>
    <row r="33" spans="1:4" ht="15.9">
      <c r="A33" s="12" t="str">
        <f t="shared" si="0"/>
        <v>000CB8E4</v>
      </c>
      <c r="B33" s="17" t="s">
        <v>888</v>
      </c>
      <c r="C33" s="18" t="str">
        <f>_xlfn.CONCAT("bls 0x",A$81)</f>
        <v>bls 0x</v>
      </c>
      <c r="D33" s="12" t="s">
        <v>976</v>
      </c>
    </row>
    <row r="34" spans="1:4" ht="15.9">
      <c r="A34" s="22" t="str">
        <f t="shared" si="0"/>
        <v>000CB8E8</v>
      </c>
      <c r="B34" s="23" t="s">
        <v>889</v>
      </c>
      <c r="C34" s="24" t="s">
        <v>971</v>
      </c>
      <c r="D34" s="22" t="s">
        <v>977</v>
      </c>
    </row>
    <row r="35" spans="1:4" ht="15.9">
      <c r="A35" s="22" t="str">
        <f t="shared" si="0"/>
        <v>000CB8EC</v>
      </c>
      <c r="B35" s="23" t="s">
        <v>890</v>
      </c>
      <c r="C35" s="24" t="s">
        <v>853</v>
      </c>
      <c r="D35" s="22" t="s">
        <v>978</v>
      </c>
    </row>
    <row r="36" spans="1:4" ht="15.9">
      <c r="A36" s="22" t="str">
        <f t="shared" si="0"/>
        <v>000CB8F0</v>
      </c>
      <c r="B36" s="23" t="s">
        <v>891</v>
      </c>
      <c r="C36" s="24" t="str">
        <f>_xlfn.CONCAT("beq 0x",A67)</f>
        <v>beq 0x000CB96C</v>
      </c>
      <c r="D36" s="22" t="s">
        <v>979</v>
      </c>
    </row>
    <row r="37" spans="1:4" ht="15.9">
      <c r="A37" s="25" t="str">
        <f t="shared" si="0"/>
        <v>000CB8F4</v>
      </c>
      <c r="B37" s="26" t="s">
        <v>873</v>
      </c>
      <c r="C37" s="27" t="s">
        <v>962</v>
      </c>
      <c r="D37" s="25" t="s">
        <v>980</v>
      </c>
    </row>
    <row r="38" spans="1:4" ht="15.9">
      <c r="A38" s="25" t="str">
        <f t="shared" si="0"/>
        <v>000CB8F8</v>
      </c>
      <c r="B38" s="26" t="s">
        <v>892</v>
      </c>
      <c r="C38" s="27" t="s">
        <v>934</v>
      </c>
      <c r="D38" s="25"/>
    </row>
    <row r="39" spans="1:4" ht="15.9">
      <c r="A39" s="25" t="str">
        <f t="shared" si="0"/>
        <v>000CB8FC</v>
      </c>
      <c r="B39" s="26" t="s">
        <v>893</v>
      </c>
      <c r="C39" s="25" t="s">
        <v>950</v>
      </c>
      <c r="D39" s="25"/>
    </row>
    <row r="40" spans="1:4" ht="15.9">
      <c r="A40" s="28" t="str">
        <f t="shared" si="0"/>
        <v>000CB900</v>
      </c>
      <c r="B40" s="29" t="s">
        <v>894</v>
      </c>
      <c r="C40" s="30" t="s">
        <v>854</v>
      </c>
      <c r="D40" s="28" t="s">
        <v>981</v>
      </c>
    </row>
    <row r="41" spans="1:4" ht="15.9">
      <c r="A41" s="28" t="str">
        <f t="shared" si="0"/>
        <v>000CB904</v>
      </c>
      <c r="B41" s="29" t="s">
        <v>895</v>
      </c>
      <c r="C41" s="30" t="s">
        <v>951</v>
      </c>
      <c r="D41" s="28"/>
    </row>
    <row r="42" spans="1:4" ht="15.9">
      <c r="A42" s="28" t="str">
        <f t="shared" si="0"/>
        <v>000CB908</v>
      </c>
      <c r="B42" s="29" t="s">
        <v>873</v>
      </c>
      <c r="C42" s="30" t="s">
        <v>962</v>
      </c>
      <c r="D42" s="28"/>
    </row>
    <row r="43" spans="1:4" ht="15.9">
      <c r="A43" s="28" t="str">
        <f t="shared" si="0"/>
        <v>000CB90C</v>
      </c>
      <c r="B43" s="29" t="s">
        <v>896</v>
      </c>
      <c r="C43" s="30" t="s">
        <v>935</v>
      </c>
      <c r="D43" s="28"/>
    </row>
    <row r="44" spans="1:4" ht="15.9">
      <c r="A44" s="31" t="str">
        <f t="shared" si="0"/>
        <v>000CB910</v>
      </c>
      <c r="B44" s="32" t="s">
        <v>897</v>
      </c>
      <c r="C44" s="33" t="s">
        <v>855</v>
      </c>
      <c r="D44" s="31" t="s">
        <v>982</v>
      </c>
    </row>
    <row r="45" spans="1:4" ht="15.9">
      <c r="A45" s="31" t="str">
        <f t="shared" si="0"/>
        <v>000CB914</v>
      </c>
      <c r="B45" s="32" t="s">
        <v>898</v>
      </c>
      <c r="C45" s="33" t="s">
        <v>972</v>
      </c>
      <c r="D45" s="31" t="s">
        <v>983</v>
      </c>
    </row>
    <row r="46" spans="1:4" ht="15.9">
      <c r="A46" s="31" t="str">
        <f t="shared" si="0"/>
        <v>000CB918</v>
      </c>
      <c r="B46" s="32" t="s">
        <v>899</v>
      </c>
      <c r="C46" s="33" t="s">
        <v>936</v>
      </c>
      <c r="D46" s="31" t="s">
        <v>1004</v>
      </c>
    </row>
    <row r="47" spans="1:4" ht="15.9">
      <c r="A47" s="31" t="str">
        <f t="shared" si="0"/>
        <v>000CB91C</v>
      </c>
      <c r="B47" s="32" t="s">
        <v>900</v>
      </c>
      <c r="C47" s="33" t="s">
        <v>952</v>
      </c>
      <c r="D47" s="31"/>
    </row>
    <row r="48" spans="1:4" ht="15.9">
      <c r="A48" s="34" t="str">
        <f t="shared" si="0"/>
        <v>000CB920</v>
      </c>
      <c r="B48" s="35" t="s">
        <v>901</v>
      </c>
      <c r="C48" s="36" t="s">
        <v>953</v>
      </c>
      <c r="D48" s="34" t="s">
        <v>984</v>
      </c>
    </row>
    <row r="49" spans="1:4" ht="15.9">
      <c r="A49" s="37" t="str">
        <f t="shared" si="0"/>
        <v>000CB924</v>
      </c>
      <c r="B49" s="38" t="s">
        <v>902</v>
      </c>
      <c r="C49" s="37" t="s">
        <v>985</v>
      </c>
      <c r="D49" s="37" t="s">
        <v>986</v>
      </c>
    </row>
    <row r="50" spans="1:4" ht="15.9">
      <c r="A50" s="37" t="str">
        <f t="shared" si="0"/>
        <v>000CB928</v>
      </c>
      <c r="B50" s="38" t="s">
        <v>903</v>
      </c>
      <c r="C50" s="37" t="s">
        <v>856</v>
      </c>
      <c r="D50" s="37" t="s">
        <v>987</v>
      </c>
    </row>
    <row r="51" spans="1:4" ht="15.9">
      <c r="A51" s="37" t="str">
        <f t="shared" si="0"/>
        <v>000CB92C</v>
      </c>
      <c r="B51" s="38" t="s">
        <v>904</v>
      </c>
      <c r="C51" s="37" t="s">
        <v>937</v>
      </c>
      <c r="D51" s="37"/>
    </row>
    <row r="52" spans="1:4" ht="15.9">
      <c r="A52" s="37" t="str">
        <f t="shared" si="0"/>
        <v>000CB930</v>
      </c>
      <c r="B52" s="39" t="s">
        <v>905</v>
      </c>
      <c r="C52" s="37" t="s">
        <v>954</v>
      </c>
      <c r="D52" s="37"/>
    </row>
    <row r="53" spans="1:4" ht="15.9">
      <c r="A53" s="37" t="str">
        <f t="shared" si="0"/>
        <v>000CB934</v>
      </c>
      <c r="B53" s="37" t="s">
        <v>906</v>
      </c>
      <c r="C53" s="37" t="s">
        <v>955</v>
      </c>
      <c r="D53" s="37" t="s">
        <v>988</v>
      </c>
    </row>
    <row r="54" spans="1:4" ht="15.9">
      <c r="A54" s="40" t="str">
        <f t="shared" si="0"/>
        <v>000CB938</v>
      </c>
      <c r="B54" s="41" t="s">
        <v>907</v>
      </c>
      <c r="C54" s="40" t="s">
        <v>956</v>
      </c>
      <c r="D54" s="40"/>
    </row>
    <row r="55" spans="1:4" ht="15.9">
      <c r="A55" s="40" t="str">
        <f t="shared" si="0"/>
        <v>000CB93C</v>
      </c>
      <c r="B55" s="40" t="s">
        <v>908</v>
      </c>
      <c r="C55" s="40" t="s">
        <v>974</v>
      </c>
      <c r="D55" s="40"/>
    </row>
    <row r="56" spans="1:4" ht="15.9">
      <c r="A56" s="40" t="str">
        <f t="shared" si="0"/>
        <v>000CB940</v>
      </c>
      <c r="B56" s="41" t="s">
        <v>909</v>
      </c>
      <c r="C56" s="40" t="s">
        <v>938</v>
      </c>
      <c r="D56" s="40"/>
    </row>
    <row r="57" spans="1:4" ht="15.9">
      <c r="A57" s="40" t="str">
        <f t="shared" si="0"/>
        <v>000CB944</v>
      </c>
      <c r="B57" s="40" t="s">
        <v>910</v>
      </c>
      <c r="C57" s="42" t="str">
        <f>_xlfn.CONCAT("ldr r2, [pc, 0x",DEC2HEX(HEX2DEC(A$89)-HEX2DEC(A$67)-8,3),"]")</f>
        <v>ldr r2, [pc, 0xFFFFF3468C]</v>
      </c>
      <c r="D57" s="40" t="s">
        <v>989</v>
      </c>
    </row>
    <row r="58" spans="1:4" ht="15.9">
      <c r="A58" s="40" t="str">
        <f t="shared" si="0"/>
        <v>000CB948</v>
      </c>
      <c r="B58" s="40" t="s">
        <v>911</v>
      </c>
      <c r="C58" s="40" t="s">
        <v>957</v>
      </c>
      <c r="D58" s="40"/>
    </row>
    <row r="59" spans="1:4" ht="15.9">
      <c r="A59" s="40" t="str">
        <f t="shared" si="0"/>
        <v>000CB94C</v>
      </c>
      <c r="B59" s="41" t="s">
        <v>912</v>
      </c>
      <c r="C59" s="40" t="s">
        <v>939</v>
      </c>
      <c r="D59" s="40"/>
    </row>
    <row r="60" spans="1:4" ht="15.9">
      <c r="A60" s="40" t="str">
        <f t="shared" si="0"/>
        <v>000CB950</v>
      </c>
      <c r="B60" s="40" t="s">
        <v>913</v>
      </c>
      <c r="C60" s="40" t="s">
        <v>994</v>
      </c>
      <c r="D60" s="40" t="s">
        <v>991</v>
      </c>
    </row>
    <row r="61" spans="1:4" ht="15.9">
      <c r="A61" s="40" t="str">
        <f t="shared" si="0"/>
        <v>000CB954</v>
      </c>
      <c r="B61" s="40" t="s">
        <v>914</v>
      </c>
      <c r="C61" s="40" t="s">
        <v>958</v>
      </c>
      <c r="D61" s="40" t="s">
        <v>992</v>
      </c>
    </row>
    <row r="62" spans="1:4" ht="15.9">
      <c r="A62" s="40" t="str">
        <f t="shared" si="0"/>
        <v>000CB958</v>
      </c>
      <c r="B62" s="41" t="s">
        <v>912</v>
      </c>
      <c r="C62" s="40" t="s">
        <v>939</v>
      </c>
      <c r="D62" s="40"/>
    </row>
    <row r="63" spans="1:4" ht="15.9">
      <c r="A63" s="40" t="str">
        <f t="shared" si="0"/>
        <v>000CB95C</v>
      </c>
      <c r="B63" s="40" t="s">
        <v>915</v>
      </c>
      <c r="C63" s="40" t="s">
        <v>990</v>
      </c>
      <c r="D63" s="40" t="s">
        <v>995</v>
      </c>
    </row>
    <row r="64" spans="1:4" ht="15.9">
      <c r="A64" s="40" t="str">
        <f t="shared" si="0"/>
        <v>000CB960</v>
      </c>
      <c r="B64" s="40" t="s">
        <v>916</v>
      </c>
      <c r="C64" s="40" t="s">
        <v>857</v>
      </c>
      <c r="D64" s="40"/>
    </row>
    <row r="65" spans="1:4" ht="15.9">
      <c r="A65" s="40" t="str">
        <f t="shared" si="0"/>
        <v>000CB964</v>
      </c>
      <c r="B65" s="40" t="s">
        <v>873</v>
      </c>
      <c r="C65" s="40" t="s">
        <v>962</v>
      </c>
      <c r="D65" s="40"/>
    </row>
    <row r="66" spans="1:4" ht="15.9">
      <c r="A66" s="40" t="str">
        <f t="shared" si="0"/>
        <v>000CB968</v>
      </c>
      <c r="B66" s="40" t="s">
        <v>917</v>
      </c>
      <c r="C66" s="40" t="s">
        <v>993</v>
      </c>
      <c r="D66" s="40" t="s">
        <v>996</v>
      </c>
    </row>
    <row r="67" spans="1:4" ht="15.9">
      <c r="A67" s="43" t="str">
        <f t="shared" ref="A67:A79" si="1">DEC2HEX(HEX2DEC(A66)+4,8)</f>
        <v>000CB96C</v>
      </c>
      <c r="B67" s="44" t="s">
        <v>918</v>
      </c>
      <c r="C67" s="43" t="s">
        <v>959</v>
      </c>
      <c r="D67" s="43" t="s">
        <v>997</v>
      </c>
    </row>
    <row r="68" spans="1:4" ht="15.9">
      <c r="A68" s="43" t="str">
        <f t="shared" si="1"/>
        <v>000CB970</v>
      </c>
      <c r="B68" s="43" t="s">
        <v>919</v>
      </c>
      <c r="C68" s="43" t="s">
        <v>940</v>
      </c>
      <c r="D68" s="43"/>
    </row>
    <row r="69" spans="1:4" ht="15.9">
      <c r="A69" s="43" t="str">
        <f t="shared" si="1"/>
        <v>000CB974</v>
      </c>
      <c r="B69" s="44" t="s">
        <v>920</v>
      </c>
      <c r="C69" s="43" t="s">
        <v>858</v>
      </c>
      <c r="D69" s="43"/>
    </row>
    <row r="70" spans="1:4" ht="15.9">
      <c r="A70" s="43" t="str">
        <f t="shared" si="1"/>
        <v>000CB978</v>
      </c>
      <c r="B70" s="44" t="s">
        <v>921</v>
      </c>
      <c r="C70" s="43" t="s">
        <v>941</v>
      </c>
      <c r="D70" s="43" t="s">
        <v>998</v>
      </c>
    </row>
    <row r="71" spans="1:4" ht="15.9">
      <c r="A71" s="2" t="str">
        <f t="shared" si="1"/>
        <v>000CB97C</v>
      </c>
      <c r="B71" s="3" t="s">
        <v>922</v>
      </c>
      <c r="C71" s="3" t="s">
        <v>942</v>
      </c>
      <c r="D71" s="2"/>
    </row>
    <row r="72" spans="1:4" ht="15.9">
      <c r="A72" s="2" t="str">
        <f t="shared" si="1"/>
        <v>000CB980</v>
      </c>
      <c r="B72" s="3" t="s">
        <v>923</v>
      </c>
      <c r="C72" s="3" t="str">
        <f>SUBSTITUTE(SUBSTITUTE(C2,"push","pop"),"lr","pc")</f>
        <v>pop {r4, r5, r6, r7, r8, r9, r10, r11, pc}</v>
      </c>
      <c r="D72" s="2"/>
    </row>
    <row r="73" spans="1:4" ht="15.9">
      <c r="A73" s="10" t="str">
        <f t="shared" si="1"/>
        <v>000CB984</v>
      </c>
      <c r="B73" s="10" t="s">
        <v>924</v>
      </c>
      <c r="C73" s="10" t="s">
        <v>859</v>
      </c>
      <c r="D73" s="10" t="s">
        <v>968</v>
      </c>
    </row>
    <row r="74" spans="1:4" ht="15.9">
      <c r="A74" s="10" t="str">
        <f t="shared" si="1"/>
        <v>000CB988</v>
      </c>
      <c r="B74" s="10" t="s">
        <v>873</v>
      </c>
      <c r="C74" s="10" t="s">
        <v>962</v>
      </c>
      <c r="D74" s="10"/>
    </row>
    <row r="75" spans="1:4" ht="15.9">
      <c r="A75" s="10" t="str">
        <f t="shared" si="1"/>
        <v>000CB98C</v>
      </c>
      <c r="B75" s="10" t="s">
        <v>925</v>
      </c>
      <c r="C75" s="10" t="s">
        <v>963</v>
      </c>
      <c r="D75" s="10"/>
    </row>
    <row r="76" spans="1:4" ht="15.9">
      <c r="A76" s="10" t="str">
        <f t="shared" si="1"/>
        <v>000CB990</v>
      </c>
      <c r="B76" s="10" t="s">
        <v>926</v>
      </c>
      <c r="C76" s="10" t="s">
        <v>943</v>
      </c>
      <c r="D76" s="10"/>
    </row>
    <row r="77" spans="1:4" ht="15.9">
      <c r="A77" s="10" t="str">
        <f t="shared" si="1"/>
        <v>000CB994</v>
      </c>
      <c r="B77" s="10" t="s">
        <v>927</v>
      </c>
      <c r="C77" s="10" t="s">
        <v>860</v>
      </c>
      <c r="D77" s="10"/>
    </row>
    <row r="78" spans="1:4" ht="15.9">
      <c r="A78" s="10" t="str">
        <f t="shared" si="1"/>
        <v>000CB998</v>
      </c>
      <c r="B78" s="10" t="s">
        <v>928</v>
      </c>
      <c r="C78" s="10" t="s">
        <v>944</v>
      </c>
      <c r="D78" s="10"/>
    </row>
    <row r="79" spans="1:4" ht="15.9">
      <c r="A79" s="2" t="str">
        <f t="shared" si="1"/>
        <v>000CB99C</v>
      </c>
      <c r="B79" s="2" t="s">
        <v>999</v>
      </c>
      <c r="C79" s="2" t="s">
        <v>861</v>
      </c>
      <c r="D7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E18" sqref="E18"/>
    </sheetView>
  </sheetViews>
  <sheetFormatPr defaultRowHeight="14.15"/>
  <sheetData>
    <row r="1" spans="1:4">
      <c r="A1" t="s">
        <v>22</v>
      </c>
      <c r="B1" t="s">
        <v>4</v>
      </c>
      <c r="C1">
        <v>8</v>
      </c>
      <c r="D1" t="str">
        <f>DEC2HEX(C1,2)</f>
        <v>08</v>
      </c>
    </row>
    <row r="2" spans="1:4">
      <c r="A2" t="s">
        <v>23</v>
      </c>
      <c r="B2" t="s">
        <v>5</v>
      </c>
      <c r="C2">
        <v>8</v>
      </c>
      <c r="D2" t="str">
        <f t="shared" ref="D2:D18" si="0">DEC2HEX(C2,2)</f>
        <v>08</v>
      </c>
    </row>
    <row r="3" spans="1:4">
      <c r="A3" t="s">
        <v>24</v>
      </c>
      <c r="B3" t="s">
        <v>6</v>
      </c>
      <c r="C3">
        <v>7</v>
      </c>
      <c r="D3" t="str">
        <f t="shared" si="0"/>
        <v>07</v>
      </c>
    </row>
    <row r="4" spans="1:4">
      <c r="A4" t="s">
        <v>25</v>
      </c>
      <c r="B4" t="s">
        <v>7</v>
      </c>
      <c r="C4">
        <v>7</v>
      </c>
      <c r="D4" t="str">
        <f t="shared" si="0"/>
        <v>07</v>
      </c>
    </row>
    <row r="5" spans="1:4">
      <c r="A5" t="s">
        <v>26</v>
      </c>
      <c r="B5" t="s">
        <v>8</v>
      </c>
      <c r="C5">
        <v>7</v>
      </c>
      <c r="D5" t="str">
        <f t="shared" si="0"/>
        <v>07</v>
      </c>
    </row>
    <row r="6" spans="1:4">
      <c r="A6" t="s">
        <v>27</v>
      </c>
      <c r="B6" t="s">
        <v>9</v>
      </c>
      <c r="C6">
        <v>8</v>
      </c>
      <c r="D6" t="str">
        <f t="shared" si="0"/>
        <v>08</v>
      </c>
    </row>
    <row r="7" spans="1:4">
      <c r="A7" t="s">
        <v>28</v>
      </c>
      <c r="B7" t="s">
        <v>10</v>
      </c>
      <c r="C7">
        <v>8</v>
      </c>
      <c r="D7" t="str">
        <f t="shared" si="0"/>
        <v>08</v>
      </c>
    </row>
    <row r="8" spans="1:4">
      <c r="A8" t="s">
        <v>29</v>
      </c>
      <c r="B8" t="s">
        <v>11</v>
      </c>
      <c r="C8">
        <v>7</v>
      </c>
      <c r="D8" t="str">
        <f t="shared" si="0"/>
        <v>07</v>
      </c>
    </row>
    <row r="9" spans="1:4">
      <c r="A9" t="s">
        <v>30</v>
      </c>
      <c r="B9" t="s">
        <v>12</v>
      </c>
      <c r="C9">
        <v>8</v>
      </c>
      <c r="D9" t="str">
        <f t="shared" si="0"/>
        <v>08</v>
      </c>
    </row>
    <row r="10" spans="1:4">
      <c r="A10" t="s">
        <v>31</v>
      </c>
      <c r="B10" t="s">
        <v>13</v>
      </c>
      <c r="C10">
        <v>7</v>
      </c>
      <c r="D10" t="str">
        <f t="shared" si="0"/>
        <v>07</v>
      </c>
    </row>
    <row r="11" spans="1:4">
      <c r="A11" t="s">
        <v>32</v>
      </c>
      <c r="B11" t="s">
        <v>14</v>
      </c>
      <c r="C11">
        <v>7</v>
      </c>
      <c r="D11" t="str">
        <f t="shared" si="0"/>
        <v>07</v>
      </c>
    </row>
    <row r="12" spans="1:4">
      <c r="A12" t="s">
        <v>33</v>
      </c>
      <c r="B12" t="s">
        <v>15</v>
      </c>
      <c r="C12">
        <v>8</v>
      </c>
      <c r="D12" t="str">
        <f t="shared" si="0"/>
        <v>08</v>
      </c>
    </row>
    <row r="13" spans="1:4">
      <c r="A13" t="s">
        <v>34</v>
      </c>
      <c r="B13" t="s">
        <v>16</v>
      </c>
      <c r="C13">
        <v>7</v>
      </c>
      <c r="D13" t="str">
        <f t="shared" si="0"/>
        <v>07</v>
      </c>
    </row>
    <row r="14" spans="1:4">
      <c r="A14" t="s">
        <v>35</v>
      </c>
      <c r="B14" t="s">
        <v>17</v>
      </c>
      <c r="C14">
        <v>7</v>
      </c>
      <c r="D14" t="str">
        <f t="shared" si="0"/>
        <v>07</v>
      </c>
    </row>
    <row r="15" spans="1:4">
      <c r="A15" t="s">
        <v>36</v>
      </c>
      <c r="B15" t="s">
        <v>18</v>
      </c>
      <c r="C15">
        <v>8</v>
      </c>
      <c r="D15" t="str">
        <f t="shared" si="0"/>
        <v>08</v>
      </c>
    </row>
    <row r="16" spans="1:4">
      <c r="A16" t="s">
        <v>37</v>
      </c>
      <c r="B16" t="s">
        <v>19</v>
      </c>
      <c r="C16">
        <v>7</v>
      </c>
      <c r="D16" t="str">
        <f t="shared" si="0"/>
        <v>07</v>
      </c>
    </row>
    <row r="17" spans="1:5">
      <c r="A17" t="s">
        <v>38</v>
      </c>
      <c r="B17" t="s">
        <v>20</v>
      </c>
      <c r="C17">
        <v>8</v>
      </c>
      <c r="D17" t="str">
        <f t="shared" si="0"/>
        <v>08</v>
      </c>
    </row>
    <row r="18" spans="1:5">
      <c r="A18" t="s">
        <v>39</v>
      </c>
      <c r="B18" t="s">
        <v>21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40</v>
      </c>
    </row>
    <row r="20" spans="1:5">
      <c r="A20" t="s">
        <v>41</v>
      </c>
    </row>
    <row r="21" spans="1:5">
      <c r="A21" t="s">
        <v>42</v>
      </c>
    </row>
    <row r="22" spans="1:5">
      <c r="A22" t="s">
        <v>43</v>
      </c>
    </row>
    <row r="23" spans="1:5">
      <c r="A23" t="s">
        <v>44</v>
      </c>
    </row>
    <row r="24" spans="1:5">
      <c r="A24" t="s">
        <v>45</v>
      </c>
    </row>
    <row r="25" spans="1:5">
      <c r="A25" t="s">
        <v>46</v>
      </c>
    </row>
    <row r="26" spans="1:5">
      <c r="A26" t="s">
        <v>47</v>
      </c>
    </row>
    <row r="27" spans="1:5">
      <c r="A27" t="s">
        <v>48</v>
      </c>
    </row>
    <row r="28" spans="1:5">
      <c r="A28" t="s">
        <v>49</v>
      </c>
    </row>
    <row r="29" spans="1:5">
      <c r="A29" t="s">
        <v>50</v>
      </c>
    </row>
    <row r="30" spans="1:5">
      <c r="A30" t="s">
        <v>51</v>
      </c>
    </row>
    <row r="31" spans="1:5">
      <c r="A31" t="s">
        <v>52</v>
      </c>
    </row>
    <row r="32" spans="1:5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  <row r="302" spans="1:1">
      <c r="A302" t="s">
        <v>323</v>
      </c>
    </row>
    <row r="303" spans="1:1">
      <c r="A303" t="s">
        <v>324</v>
      </c>
    </row>
    <row r="304" spans="1:1">
      <c r="A304" t="s">
        <v>325</v>
      </c>
    </row>
    <row r="305" spans="1:1">
      <c r="A305" t="s">
        <v>326</v>
      </c>
    </row>
    <row r="306" spans="1:1">
      <c r="A306" t="s">
        <v>327</v>
      </c>
    </row>
    <row r="307" spans="1:1">
      <c r="A307" t="s">
        <v>328</v>
      </c>
    </row>
    <row r="308" spans="1:1">
      <c r="A308" t="s">
        <v>329</v>
      </c>
    </row>
    <row r="309" spans="1:1">
      <c r="A309" t="s">
        <v>330</v>
      </c>
    </row>
    <row r="310" spans="1:1">
      <c r="A310" t="s">
        <v>331</v>
      </c>
    </row>
    <row r="311" spans="1:1">
      <c r="A311" t="s">
        <v>332</v>
      </c>
    </row>
    <row r="312" spans="1:1">
      <c r="A312" t="s">
        <v>333</v>
      </c>
    </row>
    <row r="313" spans="1:1">
      <c r="A313" t="s">
        <v>334</v>
      </c>
    </row>
    <row r="314" spans="1:1">
      <c r="A314" t="s">
        <v>335</v>
      </c>
    </row>
    <row r="315" spans="1:1">
      <c r="A315" t="s">
        <v>336</v>
      </c>
    </row>
    <row r="316" spans="1:1">
      <c r="A316" t="s">
        <v>337</v>
      </c>
    </row>
    <row r="317" spans="1:1">
      <c r="A317" t="s">
        <v>338</v>
      </c>
    </row>
    <row r="318" spans="1:1">
      <c r="A318" t="s">
        <v>339</v>
      </c>
    </row>
    <row r="319" spans="1:1">
      <c r="A319" t="s">
        <v>340</v>
      </c>
    </row>
    <row r="320" spans="1:1">
      <c r="A320" t="s">
        <v>341</v>
      </c>
    </row>
    <row r="321" spans="1:1">
      <c r="A321" t="s">
        <v>342</v>
      </c>
    </row>
    <row r="322" spans="1:1">
      <c r="A322" t="s">
        <v>343</v>
      </c>
    </row>
    <row r="323" spans="1:1">
      <c r="A323" t="s">
        <v>344</v>
      </c>
    </row>
    <row r="324" spans="1:1">
      <c r="A324" t="s">
        <v>345</v>
      </c>
    </row>
    <row r="325" spans="1:1">
      <c r="A325" t="s">
        <v>346</v>
      </c>
    </row>
    <row r="326" spans="1:1">
      <c r="A326" t="s">
        <v>347</v>
      </c>
    </row>
    <row r="327" spans="1:1">
      <c r="A327" t="s">
        <v>348</v>
      </c>
    </row>
    <row r="328" spans="1:1">
      <c r="A328" t="s">
        <v>349</v>
      </c>
    </row>
    <row r="329" spans="1:1">
      <c r="A329" t="s">
        <v>350</v>
      </c>
    </row>
    <row r="330" spans="1:1">
      <c r="A330" t="s">
        <v>351</v>
      </c>
    </row>
    <row r="331" spans="1:1">
      <c r="A331" t="s">
        <v>352</v>
      </c>
    </row>
    <row r="332" spans="1:1">
      <c r="A332" t="s">
        <v>353</v>
      </c>
    </row>
    <row r="333" spans="1:1">
      <c r="A333" t="s">
        <v>354</v>
      </c>
    </row>
    <row r="334" spans="1:1">
      <c r="A334" t="s">
        <v>355</v>
      </c>
    </row>
    <row r="335" spans="1:1">
      <c r="A335" t="s">
        <v>356</v>
      </c>
    </row>
    <row r="336" spans="1:1">
      <c r="A336" t="s">
        <v>357</v>
      </c>
    </row>
    <row r="337" spans="1:1">
      <c r="A337" t="s">
        <v>358</v>
      </c>
    </row>
    <row r="338" spans="1:1">
      <c r="A338" t="s">
        <v>359</v>
      </c>
    </row>
    <row r="339" spans="1:1">
      <c r="A339" t="s">
        <v>360</v>
      </c>
    </row>
    <row r="340" spans="1:1">
      <c r="A340" t="s">
        <v>361</v>
      </c>
    </row>
    <row r="341" spans="1:1">
      <c r="A341" t="s">
        <v>362</v>
      </c>
    </row>
    <row r="342" spans="1:1">
      <c r="A342" t="s">
        <v>363</v>
      </c>
    </row>
    <row r="343" spans="1:1">
      <c r="A343" t="s">
        <v>364</v>
      </c>
    </row>
    <row r="344" spans="1:1">
      <c r="A344" t="s">
        <v>365</v>
      </c>
    </row>
    <row r="345" spans="1:1">
      <c r="A345" t="s">
        <v>366</v>
      </c>
    </row>
    <row r="346" spans="1:1">
      <c r="A346" t="s">
        <v>367</v>
      </c>
    </row>
    <row r="347" spans="1:1">
      <c r="A347" t="s">
        <v>368</v>
      </c>
    </row>
    <row r="348" spans="1:1">
      <c r="A348" t="s">
        <v>369</v>
      </c>
    </row>
    <row r="349" spans="1:1">
      <c r="A349" t="s">
        <v>370</v>
      </c>
    </row>
    <row r="350" spans="1:1">
      <c r="A350" t="s">
        <v>371</v>
      </c>
    </row>
    <row r="351" spans="1:1">
      <c r="A351" t="s">
        <v>372</v>
      </c>
    </row>
    <row r="352" spans="1:1">
      <c r="A352" t="s">
        <v>373</v>
      </c>
    </row>
    <row r="353" spans="1:1">
      <c r="A353" t="s">
        <v>374</v>
      </c>
    </row>
    <row r="354" spans="1:1">
      <c r="A354" t="s">
        <v>375</v>
      </c>
    </row>
    <row r="355" spans="1:1">
      <c r="A355" t="s">
        <v>376</v>
      </c>
    </row>
    <row r="356" spans="1:1">
      <c r="A356" t="s">
        <v>377</v>
      </c>
    </row>
    <row r="357" spans="1:1">
      <c r="A357" t="s">
        <v>378</v>
      </c>
    </row>
    <row r="358" spans="1:1">
      <c r="A358" t="s">
        <v>379</v>
      </c>
    </row>
    <row r="359" spans="1:1">
      <c r="A359" t="s">
        <v>380</v>
      </c>
    </row>
    <row r="360" spans="1:1">
      <c r="A360" t="s">
        <v>381</v>
      </c>
    </row>
    <row r="361" spans="1:1">
      <c r="A361" t="s">
        <v>382</v>
      </c>
    </row>
    <row r="362" spans="1:1">
      <c r="A362" t="s">
        <v>383</v>
      </c>
    </row>
    <row r="363" spans="1:1">
      <c r="A363" t="s">
        <v>384</v>
      </c>
    </row>
    <row r="364" spans="1:1">
      <c r="A364" t="s">
        <v>385</v>
      </c>
    </row>
    <row r="365" spans="1:1">
      <c r="A365" t="s">
        <v>386</v>
      </c>
    </row>
    <row r="366" spans="1:1">
      <c r="A366" t="s">
        <v>387</v>
      </c>
    </row>
    <row r="367" spans="1:1">
      <c r="A367" t="s">
        <v>388</v>
      </c>
    </row>
    <row r="368" spans="1:1">
      <c r="A368" t="s">
        <v>389</v>
      </c>
    </row>
    <row r="369" spans="1:1">
      <c r="A369" t="s">
        <v>390</v>
      </c>
    </row>
    <row r="370" spans="1:1">
      <c r="A370" t="s">
        <v>391</v>
      </c>
    </row>
    <row r="371" spans="1:1">
      <c r="A371" t="s">
        <v>392</v>
      </c>
    </row>
    <row r="372" spans="1:1">
      <c r="A372" t="s">
        <v>393</v>
      </c>
    </row>
    <row r="373" spans="1:1">
      <c r="A373" t="s">
        <v>394</v>
      </c>
    </row>
    <row r="374" spans="1:1">
      <c r="A374" t="s">
        <v>395</v>
      </c>
    </row>
    <row r="375" spans="1:1">
      <c r="A375" t="s">
        <v>396</v>
      </c>
    </row>
    <row r="376" spans="1:1">
      <c r="A376" t="s">
        <v>397</v>
      </c>
    </row>
    <row r="377" spans="1:1">
      <c r="A377" t="s">
        <v>398</v>
      </c>
    </row>
    <row r="378" spans="1:1">
      <c r="A378" t="s">
        <v>399</v>
      </c>
    </row>
    <row r="379" spans="1:1">
      <c r="A379" t="s">
        <v>400</v>
      </c>
    </row>
    <row r="380" spans="1:1">
      <c r="A380" t="s">
        <v>401</v>
      </c>
    </row>
    <row r="381" spans="1:1">
      <c r="A381" t="s">
        <v>402</v>
      </c>
    </row>
    <row r="382" spans="1:1">
      <c r="A382" t="s">
        <v>403</v>
      </c>
    </row>
    <row r="383" spans="1:1">
      <c r="A383" t="s">
        <v>404</v>
      </c>
    </row>
    <row r="384" spans="1:1">
      <c r="A384" t="s">
        <v>405</v>
      </c>
    </row>
    <row r="385" spans="1:1">
      <c r="A385" t="s">
        <v>406</v>
      </c>
    </row>
    <row r="386" spans="1:1">
      <c r="A386" t="s">
        <v>407</v>
      </c>
    </row>
    <row r="387" spans="1:1">
      <c r="A387" t="s">
        <v>408</v>
      </c>
    </row>
    <row r="388" spans="1:1">
      <c r="A388" t="s">
        <v>409</v>
      </c>
    </row>
    <row r="389" spans="1:1">
      <c r="A389" t="s">
        <v>410</v>
      </c>
    </row>
    <row r="390" spans="1:1">
      <c r="A390" t="s">
        <v>411</v>
      </c>
    </row>
    <row r="391" spans="1:1">
      <c r="A391" t="s">
        <v>412</v>
      </c>
    </row>
    <row r="392" spans="1:1">
      <c r="A392" t="s">
        <v>413</v>
      </c>
    </row>
    <row r="393" spans="1:1">
      <c r="A393" t="s">
        <v>414</v>
      </c>
    </row>
    <row r="394" spans="1:1">
      <c r="A394" t="s">
        <v>415</v>
      </c>
    </row>
    <row r="395" spans="1:1">
      <c r="A395" t="s">
        <v>416</v>
      </c>
    </row>
    <row r="396" spans="1:1">
      <c r="A396" t="s">
        <v>417</v>
      </c>
    </row>
    <row r="397" spans="1:1">
      <c r="A397" t="s">
        <v>418</v>
      </c>
    </row>
    <row r="398" spans="1:1">
      <c r="A398" t="s">
        <v>419</v>
      </c>
    </row>
    <row r="399" spans="1:1">
      <c r="A399" t="s">
        <v>420</v>
      </c>
    </row>
    <row r="400" spans="1:1">
      <c r="A400" t="s">
        <v>421</v>
      </c>
    </row>
    <row r="401" spans="1:1">
      <c r="A401" t="s">
        <v>422</v>
      </c>
    </row>
    <row r="402" spans="1:1">
      <c r="A402" t="s">
        <v>423</v>
      </c>
    </row>
    <row r="403" spans="1:1">
      <c r="A403" t="s">
        <v>424</v>
      </c>
    </row>
    <row r="404" spans="1:1">
      <c r="A404" t="s">
        <v>425</v>
      </c>
    </row>
    <row r="405" spans="1:1">
      <c r="A405" t="s">
        <v>426</v>
      </c>
    </row>
    <row r="406" spans="1:1">
      <c r="A406" t="s">
        <v>427</v>
      </c>
    </row>
    <row r="407" spans="1:1">
      <c r="A407" t="s">
        <v>428</v>
      </c>
    </row>
    <row r="408" spans="1:1">
      <c r="A408" t="s">
        <v>429</v>
      </c>
    </row>
    <row r="409" spans="1:1">
      <c r="A409" t="s">
        <v>430</v>
      </c>
    </row>
    <row r="410" spans="1:1">
      <c r="A410" t="s">
        <v>431</v>
      </c>
    </row>
    <row r="411" spans="1:1">
      <c r="A411" t="s">
        <v>432</v>
      </c>
    </row>
    <row r="412" spans="1:1">
      <c r="A412" t="s">
        <v>433</v>
      </c>
    </row>
    <row r="413" spans="1:1">
      <c r="A413" t="s">
        <v>434</v>
      </c>
    </row>
    <row r="414" spans="1:1">
      <c r="A414" t="s">
        <v>435</v>
      </c>
    </row>
    <row r="415" spans="1:1">
      <c r="A415" t="s">
        <v>436</v>
      </c>
    </row>
    <row r="416" spans="1:1">
      <c r="A416" t="s">
        <v>437</v>
      </c>
    </row>
    <row r="417" spans="1:1">
      <c r="A417" t="s">
        <v>438</v>
      </c>
    </row>
    <row r="418" spans="1:1">
      <c r="A418" t="s">
        <v>439</v>
      </c>
    </row>
    <row r="419" spans="1:1">
      <c r="A419" t="s">
        <v>440</v>
      </c>
    </row>
    <row r="420" spans="1:1">
      <c r="A420" t="s">
        <v>441</v>
      </c>
    </row>
    <row r="421" spans="1:1">
      <c r="A421" t="s">
        <v>442</v>
      </c>
    </row>
    <row r="422" spans="1:1">
      <c r="A422" t="s">
        <v>443</v>
      </c>
    </row>
    <row r="423" spans="1:1">
      <c r="A423" t="s">
        <v>444</v>
      </c>
    </row>
    <row r="424" spans="1:1">
      <c r="A424" t="s">
        <v>445</v>
      </c>
    </row>
    <row r="425" spans="1:1">
      <c r="A425" t="s">
        <v>446</v>
      </c>
    </row>
    <row r="426" spans="1:1">
      <c r="A426" t="s">
        <v>447</v>
      </c>
    </row>
    <row r="427" spans="1:1">
      <c r="A427" t="s">
        <v>448</v>
      </c>
    </row>
    <row r="428" spans="1:1">
      <c r="A428" t="s">
        <v>449</v>
      </c>
    </row>
    <row r="429" spans="1:1">
      <c r="A429" t="s">
        <v>450</v>
      </c>
    </row>
    <row r="430" spans="1:1">
      <c r="A430" t="s">
        <v>451</v>
      </c>
    </row>
    <row r="431" spans="1:1">
      <c r="A431" t="s">
        <v>452</v>
      </c>
    </row>
    <row r="432" spans="1:1">
      <c r="A432" t="s">
        <v>453</v>
      </c>
    </row>
    <row r="433" spans="1:1">
      <c r="A433" t="s">
        <v>454</v>
      </c>
    </row>
    <row r="434" spans="1:1">
      <c r="A434" t="s">
        <v>455</v>
      </c>
    </row>
    <row r="435" spans="1:1">
      <c r="A435" t="s">
        <v>456</v>
      </c>
    </row>
    <row r="436" spans="1:1">
      <c r="A436" t="s">
        <v>457</v>
      </c>
    </row>
    <row r="437" spans="1:1">
      <c r="A437" t="s">
        <v>458</v>
      </c>
    </row>
    <row r="438" spans="1:1">
      <c r="A438" t="s">
        <v>459</v>
      </c>
    </row>
    <row r="439" spans="1:1">
      <c r="A439" t="s">
        <v>460</v>
      </c>
    </row>
    <row r="440" spans="1:1">
      <c r="A440" t="s">
        <v>461</v>
      </c>
    </row>
    <row r="441" spans="1:1">
      <c r="A441" t="s">
        <v>462</v>
      </c>
    </row>
    <row r="442" spans="1:1">
      <c r="A442" t="s">
        <v>463</v>
      </c>
    </row>
    <row r="443" spans="1:1">
      <c r="A443" t="s">
        <v>464</v>
      </c>
    </row>
    <row r="444" spans="1:1">
      <c r="A444" t="s">
        <v>465</v>
      </c>
    </row>
    <row r="445" spans="1:1">
      <c r="A445" t="s">
        <v>466</v>
      </c>
    </row>
    <row r="446" spans="1:1">
      <c r="A446" t="s">
        <v>467</v>
      </c>
    </row>
    <row r="447" spans="1:1">
      <c r="A447" t="s">
        <v>468</v>
      </c>
    </row>
    <row r="448" spans="1:1">
      <c r="A448" t="s">
        <v>469</v>
      </c>
    </row>
    <row r="449" spans="1:1">
      <c r="A449" t="s">
        <v>470</v>
      </c>
    </row>
    <row r="450" spans="1:1">
      <c r="A450" t="s">
        <v>471</v>
      </c>
    </row>
    <row r="451" spans="1:1">
      <c r="A451" t="s">
        <v>472</v>
      </c>
    </row>
    <row r="452" spans="1:1">
      <c r="A452" t="s">
        <v>473</v>
      </c>
    </row>
    <row r="453" spans="1:1">
      <c r="A453" t="s">
        <v>474</v>
      </c>
    </row>
    <row r="454" spans="1:1">
      <c r="A454" t="s">
        <v>475</v>
      </c>
    </row>
    <row r="455" spans="1:1">
      <c r="A455" t="s">
        <v>476</v>
      </c>
    </row>
    <row r="456" spans="1:1">
      <c r="A456" t="s">
        <v>477</v>
      </c>
    </row>
    <row r="457" spans="1:1">
      <c r="A457" t="s">
        <v>478</v>
      </c>
    </row>
    <row r="458" spans="1:1">
      <c r="A458" t="s">
        <v>479</v>
      </c>
    </row>
    <row r="459" spans="1:1">
      <c r="A459" t="s">
        <v>480</v>
      </c>
    </row>
    <row r="460" spans="1:1">
      <c r="A460" t="s">
        <v>481</v>
      </c>
    </row>
    <row r="461" spans="1:1">
      <c r="A461" t="s">
        <v>482</v>
      </c>
    </row>
    <row r="462" spans="1:1">
      <c r="A462" t="s">
        <v>483</v>
      </c>
    </row>
    <row r="463" spans="1:1">
      <c r="A463" t="s">
        <v>484</v>
      </c>
    </row>
    <row r="464" spans="1:1">
      <c r="A464" t="s">
        <v>485</v>
      </c>
    </row>
    <row r="465" spans="1:1">
      <c r="A465" t="s">
        <v>486</v>
      </c>
    </row>
    <row r="466" spans="1:1">
      <c r="A466" t="s">
        <v>487</v>
      </c>
    </row>
    <row r="467" spans="1:1">
      <c r="A467" t="s">
        <v>488</v>
      </c>
    </row>
    <row r="468" spans="1:1">
      <c r="A468" t="s">
        <v>489</v>
      </c>
    </row>
    <row r="469" spans="1:1">
      <c r="A469" t="s">
        <v>490</v>
      </c>
    </row>
    <row r="470" spans="1:1">
      <c r="A470" t="s">
        <v>491</v>
      </c>
    </row>
    <row r="471" spans="1:1">
      <c r="A471" t="s">
        <v>492</v>
      </c>
    </row>
    <row r="472" spans="1:1">
      <c r="A472" t="s">
        <v>493</v>
      </c>
    </row>
    <row r="473" spans="1:1">
      <c r="A473" t="s">
        <v>494</v>
      </c>
    </row>
    <row r="474" spans="1:1">
      <c r="A474" t="s">
        <v>495</v>
      </c>
    </row>
    <row r="475" spans="1:1">
      <c r="A475" t="s">
        <v>496</v>
      </c>
    </row>
    <row r="476" spans="1:1">
      <c r="A476" t="s">
        <v>497</v>
      </c>
    </row>
    <row r="477" spans="1:1">
      <c r="A477" t="s">
        <v>498</v>
      </c>
    </row>
    <row r="478" spans="1:1">
      <c r="A478" t="s">
        <v>499</v>
      </c>
    </row>
    <row r="479" spans="1:1">
      <c r="A479" t="s">
        <v>500</v>
      </c>
    </row>
    <row r="480" spans="1:1">
      <c r="A480" t="s">
        <v>501</v>
      </c>
    </row>
    <row r="481" spans="1:1">
      <c r="A481" t="s">
        <v>502</v>
      </c>
    </row>
    <row r="482" spans="1:1">
      <c r="A482" t="s">
        <v>503</v>
      </c>
    </row>
    <row r="483" spans="1:1">
      <c r="A483" t="s">
        <v>504</v>
      </c>
    </row>
    <row r="484" spans="1:1">
      <c r="A484" t="s">
        <v>505</v>
      </c>
    </row>
    <row r="485" spans="1:1">
      <c r="A485" t="s">
        <v>506</v>
      </c>
    </row>
    <row r="486" spans="1:1">
      <c r="A486" t="s">
        <v>507</v>
      </c>
    </row>
    <row r="487" spans="1:1">
      <c r="A487" t="s">
        <v>508</v>
      </c>
    </row>
    <row r="488" spans="1:1">
      <c r="A488" t="s">
        <v>509</v>
      </c>
    </row>
    <row r="489" spans="1:1">
      <c r="A489" t="s">
        <v>510</v>
      </c>
    </row>
    <row r="490" spans="1:1">
      <c r="A490" t="s">
        <v>511</v>
      </c>
    </row>
    <row r="491" spans="1:1">
      <c r="A491" t="s">
        <v>512</v>
      </c>
    </row>
    <row r="492" spans="1:1">
      <c r="A492" t="s">
        <v>513</v>
      </c>
    </row>
    <row r="493" spans="1:1">
      <c r="A493" t="s">
        <v>514</v>
      </c>
    </row>
    <row r="494" spans="1:1">
      <c r="A494" t="s">
        <v>515</v>
      </c>
    </row>
    <row r="495" spans="1:1">
      <c r="A495" t="s">
        <v>516</v>
      </c>
    </row>
    <row r="496" spans="1:1">
      <c r="A496" t="s">
        <v>517</v>
      </c>
    </row>
    <row r="497" spans="1:1">
      <c r="A497" t="s">
        <v>518</v>
      </c>
    </row>
    <row r="498" spans="1:1">
      <c r="A498" t="s">
        <v>519</v>
      </c>
    </row>
    <row r="499" spans="1:1">
      <c r="A499" t="s">
        <v>520</v>
      </c>
    </row>
    <row r="500" spans="1:1">
      <c r="A500" t="s">
        <v>521</v>
      </c>
    </row>
    <row r="501" spans="1:1">
      <c r="A501" t="s">
        <v>522</v>
      </c>
    </row>
    <row r="502" spans="1:1">
      <c r="A502" t="s">
        <v>523</v>
      </c>
    </row>
    <row r="503" spans="1:1">
      <c r="A503" t="s">
        <v>524</v>
      </c>
    </row>
    <row r="504" spans="1:1">
      <c r="A504" t="s">
        <v>525</v>
      </c>
    </row>
    <row r="505" spans="1:1">
      <c r="A505" t="s">
        <v>526</v>
      </c>
    </row>
    <row r="506" spans="1:1">
      <c r="A506" t="s">
        <v>527</v>
      </c>
    </row>
    <row r="507" spans="1:1">
      <c r="A507" t="s">
        <v>528</v>
      </c>
    </row>
    <row r="508" spans="1:1">
      <c r="A508" t="s">
        <v>529</v>
      </c>
    </row>
    <row r="509" spans="1:1">
      <c r="A509" t="s">
        <v>530</v>
      </c>
    </row>
    <row r="510" spans="1:1">
      <c r="A510" t="s">
        <v>531</v>
      </c>
    </row>
    <row r="511" spans="1:1">
      <c r="A511" t="s">
        <v>532</v>
      </c>
    </row>
    <row r="512" spans="1:1">
      <c r="A512" t="s">
        <v>533</v>
      </c>
    </row>
    <row r="513" spans="1:1">
      <c r="A513" t="s">
        <v>534</v>
      </c>
    </row>
    <row r="514" spans="1:1">
      <c r="A514" t="s">
        <v>535</v>
      </c>
    </row>
    <row r="515" spans="1:1">
      <c r="A515" t="s">
        <v>536</v>
      </c>
    </row>
    <row r="516" spans="1:1">
      <c r="A516" t="s">
        <v>537</v>
      </c>
    </row>
    <row r="517" spans="1:1">
      <c r="A517" t="s">
        <v>538</v>
      </c>
    </row>
    <row r="518" spans="1:1">
      <c r="A518" t="s">
        <v>539</v>
      </c>
    </row>
    <row r="519" spans="1:1">
      <c r="A519" t="s">
        <v>540</v>
      </c>
    </row>
    <row r="520" spans="1:1">
      <c r="A520" t="s">
        <v>541</v>
      </c>
    </row>
    <row r="521" spans="1:1">
      <c r="A521" t="s">
        <v>542</v>
      </c>
    </row>
    <row r="522" spans="1:1">
      <c r="A522" t="s">
        <v>543</v>
      </c>
    </row>
    <row r="523" spans="1:1">
      <c r="A523" t="s">
        <v>544</v>
      </c>
    </row>
    <row r="524" spans="1:1">
      <c r="A524" t="s">
        <v>545</v>
      </c>
    </row>
    <row r="525" spans="1:1">
      <c r="A525" t="s">
        <v>546</v>
      </c>
    </row>
    <row r="526" spans="1:1">
      <c r="A526" t="s">
        <v>547</v>
      </c>
    </row>
    <row r="527" spans="1:1">
      <c r="A527" t="s">
        <v>548</v>
      </c>
    </row>
    <row r="528" spans="1:1">
      <c r="A528" t="s">
        <v>549</v>
      </c>
    </row>
    <row r="529" spans="1:1">
      <c r="A529" t="s">
        <v>550</v>
      </c>
    </row>
    <row r="530" spans="1:1">
      <c r="A530" t="s">
        <v>551</v>
      </c>
    </row>
    <row r="531" spans="1:1">
      <c r="A531" t="s">
        <v>552</v>
      </c>
    </row>
    <row r="532" spans="1:1">
      <c r="A532" t="s">
        <v>553</v>
      </c>
    </row>
    <row r="533" spans="1:1">
      <c r="A533" t="s">
        <v>554</v>
      </c>
    </row>
    <row r="534" spans="1:1">
      <c r="A534" t="s">
        <v>555</v>
      </c>
    </row>
    <row r="535" spans="1:1">
      <c r="A535" t="s">
        <v>556</v>
      </c>
    </row>
    <row r="536" spans="1:1">
      <c r="A536" t="s">
        <v>557</v>
      </c>
    </row>
    <row r="537" spans="1:1">
      <c r="A537" t="s">
        <v>558</v>
      </c>
    </row>
    <row r="538" spans="1:1">
      <c r="A538" t="s">
        <v>559</v>
      </c>
    </row>
    <row r="539" spans="1:1">
      <c r="A539" t="s">
        <v>560</v>
      </c>
    </row>
    <row r="540" spans="1:1">
      <c r="A540" t="s">
        <v>561</v>
      </c>
    </row>
    <row r="541" spans="1:1">
      <c r="A541" t="s">
        <v>562</v>
      </c>
    </row>
    <row r="542" spans="1:1">
      <c r="A542" t="s">
        <v>563</v>
      </c>
    </row>
    <row r="543" spans="1:1">
      <c r="A543" t="s">
        <v>564</v>
      </c>
    </row>
    <row r="544" spans="1:1">
      <c r="A544" t="s">
        <v>565</v>
      </c>
    </row>
    <row r="545" spans="1:1">
      <c r="A545" t="s">
        <v>566</v>
      </c>
    </row>
    <row r="546" spans="1:1">
      <c r="A546" t="s">
        <v>567</v>
      </c>
    </row>
    <row r="547" spans="1:1">
      <c r="A547" t="s">
        <v>568</v>
      </c>
    </row>
    <row r="548" spans="1:1">
      <c r="A548" t="s">
        <v>569</v>
      </c>
    </row>
    <row r="549" spans="1:1">
      <c r="A549" t="s">
        <v>570</v>
      </c>
    </row>
    <row r="550" spans="1:1">
      <c r="A550" t="s">
        <v>571</v>
      </c>
    </row>
    <row r="551" spans="1:1">
      <c r="A551" t="s">
        <v>572</v>
      </c>
    </row>
    <row r="552" spans="1:1">
      <c r="A552" t="s">
        <v>573</v>
      </c>
    </row>
    <row r="553" spans="1:1">
      <c r="A553" t="s">
        <v>574</v>
      </c>
    </row>
    <row r="554" spans="1:1">
      <c r="A554" t="s">
        <v>575</v>
      </c>
    </row>
    <row r="555" spans="1:1">
      <c r="A555" t="s">
        <v>576</v>
      </c>
    </row>
    <row r="556" spans="1:1">
      <c r="A556" t="s">
        <v>577</v>
      </c>
    </row>
    <row r="557" spans="1:1">
      <c r="A557" t="s">
        <v>578</v>
      </c>
    </row>
    <row r="558" spans="1:1">
      <c r="A558" t="s">
        <v>579</v>
      </c>
    </row>
    <row r="559" spans="1:1">
      <c r="A559" t="s">
        <v>580</v>
      </c>
    </row>
    <row r="560" spans="1:1">
      <c r="A560" t="s">
        <v>581</v>
      </c>
    </row>
    <row r="561" spans="1:1">
      <c r="A561" t="s">
        <v>582</v>
      </c>
    </row>
    <row r="562" spans="1:1">
      <c r="A562" t="s">
        <v>583</v>
      </c>
    </row>
    <row r="563" spans="1:1">
      <c r="A563" t="s">
        <v>584</v>
      </c>
    </row>
    <row r="564" spans="1:1">
      <c r="A564" t="s">
        <v>585</v>
      </c>
    </row>
    <row r="565" spans="1:1">
      <c r="A565" t="s">
        <v>586</v>
      </c>
    </row>
    <row r="566" spans="1:1">
      <c r="A566" t="s">
        <v>587</v>
      </c>
    </row>
    <row r="567" spans="1:1">
      <c r="A567" t="s">
        <v>588</v>
      </c>
    </row>
    <row r="568" spans="1:1">
      <c r="A568" t="s">
        <v>589</v>
      </c>
    </row>
    <row r="569" spans="1:1">
      <c r="A569" t="s">
        <v>590</v>
      </c>
    </row>
    <row r="570" spans="1:1">
      <c r="A570" t="s">
        <v>591</v>
      </c>
    </row>
    <row r="571" spans="1:1">
      <c r="A571" t="s">
        <v>592</v>
      </c>
    </row>
    <row r="572" spans="1:1">
      <c r="A572" t="s">
        <v>593</v>
      </c>
    </row>
    <row r="573" spans="1:1">
      <c r="A573" t="s">
        <v>594</v>
      </c>
    </row>
    <row r="574" spans="1:1">
      <c r="A574" t="s">
        <v>595</v>
      </c>
    </row>
    <row r="575" spans="1:1">
      <c r="A575" t="s">
        <v>596</v>
      </c>
    </row>
    <row r="576" spans="1:1">
      <c r="A576" t="s">
        <v>597</v>
      </c>
    </row>
    <row r="577" spans="1:1">
      <c r="A577" t="s">
        <v>598</v>
      </c>
    </row>
    <row r="578" spans="1:1">
      <c r="A578" t="s">
        <v>599</v>
      </c>
    </row>
    <row r="579" spans="1:1">
      <c r="A579" t="s">
        <v>600</v>
      </c>
    </row>
    <row r="580" spans="1:1">
      <c r="A580" t="s">
        <v>601</v>
      </c>
    </row>
    <row r="581" spans="1:1">
      <c r="A581" t="s">
        <v>602</v>
      </c>
    </row>
    <row r="582" spans="1:1">
      <c r="A582" t="s">
        <v>603</v>
      </c>
    </row>
    <row r="583" spans="1:1">
      <c r="A583" t="s">
        <v>604</v>
      </c>
    </row>
    <row r="584" spans="1:1">
      <c r="A584" t="s">
        <v>605</v>
      </c>
    </row>
    <row r="585" spans="1:1">
      <c r="A585" t="s">
        <v>606</v>
      </c>
    </row>
    <row r="586" spans="1:1">
      <c r="A586" t="s">
        <v>607</v>
      </c>
    </row>
    <row r="587" spans="1:1">
      <c r="A587" t="s">
        <v>608</v>
      </c>
    </row>
    <row r="588" spans="1:1">
      <c r="A588" t="s">
        <v>609</v>
      </c>
    </row>
    <row r="589" spans="1:1">
      <c r="A589" t="s">
        <v>610</v>
      </c>
    </row>
    <row r="590" spans="1:1">
      <c r="A590" t="s">
        <v>611</v>
      </c>
    </row>
    <row r="591" spans="1:1">
      <c r="A591" t="s">
        <v>612</v>
      </c>
    </row>
    <row r="592" spans="1:1">
      <c r="A592" t="s">
        <v>613</v>
      </c>
    </row>
    <row r="593" spans="1:1">
      <c r="A593" t="s">
        <v>614</v>
      </c>
    </row>
    <row r="594" spans="1:1">
      <c r="A594" t="s">
        <v>615</v>
      </c>
    </row>
    <row r="595" spans="1:1">
      <c r="A595" t="s">
        <v>616</v>
      </c>
    </row>
    <row r="596" spans="1:1">
      <c r="A596" t="s">
        <v>617</v>
      </c>
    </row>
    <row r="597" spans="1:1">
      <c r="A597" t="s">
        <v>618</v>
      </c>
    </row>
    <row r="598" spans="1:1">
      <c r="A598" t="s">
        <v>619</v>
      </c>
    </row>
    <row r="599" spans="1:1">
      <c r="A599" t="s">
        <v>620</v>
      </c>
    </row>
    <row r="600" spans="1:1">
      <c r="A600" t="s">
        <v>621</v>
      </c>
    </row>
    <row r="601" spans="1:1">
      <c r="A601" t="s">
        <v>622</v>
      </c>
    </row>
    <row r="602" spans="1:1">
      <c r="A602" t="s">
        <v>623</v>
      </c>
    </row>
    <row r="603" spans="1:1">
      <c r="A603" t="s">
        <v>624</v>
      </c>
    </row>
    <row r="604" spans="1:1">
      <c r="A604" t="s">
        <v>625</v>
      </c>
    </row>
    <row r="605" spans="1:1">
      <c r="A605" t="s">
        <v>626</v>
      </c>
    </row>
    <row r="606" spans="1:1">
      <c r="A606" t="s">
        <v>627</v>
      </c>
    </row>
    <row r="607" spans="1:1">
      <c r="A607" t="s">
        <v>628</v>
      </c>
    </row>
    <row r="608" spans="1:1">
      <c r="A608" t="s">
        <v>629</v>
      </c>
    </row>
    <row r="609" spans="1:1">
      <c r="A609" t="s">
        <v>630</v>
      </c>
    </row>
    <row r="610" spans="1:1">
      <c r="A610" t="s">
        <v>631</v>
      </c>
    </row>
    <row r="611" spans="1:1">
      <c r="A611" t="s">
        <v>632</v>
      </c>
    </row>
    <row r="612" spans="1:1">
      <c r="A612" t="s">
        <v>633</v>
      </c>
    </row>
    <row r="613" spans="1:1">
      <c r="A613" t="s">
        <v>634</v>
      </c>
    </row>
    <row r="614" spans="1:1">
      <c r="A614" t="s">
        <v>635</v>
      </c>
    </row>
    <row r="615" spans="1:1">
      <c r="A615" t="s">
        <v>636</v>
      </c>
    </row>
    <row r="616" spans="1:1">
      <c r="A616" t="s">
        <v>637</v>
      </c>
    </row>
    <row r="617" spans="1:1">
      <c r="A617" t="s">
        <v>638</v>
      </c>
    </row>
    <row r="618" spans="1:1">
      <c r="A618" t="s">
        <v>639</v>
      </c>
    </row>
    <row r="619" spans="1:1">
      <c r="A619" t="s">
        <v>640</v>
      </c>
    </row>
    <row r="620" spans="1:1">
      <c r="A620" t="s">
        <v>641</v>
      </c>
    </row>
    <row r="621" spans="1:1">
      <c r="A621" t="s">
        <v>642</v>
      </c>
    </row>
    <row r="622" spans="1:1">
      <c r="A622" t="s">
        <v>643</v>
      </c>
    </row>
    <row r="623" spans="1:1">
      <c r="A623" t="s">
        <v>644</v>
      </c>
    </row>
    <row r="624" spans="1:1">
      <c r="A624" t="s">
        <v>645</v>
      </c>
    </row>
    <row r="625" spans="1:1">
      <c r="A625" t="s">
        <v>646</v>
      </c>
    </row>
    <row r="626" spans="1:1">
      <c r="A626" t="s">
        <v>647</v>
      </c>
    </row>
    <row r="627" spans="1:1">
      <c r="A627" t="s">
        <v>648</v>
      </c>
    </row>
    <row r="628" spans="1:1">
      <c r="A628" t="s">
        <v>649</v>
      </c>
    </row>
    <row r="629" spans="1:1">
      <c r="A629" t="s">
        <v>650</v>
      </c>
    </row>
    <row r="630" spans="1:1">
      <c r="A630" t="s">
        <v>651</v>
      </c>
    </row>
    <row r="631" spans="1:1">
      <c r="A631" t="s">
        <v>652</v>
      </c>
    </row>
    <row r="632" spans="1:1">
      <c r="A632" t="s">
        <v>653</v>
      </c>
    </row>
    <row r="633" spans="1:1">
      <c r="A633" t="s">
        <v>654</v>
      </c>
    </row>
    <row r="634" spans="1:1">
      <c r="A634" t="s">
        <v>655</v>
      </c>
    </row>
    <row r="635" spans="1:1">
      <c r="A635" t="s">
        <v>656</v>
      </c>
    </row>
    <row r="636" spans="1:1">
      <c r="A636" t="s">
        <v>657</v>
      </c>
    </row>
    <row r="637" spans="1:1">
      <c r="A637" t="s">
        <v>658</v>
      </c>
    </row>
    <row r="638" spans="1:1">
      <c r="A638" t="s">
        <v>659</v>
      </c>
    </row>
    <row r="639" spans="1:1">
      <c r="A639" t="s">
        <v>660</v>
      </c>
    </row>
    <row r="640" spans="1:1">
      <c r="A640" t="s">
        <v>661</v>
      </c>
    </row>
    <row r="641" spans="1:1">
      <c r="A641" t="s">
        <v>662</v>
      </c>
    </row>
    <row r="642" spans="1:1">
      <c r="A642" t="s">
        <v>663</v>
      </c>
    </row>
    <row r="643" spans="1:1">
      <c r="A643" t="s">
        <v>664</v>
      </c>
    </row>
    <row r="644" spans="1:1">
      <c r="A644" t="s">
        <v>665</v>
      </c>
    </row>
    <row r="645" spans="1:1">
      <c r="A645" t="s">
        <v>666</v>
      </c>
    </row>
    <row r="646" spans="1:1">
      <c r="A646" t="s">
        <v>667</v>
      </c>
    </row>
    <row r="647" spans="1:1">
      <c r="A647" t="s">
        <v>668</v>
      </c>
    </row>
    <row r="648" spans="1:1">
      <c r="A648" t="s">
        <v>669</v>
      </c>
    </row>
    <row r="649" spans="1:1">
      <c r="A649" t="s">
        <v>670</v>
      </c>
    </row>
    <row r="650" spans="1:1">
      <c r="A650" t="s">
        <v>671</v>
      </c>
    </row>
    <row r="651" spans="1:1">
      <c r="A651" t="s">
        <v>672</v>
      </c>
    </row>
    <row r="652" spans="1:1">
      <c r="A652" t="s">
        <v>673</v>
      </c>
    </row>
    <row r="653" spans="1:1">
      <c r="A653" t="s">
        <v>674</v>
      </c>
    </row>
    <row r="654" spans="1:1">
      <c r="A654" t="s">
        <v>675</v>
      </c>
    </row>
    <row r="655" spans="1:1">
      <c r="A655" t="s">
        <v>676</v>
      </c>
    </row>
    <row r="656" spans="1:1">
      <c r="A656" t="s">
        <v>677</v>
      </c>
    </row>
    <row r="657" spans="1:1">
      <c r="A657" t="s">
        <v>678</v>
      </c>
    </row>
    <row r="658" spans="1:1">
      <c r="A658" t="s">
        <v>679</v>
      </c>
    </row>
    <row r="659" spans="1:1">
      <c r="A659" t="s">
        <v>680</v>
      </c>
    </row>
    <row r="660" spans="1:1">
      <c r="A660" t="s">
        <v>681</v>
      </c>
    </row>
    <row r="661" spans="1:1">
      <c r="A661" t="s">
        <v>682</v>
      </c>
    </row>
    <row r="662" spans="1:1">
      <c r="A662" t="s">
        <v>683</v>
      </c>
    </row>
    <row r="663" spans="1:1">
      <c r="A663" t="s">
        <v>684</v>
      </c>
    </row>
    <row r="664" spans="1:1">
      <c r="A664" t="s">
        <v>685</v>
      </c>
    </row>
    <row r="665" spans="1:1">
      <c r="A665" t="s">
        <v>686</v>
      </c>
    </row>
    <row r="666" spans="1:1">
      <c r="A666" t="s">
        <v>687</v>
      </c>
    </row>
    <row r="667" spans="1:1">
      <c r="A667" t="s">
        <v>688</v>
      </c>
    </row>
    <row r="668" spans="1:1">
      <c r="A668" t="s">
        <v>689</v>
      </c>
    </row>
    <row r="669" spans="1:1">
      <c r="A669" t="s">
        <v>690</v>
      </c>
    </row>
    <row r="670" spans="1:1">
      <c r="A670" t="s">
        <v>691</v>
      </c>
    </row>
    <row r="671" spans="1:1">
      <c r="A671" t="s">
        <v>692</v>
      </c>
    </row>
    <row r="672" spans="1:1">
      <c r="A672" t="s">
        <v>693</v>
      </c>
    </row>
    <row r="673" spans="1:1">
      <c r="A673" t="s">
        <v>694</v>
      </c>
    </row>
    <row r="674" spans="1:1">
      <c r="A674" t="s">
        <v>695</v>
      </c>
    </row>
    <row r="675" spans="1:1">
      <c r="A675" t="s">
        <v>696</v>
      </c>
    </row>
    <row r="676" spans="1:1">
      <c r="A676" t="s">
        <v>697</v>
      </c>
    </row>
    <row r="677" spans="1:1">
      <c r="A677" t="s">
        <v>698</v>
      </c>
    </row>
    <row r="678" spans="1:1">
      <c r="A678" t="s">
        <v>699</v>
      </c>
    </row>
    <row r="679" spans="1:1">
      <c r="A679" t="s">
        <v>700</v>
      </c>
    </row>
    <row r="680" spans="1:1">
      <c r="A680" t="s">
        <v>701</v>
      </c>
    </row>
    <row r="681" spans="1:1">
      <c r="A681" t="s">
        <v>702</v>
      </c>
    </row>
    <row r="682" spans="1:1">
      <c r="A682" t="s">
        <v>703</v>
      </c>
    </row>
    <row r="683" spans="1:1">
      <c r="A683" t="s">
        <v>704</v>
      </c>
    </row>
    <row r="684" spans="1:1">
      <c r="A684" t="s">
        <v>705</v>
      </c>
    </row>
    <row r="685" spans="1:1">
      <c r="A685" t="s">
        <v>706</v>
      </c>
    </row>
    <row r="686" spans="1:1">
      <c r="A686" t="s">
        <v>707</v>
      </c>
    </row>
    <row r="687" spans="1:1">
      <c r="A687" t="s">
        <v>708</v>
      </c>
    </row>
    <row r="688" spans="1:1">
      <c r="A688" t="s">
        <v>709</v>
      </c>
    </row>
    <row r="689" spans="1:1">
      <c r="A689" t="s">
        <v>710</v>
      </c>
    </row>
    <row r="690" spans="1:1">
      <c r="A690" t="s">
        <v>711</v>
      </c>
    </row>
    <row r="691" spans="1:1">
      <c r="A691" t="s">
        <v>712</v>
      </c>
    </row>
    <row r="692" spans="1:1">
      <c r="A692" t="s">
        <v>713</v>
      </c>
    </row>
    <row r="693" spans="1:1">
      <c r="A693" t="s">
        <v>714</v>
      </c>
    </row>
    <row r="694" spans="1:1">
      <c r="A694" t="s">
        <v>715</v>
      </c>
    </row>
    <row r="695" spans="1:1">
      <c r="A695" t="s">
        <v>716</v>
      </c>
    </row>
    <row r="696" spans="1:1">
      <c r="A696" t="s">
        <v>717</v>
      </c>
    </row>
    <row r="697" spans="1:1">
      <c r="A697" t="s">
        <v>718</v>
      </c>
    </row>
    <row r="698" spans="1:1">
      <c r="A698" t="s">
        <v>719</v>
      </c>
    </row>
    <row r="699" spans="1:1">
      <c r="A699" t="s">
        <v>720</v>
      </c>
    </row>
    <row r="700" spans="1:1">
      <c r="A700" t="s">
        <v>721</v>
      </c>
    </row>
    <row r="701" spans="1:1">
      <c r="A701" t="s">
        <v>722</v>
      </c>
    </row>
    <row r="702" spans="1:1">
      <c r="A702" t="s">
        <v>723</v>
      </c>
    </row>
    <row r="703" spans="1:1">
      <c r="A703" t="s">
        <v>724</v>
      </c>
    </row>
    <row r="704" spans="1:1">
      <c r="A704" t="s">
        <v>725</v>
      </c>
    </row>
    <row r="705" spans="1:1">
      <c r="A705" t="s">
        <v>726</v>
      </c>
    </row>
    <row r="706" spans="1:1">
      <c r="A706" t="s">
        <v>727</v>
      </c>
    </row>
    <row r="707" spans="1:1">
      <c r="A707" t="s">
        <v>728</v>
      </c>
    </row>
    <row r="708" spans="1:1">
      <c r="A708" t="s">
        <v>729</v>
      </c>
    </row>
    <row r="709" spans="1:1">
      <c r="A709" t="s">
        <v>730</v>
      </c>
    </row>
    <row r="710" spans="1:1">
      <c r="A710" t="s">
        <v>731</v>
      </c>
    </row>
    <row r="711" spans="1:1">
      <c r="A711" t="s">
        <v>732</v>
      </c>
    </row>
    <row r="712" spans="1:1">
      <c r="A712" t="s">
        <v>733</v>
      </c>
    </row>
    <row r="713" spans="1:1">
      <c r="A713" t="s">
        <v>734</v>
      </c>
    </row>
    <row r="714" spans="1:1">
      <c r="A714" t="s">
        <v>735</v>
      </c>
    </row>
    <row r="715" spans="1:1">
      <c r="A715" t="s">
        <v>736</v>
      </c>
    </row>
    <row r="716" spans="1:1">
      <c r="A716" t="s">
        <v>737</v>
      </c>
    </row>
    <row r="717" spans="1:1">
      <c r="A717" t="s">
        <v>738</v>
      </c>
    </row>
    <row r="718" spans="1:1">
      <c r="A718" t="s">
        <v>739</v>
      </c>
    </row>
    <row r="719" spans="1:1">
      <c r="A719" t="s">
        <v>740</v>
      </c>
    </row>
    <row r="720" spans="1:1">
      <c r="A720" t="s">
        <v>741</v>
      </c>
    </row>
    <row r="721" spans="1:1">
      <c r="A721" t="s">
        <v>742</v>
      </c>
    </row>
    <row r="722" spans="1:1">
      <c r="A722" t="s">
        <v>743</v>
      </c>
    </row>
    <row r="723" spans="1:1">
      <c r="A723" t="s">
        <v>744</v>
      </c>
    </row>
    <row r="724" spans="1:1">
      <c r="A724" t="s">
        <v>745</v>
      </c>
    </row>
    <row r="725" spans="1:1">
      <c r="A725" t="s">
        <v>746</v>
      </c>
    </row>
    <row r="726" spans="1:1">
      <c r="A726" t="s">
        <v>747</v>
      </c>
    </row>
    <row r="727" spans="1:1">
      <c r="A727" t="s">
        <v>748</v>
      </c>
    </row>
    <row r="728" spans="1:1">
      <c r="A728" t="s">
        <v>749</v>
      </c>
    </row>
    <row r="729" spans="1:1">
      <c r="A729" t="s">
        <v>750</v>
      </c>
    </row>
    <row r="730" spans="1:1">
      <c r="A730" t="s">
        <v>751</v>
      </c>
    </row>
    <row r="731" spans="1:1">
      <c r="A731" t="s">
        <v>752</v>
      </c>
    </row>
    <row r="732" spans="1:1">
      <c r="A732" t="s">
        <v>753</v>
      </c>
    </row>
    <row r="733" spans="1:1">
      <c r="A733" t="s">
        <v>754</v>
      </c>
    </row>
    <row r="734" spans="1:1">
      <c r="A734" t="s">
        <v>755</v>
      </c>
    </row>
    <row r="735" spans="1:1">
      <c r="A735" t="s">
        <v>756</v>
      </c>
    </row>
    <row r="736" spans="1:1">
      <c r="A736" t="s">
        <v>757</v>
      </c>
    </row>
    <row r="737" spans="1:1">
      <c r="A737" t="s">
        <v>758</v>
      </c>
    </row>
    <row r="738" spans="1:1">
      <c r="A738" t="s">
        <v>759</v>
      </c>
    </row>
    <row r="739" spans="1:1">
      <c r="A739" t="s">
        <v>760</v>
      </c>
    </row>
    <row r="740" spans="1:1">
      <c r="A740" t="s">
        <v>761</v>
      </c>
    </row>
    <row r="741" spans="1:1">
      <c r="A741" t="s">
        <v>762</v>
      </c>
    </row>
    <row r="742" spans="1:1">
      <c r="A742" t="s">
        <v>763</v>
      </c>
    </row>
    <row r="743" spans="1:1">
      <c r="A743" t="s">
        <v>764</v>
      </c>
    </row>
    <row r="744" spans="1:1">
      <c r="A744" t="s">
        <v>765</v>
      </c>
    </row>
    <row r="745" spans="1:1">
      <c r="A745" t="s">
        <v>766</v>
      </c>
    </row>
    <row r="746" spans="1:1">
      <c r="A746" t="s">
        <v>767</v>
      </c>
    </row>
    <row r="747" spans="1:1">
      <c r="A747" t="s">
        <v>768</v>
      </c>
    </row>
    <row r="748" spans="1:1">
      <c r="A748" t="s">
        <v>769</v>
      </c>
    </row>
    <row r="749" spans="1:1">
      <c r="A749" t="s">
        <v>770</v>
      </c>
    </row>
    <row r="750" spans="1:1">
      <c r="A750" t="s">
        <v>771</v>
      </c>
    </row>
    <row r="751" spans="1:1">
      <c r="A751" t="s">
        <v>772</v>
      </c>
    </row>
    <row r="752" spans="1:1">
      <c r="A752" t="s">
        <v>773</v>
      </c>
    </row>
    <row r="753" spans="1:1">
      <c r="A753" t="s">
        <v>774</v>
      </c>
    </row>
    <row r="754" spans="1:1">
      <c r="A754" t="s">
        <v>775</v>
      </c>
    </row>
    <row r="755" spans="1:1">
      <c r="A755" t="s">
        <v>776</v>
      </c>
    </row>
    <row r="756" spans="1:1">
      <c r="A756" t="s">
        <v>777</v>
      </c>
    </row>
    <row r="757" spans="1:1">
      <c r="A757" t="s">
        <v>778</v>
      </c>
    </row>
    <row r="758" spans="1:1">
      <c r="A758" t="s">
        <v>779</v>
      </c>
    </row>
    <row r="759" spans="1:1">
      <c r="A759" t="s">
        <v>780</v>
      </c>
    </row>
    <row r="760" spans="1:1">
      <c r="A760" t="s">
        <v>781</v>
      </c>
    </row>
    <row r="761" spans="1:1">
      <c r="A761" t="s">
        <v>782</v>
      </c>
    </row>
    <row r="762" spans="1:1">
      <c r="A762" t="s">
        <v>783</v>
      </c>
    </row>
    <row r="763" spans="1:1">
      <c r="A763" t="s">
        <v>784</v>
      </c>
    </row>
    <row r="764" spans="1:1">
      <c r="A764" t="s">
        <v>785</v>
      </c>
    </row>
    <row r="765" spans="1:1">
      <c r="A765" t="s">
        <v>786</v>
      </c>
    </row>
    <row r="766" spans="1:1">
      <c r="A766" t="s">
        <v>787</v>
      </c>
    </row>
    <row r="767" spans="1:1">
      <c r="A767" t="s">
        <v>788</v>
      </c>
    </row>
    <row r="768" spans="1:1">
      <c r="A768" t="s">
        <v>789</v>
      </c>
    </row>
    <row r="769" spans="1:1">
      <c r="A769" t="s">
        <v>790</v>
      </c>
    </row>
    <row r="770" spans="1:1">
      <c r="A770" t="s">
        <v>791</v>
      </c>
    </row>
    <row r="771" spans="1:1">
      <c r="A771" t="s">
        <v>792</v>
      </c>
    </row>
    <row r="772" spans="1:1">
      <c r="A772" t="s">
        <v>793</v>
      </c>
    </row>
    <row r="773" spans="1:1">
      <c r="A773" t="s">
        <v>794</v>
      </c>
    </row>
    <row r="774" spans="1:1">
      <c r="A774" t="s">
        <v>795</v>
      </c>
    </row>
    <row r="775" spans="1:1">
      <c r="A775" t="s">
        <v>796</v>
      </c>
    </row>
    <row r="776" spans="1:1">
      <c r="A776" t="s">
        <v>797</v>
      </c>
    </row>
    <row r="777" spans="1:1">
      <c r="A777" t="s">
        <v>798</v>
      </c>
    </row>
    <row r="778" spans="1:1">
      <c r="A778" t="s">
        <v>799</v>
      </c>
    </row>
    <row r="779" spans="1:1">
      <c r="A779" t="s">
        <v>800</v>
      </c>
    </row>
    <row r="780" spans="1:1">
      <c r="A780" t="s">
        <v>801</v>
      </c>
    </row>
    <row r="781" spans="1:1">
      <c r="A781" t="s">
        <v>802</v>
      </c>
    </row>
    <row r="782" spans="1:1">
      <c r="A782" t="s">
        <v>803</v>
      </c>
    </row>
    <row r="783" spans="1:1">
      <c r="A783" t="s">
        <v>804</v>
      </c>
    </row>
    <row r="784" spans="1:1">
      <c r="A784" t="s">
        <v>805</v>
      </c>
    </row>
    <row r="785" spans="1:1">
      <c r="A785" t="s">
        <v>806</v>
      </c>
    </row>
    <row r="786" spans="1:1">
      <c r="A786" t="s">
        <v>807</v>
      </c>
    </row>
    <row r="787" spans="1:1">
      <c r="A787" t="s">
        <v>808</v>
      </c>
    </row>
    <row r="788" spans="1:1">
      <c r="A788" t="s">
        <v>809</v>
      </c>
    </row>
    <row r="789" spans="1:1">
      <c r="A789" t="s">
        <v>810</v>
      </c>
    </row>
    <row r="790" spans="1:1">
      <c r="A790" t="s">
        <v>811</v>
      </c>
    </row>
    <row r="791" spans="1:1">
      <c r="A791" t="s">
        <v>812</v>
      </c>
    </row>
    <row r="792" spans="1:1">
      <c r="A792" t="s">
        <v>813</v>
      </c>
    </row>
    <row r="793" spans="1:1">
      <c r="A793" t="s">
        <v>814</v>
      </c>
    </row>
    <row r="794" spans="1:1">
      <c r="A794" t="s">
        <v>815</v>
      </c>
    </row>
    <row r="795" spans="1:1">
      <c r="A795" t="s">
        <v>816</v>
      </c>
    </row>
    <row r="796" spans="1:1">
      <c r="A796" t="s">
        <v>817</v>
      </c>
    </row>
    <row r="797" spans="1:1">
      <c r="A797" t="s">
        <v>818</v>
      </c>
    </row>
    <row r="798" spans="1:1">
      <c r="A798" t="s">
        <v>819</v>
      </c>
    </row>
    <row r="799" spans="1:1">
      <c r="A799" t="s">
        <v>820</v>
      </c>
    </row>
    <row r="800" spans="1:1">
      <c r="A800" t="s">
        <v>821</v>
      </c>
    </row>
    <row r="801" spans="1:1">
      <c r="A801" t="s">
        <v>822</v>
      </c>
    </row>
    <row r="802" spans="1:1">
      <c r="A802" t="s">
        <v>823</v>
      </c>
    </row>
    <row r="803" spans="1:1">
      <c r="A803" t="s">
        <v>824</v>
      </c>
    </row>
    <row r="804" spans="1:1">
      <c r="A804" t="s">
        <v>825</v>
      </c>
    </row>
    <row r="805" spans="1:1">
      <c r="A805" t="s">
        <v>826</v>
      </c>
    </row>
    <row r="806" spans="1:1">
      <c r="A806" t="s">
        <v>827</v>
      </c>
    </row>
    <row r="807" spans="1:1">
      <c r="A807" t="s">
        <v>828</v>
      </c>
    </row>
    <row r="808" spans="1:1">
      <c r="A808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Dragon Darts Version 2</vt:lpstr>
      <vt:lpstr>Dragon Darts Deprecated</vt:lpstr>
      <vt:lpstr>original Flame Burst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2026-06-05T18:22:17Z</dcterms:modified>
</cp:coreProperties>
</file>