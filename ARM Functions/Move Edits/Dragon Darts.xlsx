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pbox\ROM\3ds\USUM ARM research\Move Edits\"/>
    </mc:Choice>
  </mc:AlternateContent>
  <xr:revisionPtr revIDLastSave="0" documentId="13_ncr:1_{C27A3133-C257-4443-99C3-8B58B1E4D860}" xr6:coauthVersionLast="47" xr6:coauthVersionMax="47" xr10:uidLastSave="{00000000-0000-0000-0000-000000000000}"/>
  <bookViews>
    <workbookView xWindow="0" yWindow="0" windowWidth="16457" windowHeight="17914" xr2:uid="{FFF8744C-F0B4-428F-8CA7-718350CADE02}"/>
  </bookViews>
  <sheets>
    <sheet name="Edit" sheetId="12" r:id="rId1"/>
    <sheet name="original Flame Burst" sheetId="13" r:id="rId2"/>
    <sheet name="Table of IDs" sheetId="1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12" l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l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C114" i="12"/>
  <c r="C67" i="12"/>
  <c r="A114" i="12" l="1"/>
  <c r="A115" i="12" s="1"/>
  <c r="A116" i="12" s="1"/>
  <c r="A117" i="12" s="1"/>
  <c r="A118" i="12" s="1"/>
  <c r="A119" i="12" s="1"/>
  <c r="A120" i="12" s="1"/>
  <c r="A121" i="12" s="1"/>
  <c r="A122" i="12" s="1"/>
  <c r="C109" i="12"/>
  <c r="C161" i="12"/>
  <c r="C163" i="12" s="1"/>
  <c r="C136" i="12" l="1"/>
  <c r="C72" i="13" l="1"/>
  <c r="C33" i="13"/>
  <c r="C21" i="13"/>
  <c r="C17" i="13"/>
  <c r="C9" i="13"/>
  <c r="A3" i="13"/>
  <c r="A4" i="13" s="1"/>
  <c r="A5" i="13" s="1"/>
  <c r="A6" i="13" s="1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C116" i="12"/>
  <c r="C57" i="13" l="1"/>
  <c r="A68" i="13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C36" i="13"/>
  <c r="A4" i="12" l="1"/>
  <c r="A5" i="12" s="1"/>
  <c r="A6" i="12" s="1"/>
  <c r="A7" i="12" s="1"/>
  <c r="B3" i="12"/>
  <c r="E18" i="11" l="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1" i="11"/>
  <c r="C102" i="12" l="1"/>
  <c r="C121" i="12"/>
  <c r="C47" i="12" l="1"/>
  <c r="C69" i="12"/>
  <c r="C44" i="12" l="1"/>
  <c r="C28" i="12"/>
  <c r="C22" i="12"/>
  <c r="C87" i="12" l="1"/>
  <c r="C32" i="12"/>
  <c r="A125" i="12" l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l="1"/>
  <c r="A136" i="12" s="1"/>
  <c r="A137" i="12" l="1"/>
  <c r="C130" i="12"/>
  <c r="C14" i="12" l="1"/>
  <c r="C103" i="12"/>
  <c r="C134" i="12"/>
  <c r="A141" i="12"/>
  <c r="A142" i="12" l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l="1"/>
  <c r="A160" i="12" s="1"/>
  <c r="A161" i="12" s="1"/>
  <c r="A162" i="12" s="1"/>
  <c r="A163" i="12" s="1"/>
  <c r="C147" i="12" s="1"/>
  <c r="C154" i="12" l="1"/>
</calcChain>
</file>

<file path=xl/sharedStrings.xml><?xml version="1.0" encoding="utf-8"?>
<sst xmlns="http://schemas.openxmlformats.org/spreadsheetml/2006/main" count="1358" uniqueCount="1193">
  <si>
    <t>Address</t>
  </si>
  <si>
    <t>Hex</t>
  </si>
  <si>
    <t>instruction</t>
  </si>
  <si>
    <t>notes</t>
  </si>
  <si>
    <t>Normal</t>
  </si>
  <si>
    <t>Fighting</t>
  </si>
  <si>
    <t>Flying</t>
  </si>
  <si>
    <t>Poison</t>
  </si>
  <si>
    <t>Ground</t>
  </si>
  <si>
    <t>Rock</t>
  </si>
  <si>
    <t>Bug</t>
  </si>
  <si>
    <t>Ghost</t>
  </si>
  <si>
    <t>Steel</t>
  </si>
  <si>
    <t>Fire</t>
  </si>
  <si>
    <t>Water</t>
  </si>
  <si>
    <t>Grass</t>
  </si>
  <si>
    <t>Electric</t>
  </si>
  <si>
    <t>Psychic</t>
  </si>
  <si>
    <t>Ice</t>
  </si>
  <si>
    <t>Dragon</t>
  </si>
  <si>
    <t>Dark</t>
  </si>
  <si>
    <t>Fairy</t>
  </si>
  <si>
    <t>0000</t>
  </si>
  <si>
    <t>0100</t>
  </si>
  <si>
    <t>0200</t>
  </si>
  <si>
    <t>0300</t>
  </si>
  <si>
    <t>0400</t>
  </si>
  <si>
    <t>0500</t>
  </si>
  <si>
    <t>0600</t>
  </si>
  <si>
    <t>0700</t>
  </si>
  <si>
    <t>0800</t>
  </si>
  <si>
    <t>0900</t>
  </si>
  <si>
    <t>0A00</t>
  </si>
  <si>
    <t>0B00</t>
  </si>
  <si>
    <t>0C00</t>
  </si>
  <si>
    <t>0D00</t>
  </si>
  <si>
    <t>0E00</t>
  </si>
  <si>
    <t>0F00</t>
  </si>
  <si>
    <t>1000</t>
  </si>
  <si>
    <t>1100</t>
  </si>
  <si>
    <t>1200</t>
  </si>
  <si>
    <t>1300</t>
  </si>
  <si>
    <t>1400</t>
  </si>
  <si>
    <t>1500</t>
  </si>
  <si>
    <t>1600</t>
  </si>
  <si>
    <t>1700</t>
  </si>
  <si>
    <t>1800</t>
  </si>
  <si>
    <t>1900</t>
  </si>
  <si>
    <t>1A00</t>
  </si>
  <si>
    <t>1B00</t>
  </si>
  <si>
    <t>1C00</t>
  </si>
  <si>
    <t>1D00</t>
  </si>
  <si>
    <t>1E00</t>
  </si>
  <si>
    <t>1F00</t>
  </si>
  <si>
    <t>2000</t>
  </si>
  <si>
    <t>2100</t>
  </si>
  <si>
    <t>2200</t>
  </si>
  <si>
    <t>2300</t>
  </si>
  <si>
    <t>2400</t>
  </si>
  <si>
    <t>2500</t>
  </si>
  <si>
    <t>2600</t>
  </si>
  <si>
    <t>2700</t>
  </si>
  <si>
    <t>2800</t>
  </si>
  <si>
    <t>2900</t>
  </si>
  <si>
    <t>2A00</t>
  </si>
  <si>
    <t>2B00</t>
  </si>
  <si>
    <t>2C00</t>
  </si>
  <si>
    <t>2D00</t>
  </si>
  <si>
    <t>2E00</t>
  </si>
  <si>
    <t>2F00</t>
  </si>
  <si>
    <t>3000</t>
  </si>
  <si>
    <t>3100</t>
  </si>
  <si>
    <t>3200</t>
  </si>
  <si>
    <t>3300</t>
  </si>
  <si>
    <t>3400</t>
  </si>
  <si>
    <t>3500</t>
  </si>
  <si>
    <t>3600</t>
  </si>
  <si>
    <t>3700</t>
  </si>
  <si>
    <t>3800</t>
  </si>
  <si>
    <t>3900</t>
  </si>
  <si>
    <t>3A00</t>
  </si>
  <si>
    <t>3B00</t>
  </si>
  <si>
    <t>3C00</t>
  </si>
  <si>
    <t>3D00</t>
  </si>
  <si>
    <t>3E00</t>
  </si>
  <si>
    <t>3F00</t>
  </si>
  <si>
    <t>4000</t>
  </si>
  <si>
    <t>4100</t>
  </si>
  <si>
    <t>4200</t>
  </si>
  <si>
    <t>4300</t>
  </si>
  <si>
    <t>4400</t>
  </si>
  <si>
    <t>4500</t>
  </si>
  <si>
    <t>4600</t>
  </si>
  <si>
    <t>4700</t>
  </si>
  <si>
    <t>4800</t>
  </si>
  <si>
    <t>4900</t>
  </si>
  <si>
    <t>4A00</t>
  </si>
  <si>
    <t>4B00</t>
  </si>
  <si>
    <t>4C00</t>
  </si>
  <si>
    <t>4D00</t>
  </si>
  <si>
    <t>4E00</t>
  </si>
  <si>
    <t>4F00</t>
  </si>
  <si>
    <t>5000</t>
  </si>
  <si>
    <t>5100</t>
  </si>
  <si>
    <t>5200</t>
  </si>
  <si>
    <t>5300</t>
  </si>
  <si>
    <t>5400</t>
  </si>
  <si>
    <t>5500</t>
  </si>
  <si>
    <t>5600</t>
  </si>
  <si>
    <t>5700</t>
  </si>
  <si>
    <t>5800</t>
  </si>
  <si>
    <t>5900</t>
  </si>
  <si>
    <t>5A00</t>
  </si>
  <si>
    <t>5B00</t>
  </si>
  <si>
    <t>5C00</t>
  </si>
  <si>
    <t>5D00</t>
  </si>
  <si>
    <t>5E00</t>
  </si>
  <si>
    <t>5F00</t>
  </si>
  <si>
    <t>6000</t>
  </si>
  <si>
    <t>6100</t>
  </si>
  <si>
    <t>6200</t>
  </si>
  <si>
    <t>6300</t>
  </si>
  <si>
    <t>6400</t>
  </si>
  <si>
    <t>6500</t>
  </si>
  <si>
    <t>6600</t>
  </si>
  <si>
    <t>6700</t>
  </si>
  <si>
    <t>6800</t>
  </si>
  <si>
    <t>6900</t>
  </si>
  <si>
    <t>6A00</t>
  </si>
  <si>
    <t>6B00</t>
  </si>
  <si>
    <t>6C00</t>
  </si>
  <si>
    <t>6D00</t>
  </si>
  <si>
    <t>6E00</t>
  </si>
  <si>
    <t>6F00</t>
  </si>
  <si>
    <t>7000</t>
  </si>
  <si>
    <t>7100</t>
  </si>
  <si>
    <t>7200</t>
  </si>
  <si>
    <t>7300</t>
  </si>
  <si>
    <t>7400</t>
  </si>
  <si>
    <t>7500</t>
  </si>
  <si>
    <t>7600</t>
  </si>
  <si>
    <t>7700</t>
  </si>
  <si>
    <t>7800</t>
  </si>
  <si>
    <t>7900</t>
  </si>
  <si>
    <t>7A00</t>
  </si>
  <si>
    <t>7B00</t>
  </si>
  <si>
    <t>7C00</t>
  </si>
  <si>
    <t>7D00</t>
  </si>
  <si>
    <t>7E00</t>
  </si>
  <si>
    <t>7F00</t>
  </si>
  <si>
    <t>8000</t>
  </si>
  <si>
    <t>8100</t>
  </si>
  <si>
    <t>8200</t>
  </si>
  <si>
    <t>8300</t>
  </si>
  <si>
    <t>8400</t>
  </si>
  <si>
    <t>8500</t>
  </si>
  <si>
    <t>8600</t>
  </si>
  <si>
    <t>8700</t>
  </si>
  <si>
    <t>8800</t>
  </si>
  <si>
    <t>8900</t>
  </si>
  <si>
    <t>8A00</t>
  </si>
  <si>
    <t>8B00</t>
  </si>
  <si>
    <t>8C00</t>
  </si>
  <si>
    <t>8D00</t>
  </si>
  <si>
    <t>8E00</t>
  </si>
  <si>
    <t>8F00</t>
  </si>
  <si>
    <t>9000</t>
  </si>
  <si>
    <t>9100</t>
  </si>
  <si>
    <t>9200</t>
  </si>
  <si>
    <t>9300</t>
  </si>
  <si>
    <t>9400</t>
  </si>
  <si>
    <t>9500</t>
  </si>
  <si>
    <t>9600</t>
  </si>
  <si>
    <t>9700</t>
  </si>
  <si>
    <t>9800</t>
  </si>
  <si>
    <t>9900</t>
  </si>
  <si>
    <t>9A00</t>
  </si>
  <si>
    <t>9B00</t>
  </si>
  <si>
    <t>9C00</t>
  </si>
  <si>
    <t>9D00</t>
  </si>
  <si>
    <t>9E00</t>
  </si>
  <si>
    <t>9F00</t>
  </si>
  <si>
    <t>A000</t>
  </si>
  <si>
    <t>A100</t>
  </si>
  <si>
    <t>A200</t>
  </si>
  <si>
    <t>A300</t>
  </si>
  <si>
    <t>A400</t>
  </si>
  <si>
    <t>A500</t>
  </si>
  <si>
    <t>A600</t>
  </si>
  <si>
    <t>A700</t>
  </si>
  <si>
    <t>A800</t>
  </si>
  <si>
    <t>A900</t>
  </si>
  <si>
    <t>AA00</t>
  </si>
  <si>
    <t>AB00</t>
  </si>
  <si>
    <t>AC00</t>
  </si>
  <si>
    <t>AD00</t>
  </si>
  <si>
    <t>AE00</t>
  </si>
  <si>
    <t>AF00</t>
  </si>
  <si>
    <t>B000</t>
  </si>
  <si>
    <t>B100</t>
  </si>
  <si>
    <t>B200</t>
  </si>
  <si>
    <t>B300</t>
  </si>
  <si>
    <t>B400</t>
  </si>
  <si>
    <t>B500</t>
  </si>
  <si>
    <t>B600</t>
  </si>
  <si>
    <t>B700</t>
  </si>
  <si>
    <t>B800</t>
  </si>
  <si>
    <t>B900</t>
  </si>
  <si>
    <t>BA00</t>
  </si>
  <si>
    <t>BB00</t>
  </si>
  <si>
    <t>BC00</t>
  </si>
  <si>
    <t>BD00</t>
  </si>
  <si>
    <t>BE00</t>
  </si>
  <si>
    <t>BF00</t>
  </si>
  <si>
    <t>C000</t>
  </si>
  <si>
    <t>C100</t>
  </si>
  <si>
    <t>C200</t>
  </si>
  <si>
    <t>C300</t>
  </si>
  <si>
    <t>C400</t>
  </si>
  <si>
    <t>C500</t>
  </si>
  <si>
    <t>C600</t>
  </si>
  <si>
    <t>C700</t>
  </si>
  <si>
    <t>C800</t>
  </si>
  <si>
    <t>C900</t>
  </si>
  <si>
    <t>CA00</t>
  </si>
  <si>
    <t>CB00</t>
  </si>
  <si>
    <t>CC00</t>
  </si>
  <si>
    <t>CD00</t>
  </si>
  <si>
    <t>CE00</t>
  </si>
  <si>
    <t>CF00</t>
  </si>
  <si>
    <t>D000</t>
  </si>
  <si>
    <t>D100</t>
  </si>
  <si>
    <t>D200</t>
  </si>
  <si>
    <t>D300</t>
  </si>
  <si>
    <t>D400</t>
  </si>
  <si>
    <t>D500</t>
  </si>
  <si>
    <t>D600</t>
  </si>
  <si>
    <t>D700</t>
  </si>
  <si>
    <t>D800</t>
  </si>
  <si>
    <t>D900</t>
  </si>
  <si>
    <t>DA00</t>
  </si>
  <si>
    <t>DB00</t>
  </si>
  <si>
    <t>DC00</t>
  </si>
  <si>
    <t>DD00</t>
  </si>
  <si>
    <t>DE00</t>
  </si>
  <si>
    <t>DF00</t>
  </si>
  <si>
    <t>E000</t>
  </si>
  <si>
    <t>E100</t>
  </si>
  <si>
    <t>E200</t>
  </si>
  <si>
    <t>E300</t>
  </si>
  <si>
    <t>E400</t>
  </si>
  <si>
    <t>E500</t>
  </si>
  <si>
    <t>E600</t>
  </si>
  <si>
    <t>E700</t>
  </si>
  <si>
    <t>E800</t>
  </si>
  <si>
    <t>E900</t>
  </si>
  <si>
    <t>EA00</t>
  </si>
  <si>
    <t>EB00</t>
  </si>
  <si>
    <t>EC00</t>
  </si>
  <si>
    <t>ED00</t>
  </si>
  <si>
    <t>EE00</t>
  </si>
  <si>
    <t>EF00</t>
  </si>
  <si>
    <t>F000</t>
  </si>
  <si>
    <t>F100</t>
  </si>
  <si>
    <t>F200</t>
  </si>
  <si>
    <t>F300</t>
  </si>
  <si>
    <t>F400</t>
  </si>
  <si>
    <t>F500</t>
  </si>
  <si>
    <t>F600</t>
  </si>
  <si>
    <t>F700</t>
  </si>
  <si>
    <t>F800</t>
  </si>
  <si>
    <t>F900</t>
  </si>
  <si>
    <t>FA00</t>
  </si>
  <si>
    <t>FB00</t>
  </si>
  <si>
    <t>FC00</t>
  </si>
  <si>
    <t>FD00</t>
  </si>
  <si>
    <t>FE00</t>
  </si>
  <si>
    <t>FF00</t>
  </si>
  <si>
    <t>0001</t>
  </si>
  <si>
    <t>0101</t>
  </si>
  <si>
    <t>0201</t>
  </si>
  <si>
    <t>0301</t>
  </si>
  <si>
    <t>0401</t>
  </si>
  <si>
    <t>0501</t>
  </si>
  <si>
    <t>0601</t>
  </si>
  <si>
    <t>0701</t>
  </si>
  <si>
    <t>0801</t>
  </si>
  <si>
    <t>0901</t>
  </si>
  <si>
    <t>0A01</t>
  </si>
  <si>
    <t>0B01</t>
  </si>
  <si>
    <t>0C01</t>
  </si>
  <si>
    <t>0D01</t>
  </si>
  <si>
    <t>0E01</t>
  </si>
  <si>
    <t>0F01</t>
  </si>
  <si>
    <t>1001</t>
  </si>
  <si>
    <t>1101</t>
  </si>
  <si>
    <t>1201</t>
  </si>
  <si>
    <t>1301</t>
  </si>
  <si>
    <t>1401</t>
  </si>
  <si>
    <t>1501</t>
  </si>
  <si>
    <t>1601</t>
  </si>
  <si>
    <t>1701</t>
  </si>
  <si>
    <t>1801</t>
  </si>
  <si>
    <t>1901</t>
  </si>
  <si>
    <t>1A01</t>
  </si>
  <si>
    <t>1B01</t>
  </si>
  <si>
    <t>1C01</t>
  </si>
  <si>
    <t>1D01</t>
  </si>
  <si>
    <t>1E01</t>
  </si>
  <si>
    <t>1F01</t>
  </si>
  <si>
    <t>2001</t>
  </si>
  <si>
    <t>2101</t>
  </si>
  <si>
    <t>2201</t>
  </si>
  <si>
    <t>2301</t>
  </si>
  <si>
    <t>2401</t>
  </si>
  <si>
    <t>2501</t>
  </si>
  <si>
    <t>2601</t>
  </si>
  <si>
    <t>2701</t>
  </si>
  <si>
    <t>2801</t>
  </si>
  <si>
    <t>2901</t>
  </si>
  <si>
    <t>2A01</t>
  </si>
  <si>
    <t>2B01</t>
  </si>
  <si>
    <t>2C01</t>
  </si>
  <si>
    <t>2D01</t>
  </si>
  <si>
    <t>2E01</t>
  </si>
  <si>
    <t>2F01</t>
  </si>
  <si>
    <t>3001</t>
  </si>
  <si>
    <t>3101</t>
  </si>
  <si>
    <t>3201</t>
  </si>
  <si>
    <t>3301</t>
  </si>
  <si>
    <t>3401</t>
  </si>
  <si>
    <t>3501</t>
  </si>
  <si>
    <t>3601</t>
  </si>
  <si>
    <t>3701</t>
  </si>
  <si>
    <t>3801</t>
  </si>
  <si>
    <t>3901</t>
  </si>
  <si>
    <t>3A01</t>
  </si>
  <si>
    <t>3B01</t>
  </si>
  <si>
    <t>3C01</t>
  </si>
  <si>
    <t>3D01</t>
  </si>
  <si>
    <t>3E01</t>
  </si>
  <si>
    <t>3F01</t>
  </si>
  <si>
    <t>4001</t>
  </si>
  <si>
    <t>4101</t>
  </si>
  <si>
    <t>4201</t>
  </si>
  <si>
    <t>4301</t>
  </si>
  <si>
    <t>4401</t>
  </si>
  <si>
    <t>4501</t>
  </si>
  <si>
    <t>4601</t>
  </si>
  <si>
    <t>4701</t>
  </si>
  <si>
    <t>4801</t>
  </si>
  <si>
    <t>4901</t>
  </si>
  <si>
    <t>4A01</t>
  </si>
  <si>
    <t>4B01</t>
  </si>
  <si>
    <t>4C01</t>
  </si>
  <si>
    <t>4D01</t>
  </si>
  <si>
    <t>4E01</t>
  </si>
  <si>
    <t>4F01</t>
  </si>
  <si>
    <t>5001</t>
  </si>
  <si>
    <t>5101</t>
  </si>
  <si>
    <t>5201</t>
  </si>
  <si>
    <t>5301</t>
  </si>
  <si>
    <t>5401</t>
  </si>
  <si>
    <t>5501</t>
  </si>
  <si>
    <t>5601</t>
  </si>
  <si>
    <t>5701</t>
  </si>
  <si>
    <t>5801</t>
  </si>
  <si>
    <t>5901</t>
  </si>
  <si>
    <t>5A01</t>
  </si>
  <si>
    <t>5B01</t>
  </si>
  <si>
    <t>5C01</t>
  </si>
  <si>
    <t>5D01</t>
  </si>
  <si>
    <t>5E01</t>
  </si>
  <si>
    <t>5F01</t>
  </si>
  <si>
    <t>6001</t>
  </si>
  <si>
    <t>6101</t>
  </si>
  <si>
    <t>6201</t>
  </si>
  <si>
    <t>6301</t>
  </si>
  <si>
    <t>6401</t>
  </si>
  <si>
    <t>6501</t>
  </si>
  <si>
    <t>6601</t>
  </si>
  <si>
    <t>6701</t>
  </si>
  <si>
    <t>6801</t>
  </si>
  <si>
    <t>6901</t>
  </si>
  <si>
    <t>6A01</t>
  </si>
  <si>
    <t>6B01</t>
  </si>
  <si>
    <t>6C01</t>
  </si>
  <si>
    <t>6D01</t>
  </si>
  <si>
    <t>6E01</t>
  </si>
  <si>
    <t>6F01</t>
  </si>
  <si>
    <t>7001</t>
  </si>
  <si>
    <t>7101</t>
  </si>
  <si>
    <t>7201</t>
  </si>
  <si>
    <t>7301</t>
  </si>
  <si>
    <t>7401</t>
  </si>
  <si>
    <t>7501</t>
  </si>
  <si>
    <t>7601</t>
  </si>
  <si>
    <t>7701</t>
  </si>
  <si>
    <t>7801</t>
  </si>
  <si>
    <t>7901</t>
  </si>
  <si>
    <t>7A01</t>
  </si>
  <si>
    <t>7B01</t>
  </si>
  <si>
    <t>7C01</t>
  </si>
  <si>
    <t>7D01</t>
  </si>
  <si>
    <t>7E01</t>
  </si>
  <si>
    <t>7F01</t>
  </si>
  <si>
    <t>8001</t>
  </si>
  <si>
    <t>8101</t>
  </si>
  <si>
    <t>8201</t>
  </si>
  <si>
    <t>8301</t>
  </si>
  <si>
    <t>8401</t>
  </si>
  <si>
    <t>8501</t>
  </si>
  <si>
    <t>8601</t>
  </si>
  <si>
    <t>8701</t>
  </si>
  <si>
    <t>8801</t>
  </si>
  <si>
    <t>8901</t>
  </si>
  <si>
    <t>8A01</t>
  </si>
  <si>
    <t>8B01</t>
  </si>
  <si>
    <t>8C01</t>
  </si>
  <si>
    <t>8D01</t>
  </si>
  <si>
    <t>8E01</t>
  </si>
  <si>
    <t>8F01</t>
  </si>
  <si>
    <t>9001</t>
  </si>
  <si>
    <t>9101</t>
  </si>
  <si>
    <t>9201</t>
  </si>
  <si>
    <t>9301</t>
  </si>
  <si>
    <t>9401</t>
  </si>
  <si>
    <t>9501</t>
  </si>
  <si>
    <t>9601</t>
  </si>
  <si>
    <t>9701</t>
  </si>
  <si>
    <t>9801</t>
  </si>
  <si>
    <t>9901</t>
  </si>
  <si>
    <t>9A01</t>
  </si>
  <si>
    <t>9B01</t>
  </si>
  <si>
    <t>9C01</t>
  </si>
  <si>
    <t>9D01</t>
  </si>
  <si>
    <t>9E01</t>
  </si>
  <si>
    <t>9F01</t>
  </si>
  <si>
    <t>A001</t>
  </si>
  <si>
    <t>A101</t>
  </si>
  <si>
    <t>A201</t>
  </si>
  <si>
    <t>A301</t>
  </si>
  <si>
    <t>A401</t>
  </si>
  <si>
    <t>A501</t>
  </si>
  <si>
    <t>A601</t>
  </si>
  <si>
    <t>A701</t>
  </si>
  <si>
    <t>A801</t>
  </si>
  <si>
    <t>A901</t>
  </si>
  <si>
    <t>AA01</t>
  </si>
  <si>
    <t>AB01</t>
  </si>
  <si>
    <t>AC01</t>
  </si>
  <si>
    <t>AD01</t>
  </si>
  <si>
    <t>AE01</t>
  </si>
  <si>
    <t>AF01</t>
  </si>
  <si>
    <t>B001</t>
  </si>
  <si>
    <t>B101</t>
  </si>
  <si>
    <t>B201</t>
  </si>
  <si>
    <t>B301</t>
  </si>
  <si>
    <t>B401</t>
  </si>
  <si>
    <t>B501</t>
  </si>
  <si>
    <t>B601</t>
  </si>
  <si>
    <t>B701</t>
  </si>
  <si>
    <t>B801</t>
  </si>
  <si>
    <t>B901</t>
  </si>
  <si>
    <t>BA01</t>
  </si>
  <si>
    <t>BB01</t>
  </si>
  <si>
    <t>BC01</t>
  </si>
  <si>
    <t>BD01</t>
  </si>
  <si>
    <t>BE01</t>
  </si>
  <si>
    <t>BF01</t>
  </si>
  <si>
    <t>C001</t>
  </si>
  <si>
    <t>C101</t>
  </si>
  <si>
    <t>C201</t>
  </si>
  <si>
    <t>C301</t>
  </si>
  <si>
    <t>C401</t>
  </si>
  <si>
    <t>C501</t>
  </si>
  <si>
    <t>C601</t>
  </si>
  <si>
    <t>C701</t>
  </si>
  <si>
    <t>C801</t>
  </si>
  <si>
    <t>C901</t>
  </si>
  <si>
    <t>CA01</t>
  </si>
  <si>
    <t>CB01</t>
  </si>
  <si>
    <t>CC01</t>
  </si>
  <si>
    <t>CD01</t>
  </si>
  <si>
    <t>CE01</t>
  </si>
  <si>
    <t>CF01</t>
  </si>
  <si>
    <t>D001</t>
  </si>
  <si>
    <t>D101</t>
  </si>
  <si>
    <t>D201</t>
  </si>
  <si>
    <t>D301</t>
  </si>
  <si>
    <t>D401</t>
  </si>
  <si>
    <t>D501</t>
  </si>
  <si>
    <t>D601</t>
  </si>
  <si>
    <t>D701</t>
  </si>
  <si>
    <t>D801</t>
  </si>
  <si>
    <t>D901</t>
  </si>
  <si>
    <t>DA01</t>
  </si>
  <si>
    <t>DB01</t>
  </si>
  <si>
    <t>DC01</t>
  </si>
  <si>
    <t>DD01</t>
  </si>
  <si>
    <t>DE01</t>
  </si>
  <si>
    <t>DF01</t>
  </si>
  <si>
    <t>E001</t>
  </si>
  <si>
    <t>E101</t>
  </si>
  <si>
    <t>E201</t>
  </si>
  <si>
    <t>E301</t>
  </si>
  <si>
    <t>E401</t>
  </si>
  <si>
    <t>E501</t>
  </si>
  <si>
    <t>E601</t>
  </si>
  <si>
    <t>E701</t>
  </si>
  <si>
    <t>E801</t>
  </si>
  <si>
    <t>E901</t>
  </si>
  <si>
    <t>EA01</t>
  </si>
  <si>
    <t>EB01</t>
  </si>
  <si>
    <t>EC01</t>
  </si>
  <si>
    <t>ED01</t>
  </si>
  <si>
    <t>EE01</t>
  </si>
  <si>
    <t>EF01</t>
  </si>
  <si>
    <t>F001</t>
  </si>
  <si>
    <t>F101</t>
  </si>
  <si>
    <t>F201</t>
  </si>
  <si>
    <t>F301</t>
  </si>
  <si>
    <t>F401</t>
  </si>
  <si>
    <t>F501</t>
  </si>
  <si>
    <t>F601</t>
  </si>
  <si>
    <t>F701</t>
  </si>
  <si>
    <t>F801</t>
  </si>
  <si>
    <t>F901</t>
  </si>
  <si>
    <t>FA01</t>
  </si>
  <si>
    <t>FB01</t>
  </si>
  <si>
    <t>FC01</t>
  </si>
  <si>
    <t>FD01</t>
  </si>
  <si>
    <t>FE01</t>
  </si>
  <si>
    <t>FF01</t>
  </si>
  <si>
    <t>0002</t>
  </si>
  <si>
    <t>0102</t>
  </si>
  <si>
    <t>0202</t>
  </si>
  <si>
    <t>0302</t>
  </si>
  <si>
    <t>0402</t>
  </si>
  <si>
    <t>0502</t>
  </si>
  <si>
    <t>0602</t>
  </si>
  <si>
    <t>0702</t>
  </si>
  <si>
    <t>0802</t>
  </si>
  <si>
    <t>0902</t>
  </si>
  <si>
    <t>0A02</t>
  </si>
  <si>
    <t>0B02</t>
  </si>
  <si>
    <t>0C02</t>
  </si>
  <si>
    <t>0D02</t>
  </si>
  <si>
    <t>0E02</t>
  </si>
  <si>
    <t>0F02</t>
  </si>
  <si>
    <t>1002</t>
  </si>
  <si>
    <t>1102</t>
  </si>
  <si>
    <t>1202</t>
  </si>
  <si>
    <t>1302</t>
  </si>
  <si>
    <t>1402</t>
  </si>
  <si>
    <t>1502</t>
  </si>
  <si>
    <t>1602</t>
  </si>
  <si>
    <t>1702</t>
  </si>
  <si>
    <t>1802</t>
  </si>
  <si>
    <t>1902</t>
  </si>
  <si>
    <t>1A02</t>
  </si>
  <si>
    <t>1B02</t>
  </si>
  <si>
    <t>1C02</t>
  </si>
  <si>
    <t>1D02</t>
  </si>
  <si>
    <t>1E02</t>
  </si>
  <si>
    <t>1F02</t>
  </si>
  <si>
    <t>2002</t>
  </si>
  <si>
    <t>2102</t>
  </si>
  <si>
    <t>2202</t>
  </si>
  <si>
    <t>2302</t>
  </si>
  <si>
    <t>2402</t>
  </si>
  <si>
    <t>2502</t>
  </si>
  <si>
    <t>2602</t>
  </si>
  <si>
    <t>2702</t>
  </si>
  <si>
    <t>2802</t>
  </si>
  <si>
    <t>2902</t>
  </si>
  <si>
    <t>2A02</t>
  </si>
  <si>
    <t>2B02</t>
  </si>
  <si>
    <t>2C02</t>
  </si>
  <si>
    <t>2D02</t>
  </si>
  <si>
    <t>2E02</t>
  </si>
  <si>
    <t>2F02</t>
  </si>
  <si>
    <t>3002</t>
  </si>
  <si>
    <t>3102</t>
  </si>
  <si>
    <t>3202</t>
  </si>
  <si>
    <t>3302</t>
  </si>
  <si>
    <t>3402</t>
  </si>
  <si>
    <t>3502</t>
  </si>
  <si>
    <t>3602</t>
  </si>
  <si>
    <t>3702</t>
  </si>
  <si>
    <t>3802</t>
  </si>
  <si>
    <t>3902</t>
  </si>
  <si>
    <t>3A02</t>
  </si>
  <si>
    <t>3B02</t>
  </si>
  <si>
    <t>3C02</t>
  </si>
  <si>
    <t>3D02</t>
  </si>
  <si>
    <t>3E02</t>
  </si>
  <si>
    <t>3F02</t>
  </si>
  <si>
    <t>4002</t>
  </si>
  <si>
    <t>4102</t>
  </si>
  <si>
    <t>4202</t>
  </si>
  <si>
    <t>4302</t>
  </si>
  <si>
    <t>4402</t>
  </si>
  <si>
    <t>4502</t>
  </si>
  <si>
    <t>4602</t>
  </si>
  <si>
    <t>4702</t>
  </si>
  <si>
    <t>4802</t>
  </si>
  <si>
    <t>4902</t>
  </si>
  <si>
    <t>4A02</t>
  </si>
  <si>
    <t>4B02</t>
  </si>
  <si>
    <t>4C02</t>
  </si>
  <si>
    <t>4D02</t>
  </si>
  <si>
    <t>4E02</t>
  </si>
  <si>
    <t>4F02</t>
  </si>
  <si>
    <t>5002</t>
  </si>
  <si>
    <t>5102</t>
  </si>
  <si>
    <t>5202</t>
  </si>
  <si>
    <t>5302</t>
  </si>
  <si>
    <t>5402</t>
  </si>
  <si>
    <t>5502</t>
  </si>
  <si>
    <t>5602</t>
  </si>
  <si>
    <t>5702</t>
  </si>
  <si>
    <t>5802</t>
  </si>
  <si>
    <t>5902</t>
  </si>
  <si>
    <t>5A02</t>
  </si>
  <si>
    <t>5B02</t>
  </si>
  <si>
    <t>5C02</t>
  </si>
  <si>
    <t>5D02</t>
  </si>
  <si>
    <t>5E02</t>
  </si>
  <si>
    <t>5F02</t>
  </si>
  <si>
    <t>6002</t>
  </si>
  <si>
    <t>6102</t>
  </si>
  <si>
    <t>6202</t>
  </si>
  <si>
    <t>6302</t>
  </si>
  <si>
    <t>6402</t>
  </si>
  <si>
    <t>6502</t>
  </si>
  <si>
    <t>6602</t>
  </si>
  <si>
    <t>6702</t>
  </si>
  <si>
    <t>6802</t>
  </si>
  <si>
    <t>6902</t>
  </si>
  <si>
    <t>6A02</t>
  </si>
  <si>
    <t>6B02</t>
  </si>
  <si>
    <t>6C02</t>
  </si>
  <si>
    <t>6D02</t>
  </si>
  <si>
    <t>6E02</t>
  </si>
  <si>
    <t>6F02</t>
  </si>
  <si>
    <t>7002</t>
  </si>
  <si>
    <t>7102</t>
  </si>
  <si>
    <t>7202</t>
  </si>
  <si>
    <t>7302</t>
  </si>
  <si>
    <t>7402</t>
  </si>
  <si>
    <t>7502</t>
  </si>
  <si>
    <t>7602</t>
  </si>
  <si>
    <t>7702</t>
  </si>
  <si>
    <t>7802</t>
  </si>
  <si>
    <t>7902</t>
  </si>
  <si>
    <t>7A02</t>
  </si>
  <si>
    <t>7B02</t>
  </si>
  <si>
    <t>7C02</t>
  </si>
  <si>
    <t>7D02</t>
  </si>
  <si>
    <t>7E02</t>
  </si>
  <si>
    <t>7F02</t>
  </si>
  <si>
    <t>8002</t>
  </si>
  <si>
    <t>8102</t>
  </si>
  <si>
    <t>8202</t>
  </si>
  <si>
    <t>8302</t>
  </si>
  <si>
    <t>8402</t>
  </si>
  <si>
    <t>8502</t>
  </si>
  <si>
    <t>8602</t>
  </si>
  <si>
    <t>8702</t>
  </si>
  <si>
    <t>8802</t>
  </si>
  <si>
    <t>8902</t>
  </si>
  <si>
    <t>8A02</t>
  </si>
  <si>
    <t>8B02</t>
  </si>
  <si>
    <t>8C02</t>
  </si>
  <si>
    <t>8D02</t>
  </si>
  <si>
    <t>8E02</t>
  </si>
  <si>
    <t>8F02</t>
  </si>
  <si>
    <t>9002</t>
  </si>
  <si>
    <t>9102</t>
  </si>
  <si>
    <t>9202</t>
  </si>
  <si>
    <t>9302</t>
  </si>
  <si>
    <t>9402</t>
  </si>
  <si>
    <t>9502</t>
  </si>
  <si>
    <t>9602</t>
  </si>
  <si>
    <t>9702</t>
  </si>
  <si>
    <t>9802</t>
  </si>
  <si>
    <t>9902</t>
  </si>
  <si>
    <t>9A02</t>
  </si>
  <si>
    <t>9B02</t>
  </si>
  <si>
    <t>9C02</t>
  </si>
  <si>
    <t>9D02</t>
  </si>
  <si>
    <t>9E02</t>
  </si>
  <si>
    <t>9F02</t>
  </si>
  <si>
    <t>A002</t>
  </si>
  <si>
    <t>A102</t>
  </si>
  <si>
    <t>A202</t>
  </si>
  <si>
    <t>A302</t>
  </si>
  <si>
    <t>A402</t>
  </si>
  <si>
    <t>A502</t>
  </si>
  <si>
    <t>A602</t>
  </si>
  <si>
    <t>A702</t>
  </si>
  <si>
    <t>A802</t>
  </si>
  <si>
    <t>A902</t>
  </si>
  <si>
    <t>AA02</t>
  </si>
  <si>
    <t>AB02</t>
  </si>
  <si>
    <t>AC02</t>
  </si>
  <si>
    <t>AD02</t>
  </si>
  <si>
    <t>AE02</t>
  </si>
  <si>
    <t>AF02</t>
  </si>
  <si>
    <t>B002</t>
  </si>
  <si>
    <t>B102</t>
  </si>
  <si>
    <t>B202</t>
  </si>
  <si>
    <t>B302</t>
  </si>
  <si>
    <t>B402</t>
  </si>
  <si>
    <t>B502</t>
  </si>
  <si>
    <t>B602</t>
  </si>
  <si>
    <t>B702</t>
  </si>
  <si>
    <t>B802</t>
  </si>
  <si>
    <t>B902</t>
  </si>
  <si>
    <t>BA02</t>
  </si>
  <si>
    <t>BB02</t>
  </si>
  <si>
    <t>BC02</t>
  </si>
  <si>
    <t>BD02</t>
  </si>
  <si>
    <t>BE02</t>
  </si>
  <si>
    <t>BF02</t>
  </si>
  <si>
    <t>C002</t>
  </si>
  <si>
    <t>C102</t>
  </si>
  <si>
    <t>C202</t>
  </si>
  <si>
    <t>C302</t>
  </si>
  <si>
    <t>C402</t>
  </si>
  <si>
    <t>C502</t>
  </si>
  <si>
    <t>C602</t>
  </si>
  <si>
    <t>C702</t>
  </si>
  <si>
    <t>C802</t>
  </si>
  <si>
    <t>C902</t>
  </si>
  <si>
    <t>CA02</t>
  </si>
  <si>
    <t>CB02</t>
  </si>
  <si>
    <t>CC02</t>
  </si>
  <si>
    <t>CD02</t>
  </si>
  <si>
    <t>CE02</t>
  </si>
  <si>
    <t>CF02</t>
  </si>
  <si>
    <t>D002</t>
  </si>
  <si>
    <t>D102</t>
  </si>
  <si>
    <t>D202</t>
  </si>
  <si>
    <t>D302</t>
  </si>
  <si>
    <t>D402</t>
  </si>
  <si>
    <t>D502</t>
  </si>
  <si>
    <t>D602</t>
  </si>
  <si>
    <t>D702</t>
  </si>
  <si>
    <t>D802</t>
  </si>
  <si>
    <t>D902</t>
  </si>
  <si>
    <t>DA02</t>
  </si>
  <si>
    <t>DB02</t>
  </si>
  <si>
    <t>DC02</t>
  </si>
  <si>
    <t>DD02</t>
  </si>
  <si>
    <t>DE02</t>
  </si>
  <si>
    <t>DF02</t>
  </si>
  <si>
    <t>E002</t>
  </si>
  <si>
    <t>E102</t>
  </si>
  <si>
    <t>E202</t>
  </si>
  <si>
    <t>E302</t>
  </si>
  <si>
    <t>E402</t>
  </si>
  <si>
    <t>E502</t>
  </si>
  <si>
    <t>E602</t>
  </si>
  <si>
    <t>E702</t>
  </si>
  <si>
    <t>E802</t>
  </si>
  <si>
    <t>E902</t>
  </si>
  <si>
    <t>EA02</t>
  </si>
  <si>
    <t>EB02</t>
  </si>
  <si>
    <t>EC02</t>
  </si>
  <si>
    <t>ED02</t>
  </si>
  <si>
    <t>EE02</t>
  </si>
  <si>
    <t>EF02</t>
  </si>
  <si>
    <t>F002</t>
  </si>
  <si>
    <t>F102</t>
  </si>
  <si>
    <t>F202</t>
  </si>
  <si>
    <t>F302</t>
  </si>
  <si>
    <t>F402</t>
  </si>
  <si>
    <t>F502</t>
  </si>
  <si>
    <t>F602</t>
  </si>
  <si>
    <t>F702</t>
  </si>
  <si>
    <t>F802</t>
  </si>
  <si>
    <t>F902</t>
  </si>
  <si>
    <t>FA02</t>
  </si>
  <si>
    <t>FB02</t>
  </si>
  <si>
    <t>FC02</t>
  </si>
  <si>
    <t>FD02</t>
  </si>
  <si>
    <t>FE02</t>
  </si>
  <si>
    <t>FF02</t>
  </si>
  <si>
    <t>0003</t>
  </si>
  <si>
    <t>0103</t>
  </si>
  <si>
    <t>0203</t>
  </si>
  <si>
    <t>0303</t>
  </si>
  <si>
    <t>0403</t>
  </si>
  <si>
    <t>0503</t>
  </si>
  <si>
    <t>0603</t>
  </si>
  <si>
    <t>0703</t>
  </si>
  <si>
    <t>0803</t>
  </si>
  <si>
    <t>0903</t>
  </si>
  <si>
    <t>0A03</t>
  </si>
  <si>
    <t>0B03</t>
  </si>
  <si>
    <t>0C03</t>
  </si>
  <si>
    <t>0D03</t>
  </si>
  <si>
    <t>0E03</t>
  </si>
  <si>
    <t>0F03</t>
  </si>
  <si>
    <t>1003</t>
  </si>
  <si>
    <t>1103</t>
  </si>
  <si>
    <t>1203</t>
  </si>
  <si>
    <t>1303</t>
  </si>
  <si>
    <t>1403</t>
  </si>
  <si>
    <t>1503</t>
  </si>
  <si>
    <t>1603</t>
  </si>
  <si>
    <t>1703</t>
  </si>
  <si>
    <t>1803</t>
  </si>
  <si>
    <t>1903</t>
  </si>
  <si>
    <t>1A03</t>
  </si>
  <si>
    <t>1B03</t>
  </si>
  <si>
    <t>1C03</t>
  </si>
  <si>
    <t>1D03</t>
  </si>
  <si>
    <t>1E03</t>
  </si>
  <si>
    <t>1F03</t>
  </si>
  <si>
    <t>2003</t>
  </si>
  <si>
    <t>2103</t>
  </si>
  <si>
    <t>2203</t>
  </si>
  <si>
    <t>2303</t>
  </si>
  <si>
    <t>2403</t>
  </si>
  <si>
    <t>2503</t>
  </si>
  <si>
    <t>2603</t>
  </si>
  <si>
    <t>2703</t>
  </si>
  <si>
    <t>00000000</t>
  </si>
  <si>
    <t>001080E5</t>
  </si>
  <si>
    <t>str r1, [r0]</t>
  </si>
  <si>
    <t>00009FE5</t>
  </si>
  <si>
    <t>ldr r0, [pc]</t>
  </si>
  <si>
    <t>1EFF2FE1</t>
  </si>
  <si>
    <t>bx lr</t>
  </si>
  <si>
    <t>andeq r0, r0, r0</t>
  </si>
  <si>
    <t>mov r4, r2</t>
  </si>
  <si>
    <t>mov r0, 0x3</t>
  </si>
  <si>
    <t>0240A0E1</t>
  </si>
  <si>
    <t>0300A0E3</t>
  </si>
  <si>
    <t>cmp r0, r4</t>
  </si>
  <si>
    <t>040050E1</t>
  </si>
  <si>
    <t>1200A0E3</t>
  </si>
  <si>
    <t>mov r0, 0x12</t>
  </si>
  <si>
    <t>bl 0x00087B58</t>
  </si>
  <si>
    <t>Check self attacker</t>
  </si>
  <si>
    <t>Use highest stat 0x2D</t>
  </si>
  <si>
    <t>mov r8, r2</t>
  </si>
  <si>
    <t>cmp r0, r8</t>
  </si>
  <si>
    <t>mov r1, r6</t>
  </si>
  <si>
    <t>mov r2, sp</t>
  </si>
  <si>
    <t>cmp r1, r6</t>
  </si>
  <si>
    <t>mov r2, r8</t>
  </si>
  <si>
    <t>mov r5, r0</t>
  </si>
  <si>
    <t>mov r1, r0</t>
  </si>
  <si>
    <t>mov r1, r5</t>
  </si>
  <si>
    <t>cmp r4, r7</t>
  </si>
  <si>
    <t>mov r1, r8</t>
  </si>
  <si>
    <t xml:space="preserve">nop </t>
  </si>
  <si>
    <t>ldrdeq r0, r1, [r0], -r2</t>
  </si>
  <si>
    <t>F04F2DE9</t>
  </si>
  <si>
    <t>0CD04DE2</t>
  </si>
  <si>
    <t>0280A0E1</t>
  </si>
  <si>
    <t>0190A0E1</t>
  </si>
  <si>
    <t>B5F0FEEB</t>
  </si>
  <si>
    <t>080050E1</t>
  </si>
  <si>
    <t>3C00001A</t>
  </si>
  <si>
    <t>0400A0E3</t>
  </si>
  <si>
    <t>B1F0FEEB</t>
  </si>
  <si>
    <t>FF6000E2</t>
  </si>
  <si>
    <t>0610A0E1</t>
  </si>
  <si>
    <t>0900A0E1</t>
  </si>
  <si>
    <t>15E1FEEB</t>
  </si>
  <si>
    <t>040050E3</t>
  </si>
  <si>
    <t>3400000A</t>
  </si>
  <si>
    <t>337DFEEB</t>
  </si>
  <si>
    <t>020050E3</t>
  </si>
  <si>
    <t>3200000A</t>
  </si>
  <si>
    <t>0CE1FEEB</t>
  </si>
  <si>
    <t>091C80E3</t>
  </si>
  <si>
    <t>0D20A0E1</t>
  </si>
  <si>
    <t>F552FEEB</t>
  </si>
  <si>
    <t>007050E2</t>
  </si>
  <si>
    <t>0040A0E3</t>
  </si>
  <si>
    <t>0DA0A081</t>
  </si>
  <si>
    <t>07B0A083</t>
  </si>
  <si>
    <t>2400009A</t>
  </si>
  <si>
    <t>0410DAE7</t>
  </si>
  <si>
    <t>060051E1</t>
  </si>
  <si>
    <t>1D00000A</t>
  </si>
  <si>
    <t>661AFFEB</t>
  </si>
  <si>
    <t>08008DE5</t>
  </si>
  <si>
    <t>0820A0E1</t>
  </si>
  <si>
    <t>0610A0E3</t>
  </si>
  <si>
    <t>79EFFEEB</t>
  </si>
  <si>
    <t>0050A0E1</t>
  </si>
  <si>
    <t>0400DAE7</t>
  </si>
  <si>
    <t>1010A0E3</t>
  </si>
  <si>
    <t>0800C5E5</t>
  </si>
  <si>
    <t>08009DE5</t>
  </si>
  <si>
    <t>25D0FEEB</t>
  </si>
  <si>
    <t>0010A0E1</t>
  </si>
  <si>
    <t>0A00D5E5</t>
  </si>
  <si>
    <t>0980C5E5</t>
  </si>
  <si>
    <t>B610C5E1</t>
  </si>
  <si>
    <t>010080E3</t>
  </si>
  <si>
    <t>04B0C5E5</t>
  </si>
  <si>
    <t>0A00C5E5</t>
  </si>
  <si>
    <t>50209FE5</t>
  </si>
  <si>
    <t>0210A0E3</t>
  </si>
  <si>
    <t>100085E2</t>
  </si>
  <si>
    <t>C5F8FEEB</t>
  </si>
  <si>
    <t>0810D5E5</t>
  </si>
  <si>
    <t>A8CFFEEB</t>
  </si>
  <si>
    <t>0510A0E1</t>
  </si>
  <si>
    <t>E1C4FEEB</t>
  </si>
  <si>
    <t>010084E2</t>
  </si>
  <si>
    <t>FF4000E2</t>
  </si>
  <si>
    <t>070054E1</t>
  </si>
  <si>
    <t>DAFFFF3A</t>
  </si>
  <si>
    <t>0CD08DE2</t>
  </si>
  <si>
    <t>F08FBDE8</t>
  </si>
  <si>
    <t>0810A0E1</t>
  </si>
  <si>
    <t>D9E0FEEB</t>
  </si>
  <si>
    <t>061C80E3</t>
  </si>
  <si>
    <t>00F020E3</t>
  </si>
  <si>
    <t>CAFFFFEA</t>
  </si>
  <si>
    <t>000CB868</t>
  </si>
  <si>
    <t>push {r4, r5, r6, r7, r8, r9, r10, r11, lr}</t>
  </si>
  <si>
    <t>sub sp, sp, 0xc</t>
  </si>
  <si>
    <t>orr r1, r0, 0x900</t>
  </si>
  <si>
    <t>bl 0x604ac</t>
  </si>
  <si>
    <t>bl 0x92298</t>
  </si>
  <si>
    <t>bl 0x876f8</t>
  </si>
  <si>
    <t>mov r1, 0x10</t>
  </si>
  <si>
    <t>ldrb r0, [r5, 0xa]</t>
  </si>
  <si>
    <t>strb r0, [r5, 0xa]</t>
  </si>
  <si>
    <t>add r0, r5, 0x10</t>
  </si>
  <si>
    <t>and r4, r0, 0xff</t>
  </si>
  <si>
    <t>blo 0xcb8e8</t>
  </si>
  <si>
    <t>add sp, sp, 0xc</t>
  </si>
  <si>
    <t>orr r1, r0, 0x600</t>
  </si>
  <si>
    <t>b 0xcb8c8</t>
  </si>
  <si>
    <t>mov r0, 0x4</t>
  </si>
  <si>
    <t>cmp r0, 0x4</t>
  </si>
  <si>
    <t>cmp r0, 0x2</t>
  </si>
  <si>
    <t>subs r7, r0, 0x0</t>
  </si>
  <si>
    <t>mov r4, 0x0</t>
  </si>
  <si>
    <t>str r0, [sp, 0x8]</t>
  </si>
  <si>
    <t>mov r1, 0x6</t>
  </si>
  <si>
    <t>strb r0, [r5, 0x8]</t>
  </si>
  <si>
    <t>ldr r0, [sp, 0x8]</t>
  </si>
  <si>
    <t>strb r8, [r5, 0x9]</t>
  </si>
  <si>
    <t>strh r1, [r5, 0x6]</t>
  </si>
  <si>
    <t>orr r0, r0, 0x1</t>
  </si>
  <si>
    <t>mov r1, 0x2</t>
  </si>
  <si>
    <t>ldrb r1, [r5, 0x8]</t>
  </si>
  <si>
    <t>add r0, r4, 0x1</t>
  </si>
  <si>
    <t>and r6, r0, 0xFF</t>
  </si>
  <si>
    <t>mov r9, r1</t>
  </si>
  <si>
    <t>mov r0, r9</t>
  </si>
  <si>
    <t>bl 0x00083CF8</t>
  </si>
  <si>
    <t>Damage ally of target if fails (timing from High Jump Kick).</t>
  </si>
  <si>
    <t>Defender index to r6</t>
  </si>
  <si>
    <t>Check something</t>
  </si>
  <si>
    <t>bl 0x0006AD80</t>
  </si>
  <si>
    <t>Handle 2 allies in BR</t>
  </si>
  <si>
    <t>Set r7 to non-fainted enemy count</t>
  </si>
  <si>
    <t>movhi r10, sp</t>
  </si>
  <si>
    <t>ldrb r1, [r10, r4]</t>
  </si>
  <si>
    <t>ldrb r0, [r10, r4]</t>
  </si>
  <si>
    <t>movhi r11, 0x7</t>
  </si>
  <si>
    <t>strb r11, [r5, 0x4]</t>
  </si>
  <si>
    <t>Set iterator to 0</t>
  </si>
  <si>
    <t>If no non-fainted enemies, exit</t>
  </si>
  <si>
    <t>r1 = index of Pokemon in this loop</t>
  </si>
  <si>
    <t>if it matches the target</t>
  </si>
  <si>
    <t>go to next iteration</t>
  </si>
  <si>
    <t>Otherwise store pointer in sp + 8</t>
  </si>
  <si>
    <t>And the animation/text pointer</t>
  </si>
  <si>
    <t>Store value that will be reloaded</t>
  </si>
  <si>
    <t>for text printing</t>
  </si>
  <si>
    <t>Get pointer</t>
  </si>
  <si>
    <t>bl 0x0007F9C0</t>
  </si>
  <si>
    <t>Get damage to deal</t>
  </si>
  <si>
    <t>move to r1</t>
  </si>
  <si>
    <t>set damage</t>
  </si>
  <si>
    <t>Get text string index</t>
  </si>
  <si>
    <t>bl 0x0007F804</t>
  </si>
  <si>
    <t>Select text to print</t>
  </si>
  <si>
    <t>load stored pointer</t>
  </si>
  <si>
    <t>bl 0x0007CCF4</t>
  </si>
  <si>
    <t>bl 0x00089C6C</t>
  </si>
  <si>
    <t>write value</t>
  </si>
  <si>
    <t>print text</t>
  </si>
  <si>
    <t>Add 1 to iterator</t>
  </si>
  <si>
    <t>if more left go again</t>
  </si>
  <si>
    <t>D2050000</t>
  </si>
  <si>
    <t>bl 0x000876F8</t>
  </si>
  <si>
    <t>Get pointer to defender</t>
  </si>
  <si>
    <t>bl 0x00092298</t>
  </si>
  <si>
    <t>Get pointer to attacker</t>
  </si>
  <si>
    <t>1/16 for damage %</t>
  </si>
  <si>
    <t>return damage in r0</t>
  </si>
  <si>
    <t>cmp r0, 0x0</t>
  </si>
  <si>
    <t>check if damage is 0</t>
  </si>
  <si>
    <t>if yes go to next iter</t>
  </si>
  <si>
    <t>if damage not 0, this makes it stop after ending this iteration, so it doesn't double-dip in Royale</t>
  </si>
  <si>
    <t>ldrb r3, [r10, r4]</t>
  </si>
  <si>
    <t>strb r3, [r5, 0x8]</t>
  </si>
  <si>
    <t>mov r4, 0x32</t>
  </si>
  <si>
    <t>Set 50 power</t>
  </si>
  <si>
    <t>Set highest</t>
  </si>
  <si>
    <t>mov r5, 0x2</t>
  </si>
  <si>
    <t>Set Physical</t>
  </si>
  <si>
    <t>mov r6, 0x0</t>
  </si>
  <si>
    <t>push {r4, r5, r6}</t>
  </si>
  <si>
    <t>CC070000</t>
  </si>
  <si>
    <t>Get text string index (Dragon Darts)</t>
  </si>
  <si>
    <t>Get move index</t>
  </si>
  <si>
    <t>uxth r0, r0</t>
  </si>
  <si>
    <t>sub r0, r0, 0x200</t>
  </si>
  <si>
    <t>subs r0, r0, 0xEC</t>
  </si>
  <si>
    <t>Check for Tachyon Cutter</t>
  </si>
  <si>
    <t>addeq r2, r2, 0x4</t>
  </si>
  <si>
    <t>Add 4 to get text for that</t>
  </si>
  <si>
    <t>000C8CD0</t>
  </si>
  <si>
    <t>Dragon Darts Call Function</t>
  </si>
  <si>
    <t>check attacker</t>
  </si>
  <si>
    <t>000050E3</t>
  </si>
  <si>
    <t>bl 0x000604AC</t>
  </si>
  <si>
    <t>mov r5, r1</t>
  </si>
  <si>
    <t>mov r0, r5</t>
  </si>
  <si>
    <t>bl 0x00101038</t>
  </si>
  <si>
    <t>000D28E4</t>
  </si>
  <si>
    <t>0150A0E1</t>
  </si>
  <si>
    <t>0500A0E1</t>
  </si>
  <si>
    <t>001011EC</t>
  </si>
  <si>
    <t>70002DE9</t>
  </si>
  <si>
    <t>0430DAE7</t>
  </si>
  <si>
    <t>0830C5E5</t>
  </si>
  <si>
    <t>3240A0E3</t>
  </si>
  <si>
    <t>0250A0E3</t>
  </si>
  <si>
    <t>0060A0E3</t>
  </si>
  <si>
    <t>7000BDE8</t>
  </si>
  <si>
    <t>7000FFE6</t>
  </si>
  <si>
    <t>020C40E2</t>
  </si>
  <si>
    <t>EC0050E2</t>
  </si>
  <si>
    <t>04208202</t>
  </si>
  <si>
    <t>Check Self</t>
  </si>
  <si>
    <t>mov r0, 0x2</t>
  </si>
  <si>
    <t>index defender</t>
  </si>
  <si>
    <t>145F90</t>
  </si>
  <si>
    <t>and r0, r0, 0xFF</t>
  </si>
  <si>
    <t>push {r4, lr}</t>
  </si>
  <si>
    <t>get bss spot</t>
  </si>
  <si>
    <t>bss byte storage</t>
  </si>
  <si>
    <t>strb r0, [r1]</t>
  </si>
  <si>
    <t>mov r6, r1</t>
  </si>
  <si>
    <t>10402DE9</t>
  </si>
  <si>
    <t>FF0000E2</t>
  </si>
  <si>
    <t>0000C1E5</t>
  </si>
  <si>
    <t>1080BDE8</t>
  </si>
  <si>
    <t>0200A0E3</t>
  </si>
  <si>
    <t>0160A0E1</t>
  </si>
  <si>
    <t>store defender index bool</t>
  </si>
  <si>
    <t>load byte there</t>
  </si>
  <si>
    <t>load pointer to bss</t>
  </si>
  <si>
    <t>set r6 to index</t>
  </si>
  <si>
    <t>moveq r1, r6</t>
  </si>
  <si>
    <t>go to inflict damage</t>
  </si>
  <si>
    <t>mov r7, 0x0</t>
  </si>
  <si>
    <t>Damage ally of target if fails (timing from High Jump Kick). 0x2B/0x60 (second for double second hit)</t>
  </si>
  <si>
    <t>mov r0, 0x2E</t>
  </si>
  <si>
    <t>b 0x00082D44</t>
  </si>
  <si>
    <t>no change if 1 enemy</t>
  </si>
  <si>
    <t>Add damage manually to field so Shell Bell and stuff works</t>
  </si>
  <si>
    <t>mov r0, 0x36</t>
  </si>
  <si>
    <t>get total damage so far</t>
  </si>
  <si>
    <t>r1 = damage so far + damage dealt</t>
  </si>
  <si>
    <t>strh r0, [r5, 0x6]</t>
  </si>
  <si>
    <t>set parameter 0 to have value 1</t>
  </si>
  <si>
    <t>B600C5E1</t>
  </si>
  <si>
    <t>3600A0E3</t>
  </si>
  <si>
    <t>0070A0E3</t>
  </si>
  <si>
    <t>0610A001</t>
  </si>
  <si>
    <t>2E00A0E3</t>
  </si>
  <si>
    <t>bl #0x00087B58</t>
  </si>
  <si>
    <t>Set Defender Index 0x50</t>
  </si>
  <si>
    <t>mov r1, 0x5</t>
  </si>
  <si>
    <t>bl 0x000DD1F8</t>
  </si>
  <si>
    <t>Get enemy ally count</t>
  </si>
  <si>
    <t>strbeq r1, [r10, r4]</t>
  </si>
  <si>
    <t>check timing (0x60 for double 2nd hit)</t>
  </si>
  <si>
    <t>0410CA07</t>
  </si>
  <si>
    <t>mov r2, 0x7</t>
  </si>
  <si>
    <t>strb r2, [r5, 0x4]</t>
  </si>
  <si>
    <t>movhi r11, 0x0</t>
  </si>
  <si>
    <t>mov r11, r0</t>
  </si>
  <si>
    <t>add r1, r0, r11</t>
  </si>
  <si>
    <t>cmpeq r11, 0x0</t>
  </si>
  <si>
    <t>if both true, inflict to original</t>
  </si>
  <si>
    <t>00B0A083</t>
  </si>
  <si>
    <t>3300000A</t>
  </si>
  <si>
    <t>00B0A0E1</t>
  </si>
  <si>
    <t>0B1080E0</t>
  </si>
  <si>
    <t>0720A0E3</t>
  </si>
  <si>
    <t>0420C5E5</t>
  </si>
  <si>
    <t>00005B03</t>
  </si>
  <si>
    <t>get timing byte</t>
  </si>
  <si>
    <t>cmp r0, 0x60</t>
  </si>
  <si>
    <t>5B00001A</t>
  </si>
  <si>
    <t>5300000A</t>
  </si>
  <si>
    <t>600050E3</t>
  </si>
  <si>
    <t>E819FEEB</t>
  </si>
  <si>
    <t>E419FEEB</t>
  </si>
  <si>
    <t>sub sp, sp, 0xC</t>
  </si>
  <si>
    <t>add sp, sp, 0xC</t>
  </si>
  <si>
    <t>add r4, r4, 0x1</t>
  </si>
  <si>
    <t>cmp r0, 0x2B</t>
  </si>
  <si>
    <t>ldrbeq r1, [r10, r4]</t>
  </si>
  <si>
    <t>reload index to r1</t>
  </si>
  <si>
    <t>so grab its index and store it to this spot</t>
  </si>
  <si>
    <t>otherwise check if miss case - do same thing again (1st hit redirect, 2nd hit as is)</t>
  </si>
  <si>
    <t>014084E2</t>
  </si>
  <si>
    <t>C5FFFF3A</t>
  </si>
  <si>
    <t>2B0050E3</t>
  </si>
  <si>
    <t>0410DA07</t>
  </si>
  <si>
    <t>reset timing to not be either, inf loop avoid</t>
  </si>
  <si>
    <t>ldrb r1, [r6]</t>
  </si>
  <si>
    <t>strb r9, [r6, 0x1]</t>
  </si>
  <si>
    <t>ldrb r0, [r2, 0x1]</t>
  </si>
  <si>
    <t>strbeq r4, [r2, 0x1]</t>
  </si>
  <si>
    <t>DC619FE5</t>
  </si>
  <si>
    <t>0190C6E5</t>
  </si>
  <si>
    <t>521AFEEB</t>
  </si>
  <si>
    <t>0010D6E5</t>
  </si>
  <si>
    <t>B40AFEEB</t>
  </si>
  <si>
    <t>D2A6FDEB</t>
  </si>
  <si>
    <t>AB0AFEEB</t>
  </si>
  <si>
    <t>947CFDEB</t>
  </si>
  <si>
    <t>0544FEEB</t>
  </si>
  <si>
    <t>1819FEEB</t>
  </si>
  <si>
    <t>F943FEEB</t>
  </si>
  <si>
    <t>5CFFFFEB</t>
  </si>
  <si>
    <t>1D1AFEEB</t>
  </si>
  <si>
    <t>C26FFFEB</t>
  </si>
  <si>
    <t>111AFEEB</t>
  </si>
  <si>
    <t>B428DFE1</t>
  </si>
  <si>
    <t>4E22FEEB</t>
  </si>
  <si>
    <t>31F9FDEB</t>
  </si>
  <si>
    <t>6AEEFDEB</t>
  </si>
  <si>
    <t>0100D2E5</t>
  </si>
  <si>
    <t>0140C205</t>
  </si>
  <si>
    <t>AAFFFFEA</t>
  </si>
  <si>
    <t>0400001A</t>
  </si>
  <si>
    <t>04109FE5</t>
  </si>
  <si>
    <t>78209FE5</t>
  </si>
  <si>
    <t>branch to zeroing phase</t>
  </si>
  <si>
    <t>ldr r1, [r10, 0x8]</t>
  </si>
  <si>
    <t>08109AE5</t>
  </si>
  <si>
    <t>subeq r4, r4, 0x1</t>
  </si>
  <si>
    <t>5500000A</t>
  </si>
  <si>
    <t>4500009A</t>
  </si>
  <si>
    <t>0200000A</t>
  </si>
  <si>
    <t>01404402</t>
  </si>
  <si>
    <t>BCFFFF0A</t>
  </si>
  <si>
    <t>570AFEEB</t>
  </si>
  <si>
    <t>Set only 1/2 primary hit in double+ 0x43</t>
  </si>
  <si>
    <t>push {r4, r5, r6, lr}</t>
  </si>
  <si>
    <t>mov r6, r3</t>
  </si>
  <si>
    <t>Get move hit count</t>
  </si>
  <si>
    <t>lsr r1, r0, #1</t>
  </si>
  <si>
    <t>divide count by 2</t>
  </si>
  <si>
    <t>and r1, r0, 0xFF</t>
  </si>
  <si>
    <t>str r4, [r6]</t>
  </si>
  <si>
    <t>001025D8</t>
  </si>
  <si>
    <t>70402DE9</t>
  </si>
  <si>
    <t>0360A0E1</t>
  </si>
  <si>
    <t>5915FEEB</t>
  </si>
  <si>
    <t>0E00001A</t>
  </si>
  <si>
    <t>5515FEEB</t>
  </si>
  <si>
    <t>FF1000E2</t>
  </si>
  <si>
    <t>DCA1FDEB</t>
  </si>
  <si>
    <t>0700000A</t>
  </si>
  <si>
    <t>4E15FEEB</t>
  </si>
  <si>
    <t>A010A0E1</t>
  </si>
  <si>
    <t>004086E5</t>
  </si>
  <si>
    <t>7040BDE8</t>
  </si>
  <si>
    <t>C301FEEA</t>
  </si>
  <si>
    <t>7080BDE8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</si>
</sst>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Cascadia Code"/>
      <family val="3"/>
    </font>
    <font>
      <sz val="11"/>
      <color theme="1"/>
      <name val="Cascadia Code"/>
      <family val="3"/>
    </font>
    <font>
      <sz val="11"/>
      <name val="Cascadia Code"/>
      <family val="3"/>
    </font>
  </fonts>
  <fills count="1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189F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4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quotePrefix="1" applyFont="1"/>
    <xf numFmtId="0" fontId="4" fillId="0" borderId="0" xfId="0" quotePrefix="1" applyFont="1"/>
    <xf numFmtId="0" fontId="4" fillId="0" borderId="0" xfId="0" applyFont="1"/>
    <xf numFmtId="0" fontId="3" fillId="0" borderId="0" xfId="1" applyNumberFormat="1" applyFont="1" applyFill="1"/>
    <xf numFmtId="0" fontId="3" fillId="3" borderId="0" xfId="0" applyFont="1" applyFill="1"/>
    <xf numFmtId="0" fontId="3" fillId="3" borderId="0" xfId="0" quotePrefix="1" applyFont="1" applyFill="1"/>
    <xf numFmtId="0" fontId="3" fillId="2" borderId="0" xfId="0" applyFont="1" applyFill="1"/>
    <xf numFmtId="0" fontId="3" fillId="4" borderId="0" xfId="0" applyFont="1" applyFill="1"/>
    <xf numFmtId="0" fontId="3" fillId="4" borderId="0" xfId="0" quotePrefix="1" applyFont="1" applyFill="1"/>
    <xf numFmtId="0" fontId="3" fillId="5" borderId="0" xfId="0" applyFont="1" applyFill="1"/>
    <xf numFmtId="0" fontId="3" fillId="5" borderId="0" xfId="0" quotePrefix="1" applyFont="1" applyFill="1"/>
    <xf numFmtId="0" fontId="2" fillId="0" borderId="0" xfId="0" quotePrefix="1" applyFont="1"/>
    <xf numFmtId="0" fontId="3" fillId="6" borderId="0" xfId="0" applyFont="1" applyFill="1"/>
    <xf numFmtId="0" fontId="3" fillId="6" borderId="0" xfId="0" quotePrefix="1" applyFont="1" applyFill="1"/>
    <xf numFmtId="0" fontId="4" fillId="5" borderId="0" xfId="0" quotePrefix="1" applyFont="1" applyFill="1"/>
    <xf numFmtId="0" fontId="4" fillId="5" borderId="0" xfId="0" applyFont="1" applyFill="1"/>
    <xf numFmtId="0" fontId="3" fillId="7" borderId="0" xfId="0" applyFont="1" applyFill="1"/>
    <xf numFmtId="0" fontId="4" fillId="7" borderId="0" xfId="0" quotePrefix="1" applyFont="1" applyFill="1"/>
    <xf numFmtId="0" fontId="4" fillId="7" borderId="0" xfId="0" applyFont="1" applyFill="1"/>
    <xf numFmtId="0" fontId="3" fillId="8" borderId="0" xfId="0" applyFont="1" applyFill="1"/>
    <xf numFmtId="0" fontId="4" fillId="8" borderId="0" xfId="0" quotePrefix="1" applyFont="1" applyFill="1"/>
    <xf numFmtId="0" fontId="4" fillId="8" borderId="0" xfId="0" applyFont="1" applyFill="1"/>
    <xf numFmtId="0" fontId="3" fillId="9" borderId="0" xfId="0" applyFont="1" applyFill="1"/>
    <xf numFmtId="0" fontId="4" fillId="9" borderId="0" xfId="0" quotePrefix="1" applyFont="1" applyFill="1"/>
    <xf numFmtId="0" fontId="4" fillId="9" borderId="0" xfId="0" applyFont="1" applyFill="1"/>
    <xf numFmtId="0" fontId="3" fillId="10" borderId="0" xfId="0" applyFont="1" applyFill="1"/>
    <xf numFmtId="0" fontId="4" fillId="10" borderId="0" xfId="0" quotePrefix="1" applyFont="1" applyFill="1"/>
    <xf numFmtId="0" fontId="4" fillId="10" borderId="0" xfId="0" applyFont="1" applyFill="1"/>
    <xf numFmtId="0" fontId="3" fillId="11" borderId="0" xfId="0" applyFont="1" applyFill="1"/>
    <xf numFmtId="0" fontId="4" fillId="11" borderId="0" xfId="0" quotePrefix="1" applyFont="1" applyFill="1"/>
    <xf numFmtId="0" fontId="4" fillId="11" borderId="0" xfId="0" applyFont="1" applyFill="1"/>
    <xf numFmtId="0" fontId="3" fillId="12" borderId="0" xfId="0" applyFont="1" applyFill="1"/>
    <xf numFmtId="0" fontId="4" fillId="12" borderId="0" xfId="0" quotePrefix="1" applyFont="1" applyFill="1"/>
    <xf numFmtId="0" fontId="4" fillId="12" borderId="0" xfId="0" applyFont="1" applyFill="1"/>
    <xf numFmtId="0" fontId="3" fillId="13" borderId="0" xfId="0" applyFont="1" applyFill="1"/>
    <xf numFmtId="0" fontId="4" fillId="13" borderId="0" xfId="0" quotePrefix="1" applyFont="1" applyFill="1"/>
    <xf numFmtId="0" fontId="4" fillId="13" borderId="0" xfId="0" applyFont="1" applyFill="1"/>
    <xf numFmtId="0" fontId="3" fillId="14" borderId="0" xfId="0" applyFont="1" applyFill="1"/>
    <xf numFmtId="0" fontId="3" fillId="14" borderId="0" xfId="0" quotePrefix="1" applyFont="1" applyFill="1"/>
    <xf numFmtId="0" fontId="4" fillId="14" borderId="0" xfId="0" applyFont="1" applyFill="1"/>
    <xf numFmtId="0" fontId="3" fillId="15" borderId="0" xfId="0" applyFont="1" applyFill="1"/>
    <xf numFmtId="0" fontId="3" fillId="15" borderId="0" xfId="0" quotePrefix="1" applyFont="1" applyFill="1"/>
    <xf numFmtId="0" fontId="3" fillId="16" borderId="0" xfId="0" applyFont="1" applyFill="1"/>
    <xf numFmtId="0" fontId="3" fillId="16" borderId="0" xfId="0" quotePrefix="1" applyFont="1" applyFill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6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3" fillId="3" borderId="0" xfId="0" applyFont="1" applyFill="1" applyAlignment="1">
      <alignment wrapText="1"/>
    </xf>
    <xf numFmtId="0" fontId="3" fillId="4" borderId="0" xfId="0" applyFont="1" applyFill="1" applyAlignment="1">
      <alignment wrapText="1"/>
    </xf>
    <xf numFmtId="0" fontId="3" fillId="5" borderId="0" xfId="0" applyFont="1" applyFill="1" applyAlignment="1">
      <alignment wrapText="1"/>
    </xf>
    <xf numFmtId="0" fontId="3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3" fillId="9" borderId="0" xfId="0" applyFont="1" applyFill="1" applyAlignment="1">
      <alignment wrapText="1"/>
    </xf>
    <xf numFmtId="0" fontId="3" fillId="10" borderId="0" xfId="0" applyFont="1" applyFill="1" applyAlignment="1">
      <alignment wrapText="1"/>
    </xf>
    <xf numFmtId="0" fontId="3" fillId="11" borderId="0" xfId="0" applyFont="1" applyFill="1" applyAlignment="1">
      <alignment wrapText="1"/>
    </xf>
    <xf numFmtId="0" fontId="3" fillId="13" borderId="0" xfId="0" applyFont="1" applyFill="1" applyAlignment="1">
      <alignment wrapText="1"/>
    </xf>
    <xf numFmtId="0" fontId="3" fillId="14" borderId="0" xfId="0" applyFont="1" applyFill="1" applyAlignment="1">
      <alignment wrapText="1"/>
    </xf>
    <xf numFmtId="0" fontId="3" fillId="15" borderId="0" xfId="0" applyFont="1" applyFill="1" applyAlignment="1">
      <alignment wrapText="1"/>
    </xf>
    <xf numFmtId="0" fontId="3" fillId="16" borderId="0" xfId="0" applyFont="1" applyFill="1" applyAlignment="1">
      <alignment wrapText="1"/>
    </xf>
    <xf numFmtId="0" fontId="3" fillId="5" borderId="0" xfId="0" quotePrefix="1" applyFont="1" applyFill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247EB-EDD1-4FB4-BA08-1D454B2F7DD3}">
  <dimension ref="A1:I163"/>
  <sheetViews>
    <sheetView tabSelected="1" zoomScaleNormal="100" workbookViewId="0">
      <pane ySplit="1" topLeftCell="A130" activePane="bottomLeft" state="frozen"/>
      <selection pane="bottomLeft" activeCell="C141" sqref="C141"/>
    </sheetView>
  </sheetViews>
  <sheetFormatPr defaultColWidth="9.2109375" defaultRowHeight="15.9"/>
  <cols>
    <col min="1" max="1" width="10.2109375" style="2" customWidth="1"/>
    <col min="2" max="2" width="10.0703125" style="2" bestFit="1" customWidth="1"/>
    <col min="3" max="3" width="57.0703125" style="2" bestFit="1" customWidth="1"/>
    <col min="4" max="4" width="54" style="48" customWidth="1"/>
    <col min="5" max="5" width="3.640625" style="2" customWidth="1"/>
    <col min="6" max="6" width="12.7109375" style="2" customWidth="1"/>
    <col min="7" max="7" width="13.640625" style="2" customWidth="1"/>
    <col min="8" max="11" width="9.2109375" style="2"/>
    <col min="12" max="12" width="9.7109375" style="2" bestFit="1" customWidth="1"/>
    <col min="13" max="16384" width="9.2109375" style="2"/>
  </cols>
  <sheetData>
    <row r="1" spans="1:4">
      <c r="A1" s="1" t="s">
        <v>0</v>
      </c>
      <c r="B1" s="1" t="s">
        <v>1</v>
      </c>
      <c r="C1" s="1" t="s">
        <v>2</v>
      </c>
      <c r="D1" s="47" t="s">
        <v>3</v>
      </c>
    </row>
    <row r="2" spans="1:4">
      <c r="A2" s="1" t="s">
        <v>1029</v>
      </c>
      <c r="B2" s="1"/>
      <c r="C2" s="1"/>
      <c r="D2" s="47"/>
    </row>
    <row r="3" spans="1:4">
      <c r="A3" s="3" t="s">
        <v>1028</v>
      </c>
      <c r="B3" s="2" t="str">
        <f>_xlfn.CONCAT("0",RIGHT(C3,1),"10A0E3")</f>
        <v>0510A0E3</v>
      </c>
      <c r="C3" s="2" t="s">
        <v>1091</v>
      </c>
      <c r="D3" s="47"/>
    </row>
    <row r="4" spans="1:4">
      <c r="A4" s="2" t="str">
        <f t="shared" ref="A4:A7" si="0">DEC2HEX(HEX2DEC(A3)+4,8)</f>
        <v>000C8CD4</v>
      </c>
      <c r="B4" s="3" t="s">
        <v>831</v>
      </c>
      <c r="C4" s="2" t="s">
        <v>832</v>
      </c>
      <c r="D4" s="47"/>
    </row>
    <row r="5" spans="1:4">
      <c r="A5" s="2" t="str">
        <f t="shared" si="0"/>
        <v>000C8CD8</v>
      </c>
      <c r="B5" s="2" t="s">
        <v>833</v>
      </c>
      <c r="C5" s="2" t="s">
        <v>834</v>
      </c>
      <c r="D5" s="47"/>
    </row>
    <row r="6" spans="1:4">
      <c r="A6" s="2" t="str">
        <f t="shared" si="0"/>
        <v>000C8CDC</v>
      </c>
      <c r="B6" s="2" t="s">
        <v>835</v>
      </c>
      <c r="C6" s="2" t="s">
        <v>836</v>
      </c>
    </row>
    <row r="7" spans="1:4">
      <c r="A7" s="2" t="str">
        <f t="shared" si="0"/>
        <v>000C8CE0</v>
      </c>
      <c r="B7" s="3" t="s">
        <v>830</v>
      </c>
      <c r="C7" s="2" t="s">
        <v>837</v>
      </c>
    </row>
    <row r="8" spans="1:4">
      <c r="B8" s="1"/>
      <c r="C8" s="1"/>
      <c r="D8" s="47"/>
    </row>
    <row r="9" spans="1:4">
      <c r="A9" s="1" t="s">
        <v>848</v>
      </c>
      <c r="C9" s="5"/>
    </row>
    <row r="10" spans="1:4">
      <c r="A10" s="2" t="s">
        <v>1036</v>
      </c>
      <c r="B10" s="3"/>
    </row>
    <row r="11" spans="1:4">
      <c r="A11" s="1"/>
      <c r="B11" s="3"/>
      <c r="C11" s="2" t="s">
        <v>1054</v>
      </c>
    </row>
    <row r="12" spans="1:4">
      <c r="A12" s="14" t="s">
        <v>1074</v>
      </c>
      <c r="B12" s="4"/>
    </row>
    <row r="13" spans="1:4">
      <c r="A13" s="3" t="s">
        <v>1039</v>
      </c>
      <c r="B13" s="2" t="s">
        <v>862</v>
      </c>
      <c r="C13" s="2" t="s">
        <v>930</v>
      </c>
    </row>
    <row r="14" spans="1:4">
      <c r="A14" s="9" t="str">
        <f t="shared" ref="A14:A77" si="1">DEC2HEX(HEX2DEC(A13)+4,8)</f>
        <v>001011F0</v>
      </c>
      <c r="B14" s="9" t="s">
        <v>1135</v>
      </c>
      <c r="C14" s="9" t="str">
        <f>_xlfn.CONCAT("ldr r6, [pc, 0x",DEC2HEX(HEX2DEC(A$137)-HEX2DEC(A14)-8,3),"]")</f>
        <v>ldr r6, [pc, 0x1DC]</v>
      </c>
      <c r="D14" s="50" t="s">
        <v>1069</v>
      </c>
    </row>
    <row r="15" spans="1:4">
      <c r="A15" s="2" t="str">
        <f t="shared" si="1"/>
        <v>001011F4</v>
      </c>
      <c r="B15" s="2" t="s">
        <v>1136</v>
      </c>
      <c r="C15" s="2" t="s">
        <v>1132</v>
      </c>
    </row>
    <row r="16" spans="1:4">
      <c r="A16" s="2" t="str">
        <f t="shared" si="1"/>
        <v>001011F8</v>
      </c>
      <c r="B16" s="2" t="s">
        <v>863</v>
      </c>
      <c r="C16" s="2" t="s">
        <v>1118</v>
      </c>
    </row>
    <row r="17" spans="1:4">
      <c r="A17" s="2" t="str">
        <f t="shared" si="1"/>
        <v>001011FC</v>
      </c>
      <c r="B17" s="2" t="s">
        <v>864</v>
      </c>
      <c r="C17" s="2" t="s">
        <v>849</v>
      </c>
    </row>
    <row r="18" spans="1:4">
      <c r="A18" s="2" t="str">
        <f t="shared" si="1"/>
        <v>00101200</v>
      </c>
      <c r="B18" s="2" t="s">
        <v>865</v>
      </c>
      <c r="C18" s="2" t="s">
        <v>961</v>
      </c>
    </row>
    <row r="19" spans="1:4">
      <c r="A19" s="15" t="str">
        <f t="shared" si="1"/>
        <v>00101204</v>
      </c>
      <c r="B19" s="15" t="s">
        <v>1065</v>
      </c>
      <c r="C19" s="15" t="s">
        <v>1052</v>
      </c>
      <c r="D19" s="49" t="s">
        <v>1051</v>
      </c>
    </row>
    <row r="20" spans="1:4">
      <c r="A20" s="15" t="str">
        <f t="shared" si="1"/>
        <v>00101208</v>
      </c>
      <c r="B20" s="15" t="s">
        <v>1137</v>
      </c>
      <c r="C20" s="15" t="s">
        <v>846</v>
      </c>
      <c r="D20" s="49"/>
    </row>
    <row r="21" spans="1:4">
      <c r="A21" s="15" t="str">
        <f t="shared" si="1"/>
        <v>0010120C</v>
      </c>
      <c r="B21" s="16" t="s">
        <v>867</v>
      </c>
      <c r="C21" s="15" t="s">
        <v>850</v>
      </c>
      <c r="D21" s="49"/>
    </row>
    <row r="22" spans="1:4">
      <c r="A22" s="15" t="str">
        <f t="shared" si="1"/>
        <v>00101210</v>
      </c>
      <c r="B22" s="15" t="s">
        <v>1113</v>
      </c>
      <c r="C22" s="15" t="str">
        <f>_xlfn.CONCAT("bne 0x",A$115)</f>
        <v>bne 0x00101384</v>
      </c>
      <c r="D22" s="49"/>
    </row>
    <row r="23" spans="1:4">
      <c r="A23" s="9" t="str">
        <f t="shared" si="1"/>
        <v>00101214</v>
      </c>
      <c r="B23" s="9" t="s">
        <v>1138</v>
      </c>
      <c r="C23" s="9" t="s">
        <v>1131</v>
      </c>
      <c r="D23" s="50" t="s">
        <v>1068</v>
      </c>
    </row>
    <row r="24" spans="1:4">
      <c r="A24" s="9" t="str">
        <f t="shared" si="1"/>
        <v>00101218</v>
      </c>
      <c r="B24" s="9" t="s">
        <v>1066</v>
      </c>
      <c r="C24" s="9" t="s">
        <v>1060</v>
      </c>
      <c r="D24" s="50" t="s">
        <v>1070</v>
      </c>
    </row>
    <row r="25" spans="1:4">
      <c r="A25" s="7" t="str">
        <f t="shared" si="1"/>
        <v>0010121C</v>
      </c>
      <c r="B25" s="7" t="s">
        <v>873</v>
      </c>
      <c r="C25" s="7" t="s">
        <v>962</v>
      </c>
      <c r="D25" s="51" t="s">
        <v>966</v>
      </c>
    </row>
    <row r="26" spans="1:4">
      <c r="A26" s="7" t="str">
        <f t="shared" si="1"/>
        <v>00101220</v>
      </c>
      <c r="B26" s="7" t="s">
        <v>1139</v>
      </c>
      <c r="C26" s="7" t="s">
        <v>963</v>
      </c>
      <c r="D26" s="51"/>
    </row>
    <row r="27" spans="1:4">
      <c r="A27" s="7" t="str">
        <f t="shared" si="1"/>
        <v>00101224</v>
      </c>
      <c r="B27" s="8" t="s">
        <v>875</v>
      </c>
      <c r="C27" s="7" t="s">
        <v>946</v>
      </c>
      <c r="D27" s="51"/>
    </row>
    <row r="28" spans="1:4">
      <c r="A28" s="7" t="str">
        <f t="shared" si="1"/>
        <v>00101228</v>
      </c>
      <c r="B28" s="7" t="s">
        <v>1164</v>
      </c>
      <c r="C28" s="7" t="str">
        <f>_xlfn.CONCAT("beq 0x",A$115)</f>
        <v>beq 0x00101384</v>
      </c>
      <c r="D28" s="51"/>
    </row>
    <row r="29" spans="1:4">
      <c r="A29" s="10" t="str">
        <f t="shared" si="1"/>
        <v>0010122C</v>
      </c>
      <c r="B29" s="10" t="s">
        <v>873</v>
      </c>
      <c r="C29" s="10" t="s">
        <v>962</v>
      </c>
      <c r="D29" s="52" t="s">
        <v>968</v>
      </c>
    </row>
    <row r="30" spans="1:4">
      <c r="A30" s="10" t="str">
        <f t="shared" si="1"/>
        <v>00101230</v>
      </c>
      <c r="B30" s="10" t="s">
        <v>1140</v>
      </c>
      <c r="C30" s="10" t="s">
        <v>967</v>
      </c>
      <c r="D30" s="52"/>
    </row>
    <row r="31" spans="1:4">
      <c r="A31" s="10" t="str">
        <f t="shared" si="1"/>
        <v>00101234</v>
      </c>
      <c r="B31" s="11" t="s">
        <v>878</v>
      </c>
      <c r="C31" s="10" t="s">
        <v>947</v>
      </c>
      <c r="D31" s="52"/>
    </row>
    <row r="32" spans="1:4">
      <c r="A32" s="10" t="str">
        <f t="shared" si="1"/>
        <v>00101238</v>
      </c>
      <c r="B32" s="10" t="s">
        <v>1114</v>
      </c>
      <c r="C32" s="10" t="str">
        <f>_xlfn.CONCAT("beq 0x",A$117)</f>
        <v>beq 0x0010138C</v>
      </c>
      <c r="D32" s="52"/>
    </row>
    <row r="33" spans="1:4">
      <c r="A33" s="12" t="str">
        <f t="shared" si="1"/>
        <v>0010123C</v>
      </c>
      <c r="B33" s="12" t="s">
        <v>872</v>
      </c>
      <c r="C33" s="12" t="s">
        <v>851</v>
      </c>
      <c r="D33" s="53" t="s">
        <v>969</v>
      </c>
    </row>
    <row r="34" spans="1:4">
      <c r="A34" s="12" t="str">
        <f t="shared" si="1"/>
        <v>00101240</v>
      </c>
      <c r="B34" s="12" t="s">
        <v>873</v>
      </c>
      <c r="C34" s="12" t="s">
        <v>962</v>
      </c>
      <c r="D34" s="53"/>
    </row>
    <row r="35" spans="1:4">
      <c r="A35" s="12" t="str">
        <f t="shared" si="1"/>
        <v>00101244</v>
      </c>
      <c r="B35" s="12" t="s">
        <v>1141</v>
      </c>
      <c r="C35" s="12" t="s">
        <v>963</v>
      </c>
      <c r="D35" s="53"/>
    </row>
    <row r="36" spans="1:4">
      <c r="A36" s="12" t="str">
        <f t="shared" si="1"/>
        <v>00101248</v>
      </c>
      <c r="B36" s="12" t="s">
        <v>881</v>
      </c>
      <c r="C36" s="12" t="s">
        <v>932</v>
      </c>
      <c r="D36" s="53"/>
    </row>
    <row r="37" spans="1:4">
      <c r="A37" s="12" t="str">
        <f t="shared" si="1"/>
        <v>0010124C</v>
      </c>
      <c r="B37" s="13" t="s">
        <v>882</v>
      </c>
      <c r="C37" s="12" t="s">
        <v>852</v>
      </c>
      <c r="D37" s="53"/>
    </row>
    <row r="38" spans="1:4">
      <c r="A38" s="12" t="str">
        <f t="shared" si="1"/>
        <v>00101250</v>
      </c>
      <c r="B38" s="17" t="s">
        <v>873</v>
      </c>
      <c r="C38" s="18" t="s">
        <v>962</v>
      </c>
      <c r="D38" s="53"/>
    </row>
    <row r="39" spans="1:4">
      <c r="A39" s="12" t="str">
        <f t="shared" si="1"/>
        <v>00101254</v>
      </c>
      <c r="B39" s="17" t="s">
        <v>1142</v>
      </c>
      <c r="C39" s="18" t="s">
        <v>1032</v>
      </c>
      <c r="D39" s="53"/>
    </row>
    <row r="40" spans="1:4">
      <c r="A40" s="12" t="str">
        <f t="shared" si="1"/>
        <v>00101258</v>
      </c>
      <c r="B40" s="17" t="s">
        <v>884</v>
      </c>
      <c r="C40" s="18" t="s">
        <v>948</v>
      </c>
      <c r="D40" s="53"/>
    </row>
    <row r="41" spans="1:4">
      <c r="A41" s="19" t="str">
        <f t="shared" si="1"/>
        <v>0010125C</v>
      </c>
      <c r="B41" s="20" t="s">
        <v>885</v>
      </c>
      <c r="C41" s="21" t="s">
        <v>949</v>
      </c>
      <c r="D41" s="54" t="s">
        <v>975</v>
      </c>
    </row>
    <row r="42" spans="1:4">
      <c r="A42" s="2" t="str">
        <f t="shared" si="1"/>
        <v>00101260</v>
      </c>
      <c r="B42" s="4" t="s">
        <v>886</v>
      </c>
      <c r="C42" s="5" t="s">
        <v>970</v>
      </c>
    </row>
    <row r="43" spans="1:4">
      <c r="A43" s="2" t="str">
        <f t="shared" si="1"/>
        <v>00101264</v>
      </c>
      <c r="B43" s="4" t="s">
        <v>1104</v>
      </c>
      <c r="C43" s="5" t="s">
        <v>1099</v>
      </c>
    </row>
    <row r="44" spans="1:4">
      <c r="A44" s="12" t="str">
        <f t="shared" si="1"/>
        <v>00101268</v>
      </c>
      <c r="B44" s="17" t="s">
        <v>1165</v>
      </c>
      <c r="C44" s="18" t="str">
        <f>_xlfn.CONCAT("bls 0x",A$115)</f>
        <v>bls 0x00101384</v>
      </c>
      <c r="D44" s="53" t="s">
        <v>976</v>
      </c>
    </row>
    <row r="45" spans="1:4">
      <c r="A45" s="22" t="str">
        <f t="shared" si="1"/>
        <v>0010126C</v>
      </c>
      <c r="B45" s="23" t="s">
        <v>889</v>
      </c>
      <c r="C45" s="24" t="s">
        <v>971</v>
      </c>
      <c r="D45" s="55" t="s">
        <v>977</v>
      </c>
    </row>
    <row r="46" spans="1:4">
      <c r="A46" s="22" t="str">
        <f t="shared" si="1"/>
        <v>00101270</v>
      </c>
      <c r="B46" s="23" t="s">
        <v>890</v>
      </c>
      <c r="C46" s="24" t="s">
        <v>853</v>
      </c>
      <c r="D46" s="55" t="s">
        <v>978</v>
      </c>
    </row>
    <row r="47" spans="1:4">
      <c r="A47" s="22" t="str">
        <f t="shared" si="1"/>
        <v>00101274</v>
      </c>
      <c r="B47" s="23" t="s">
        <v>1105</v>
      </c>
      <c r="C47" s="24" t="str">
        <f>_xlfn.CONCAT("beq 0x",A$100)</f>
        <v>beq 0x00101348</v>
      </c>
      <c r="D47" s="55" t="s">
        <v>979</v>
      </c>
    </row>
    <row r="48" spans="1:4">
      <c r="A48" s="25" t="str">
        <f t="shared" si="1"/>
        <v>00101278</v>
      </c>
      <c r="B48" s="26" t="s">
        <v>873</v>
      </c>
      <c r="C48" s="27" t="s">
        <v>962</v>
      </c>
      <c r="D48" s="56" t="s">
        <v>980</v>
      </c>
    </row>
    <row r="49" spans="1:4">
      <c r="A49" s="25" t="str">
        <f t="shared" si="1"/>
        <v>0010127C</v>
      </c>
      <c r="B49" s="26" t="s">
        <v>1143</v>
      </c>
      <c r="C49" s="27" t="s">
        <v>1002</v>
      </c>
      <c r="D49" s="56"/>
    </row>
    <row r="50" spans="1:4">
      <c r="A50" s="25" t="str">
        <f t="shared" si="1"/>
        <v>00101280</v>
      </c>
      <c r="B50" s="26" t="s">
        <v>893</v>
      </c>
      <c r="C50" s="25" t="s">
        <v>950</v>
      </c>
      <c r="D50" s="56"/>
    </row>
    <row r="51" spans="1:4">
      <c r="A51" s="28" t="str">
        <f t="shared" si="1"/>
        <v>00101284</v>
      </c>
      <c r="B51" s="29" t="s">
        <v>894</v>
      </c>
      <c r="C51" s="30" t="s">
        <v>854</v>
      </c>
      <c r="D51" s="57" t="s">
        <v>981</v>
      </c>
    </row>
    <row r="52" spans="1:4">
      <c r="A52" s="28" t="str">
        <f t="shared" si="1"/>
        <v>00101288</v>
      </c>
      <c r="B52" s="29" t="s">
        <v>895</v>
      </c>
      <c r="C52" s="30" t="s">
        <v>951</v>
      </c>
      <c r="D52" s="57"/>
    </row>
    <row r="53" spans="1:4">
      <c r="A53" s="28" t="str">
        <f t="shared" si="1"/>
        <v>0010128C</v>
      </c>
      <c r="B53" s="29" t="s">
        <v>873</v>
      </c>
      <c r="C53" s="30" t="s">
        <v>962</v>
      </c>
      <c r="D53" s="57"/>
    </row>
    <row r="54" spans="1:4">
      <c r="A54" s="28" t="str">
        <f t="shared" si="1"/>
        <v>00101290</v>
      </c>
      <c r="B54" s="29" t="s">
        <v>1144</v>
      </c>
      <c r="C54" s="30" t="s">
        <v>1000</v>
      </c>
      <c r="D54" s="57"/>
    </row>
    <row r="55" spans="1:4">
      <c r="A55" s="31" t="str">
        <f t="shared" si="1"/>
        <v>00101294</v>
      </c>
      <c r="B55" s="32" t="s">
        <v>897</v>
      </c>
      <c r="C55" s="33" t="s">
        <v>855</v>
      </c>
      <c r="D55" s="58" t="s">
        <v>982</v>
      </c>
    </row>
    <row r="56" spans="1:4">
      <c r="A56" s="2" t="str">
        <f t="shared" si="1"/>
        <v>00101298</v>
      </c>
      <c r="B56" s="4" t="s">
        <v>1040</v>
      </c>
      <c r="C56" s="5" t="s">
        <v>1018</v>
      </c>
    </row>
    <row r="57" spans="1:4">
      <c r="A57" s="31" t="str">
        <f t="shared" si="1"/>
        <v>0010129C</v>
      </c>
      <c r="B57" s="32" t="s">
        <v>1041</v>
      </c>
      <c r="C57" s="33" t="s">
        <v>1010</v>
      </c>
      <c r="D57" s="58" t="s">
        <v>983</v>
      </c>
    </row>
    <row r="58" spans="1:4">
      <c r="A58" s="31" t="str">
        <f t="shared" si="1"/>
        <v>001012A0</v>
      </c>
      <c r="B58" s="32" t="s">
        <v>1042</v>
      </c>
      <c r="C58" s="33" t="s">
        <v>1011</v>
      </c>
      <c r="D58" s="58" t="s">
        <v>1053</v>
      </c>
    </row>
    <row r="59" spans="1:4">
      <c r="A59" s="2" t="str">
        <f t="shared" si="1"/>
        <v>001012A4</v>
      </c>
      <c r="B59" s="4" t="s">
        <v>873</v>
      </c>
      <c r="C59" s="5" t="s">
        <v>962</v>
      </c>
      <c r="D59" s="48" t="s">
        <v>1003</v>
      </c>
    </row>
    <row r="60" spans="1:4">
      <c r="A60" s="2" t="str">
        <f t="shared" si="1"/>
        <v>001012A8</v>
      </c>
      <c r="B60" s="4" t="s">
        <v>924</v>
      </c>
      <c r="C60" s="2" t="s">
        <v>859</v>
      </c>
    </row>
    <row r="61" spans="1:4">
      <c r="A61" s="2" t="str">
        <f t="shared" si="1"/>
        <v>001012AC</v>
      </c>
      <c r="B61" s="4" t="s">
        <v>1145</v>
      </c>
      <c r="C61" s="2" t="s">
        <v>1002</v>
      </c>
    </row>
    <row r="62" spans="1:4">
      <c r="A62" s="2" t="str">
        <f t="shared" si="1"/>
        <v>001012B0</v>
      </c>
      <c r="B62" s="4" t="s">
        <v>1162</v>
      </c>
      <c r="C62" s="5" t="s">
        <v>1161</v>
      </c>
      <c r="D62" s="48" t="s">
        <v>1001</v>
      </c>
    </row>
    <row r="63" spans="1:4">
      <c r="A63" s="2" t="str">
        <f t="shared" si="1"/>
        <v>001012B4</v>
      </c>
      <c r="B63" s="4" t="s">
        <v>1043</v>
      </c>
      <c r="C63" s="2" t="s">
        <v>1012</v>
      </c>
      <c r="D63" s="48" t="s">
        <v>1013</v>
      </c>
    </row>
    <row r="64" spans="1:4">
      <c r="A64" s="2" t="str">
        <f t="shared" si="1"/>
        <v>001012B8</v>
      </c>
      <c r="B64" s="4" t="s">
        <v>1044</v>
      </c>
      <c r="C64" s="2" t="s">
        <v>1015</v>
      </c>
      <c r="D64" s="48" t="s">
        <v>1014</v>
      </c>
    </row>
    <row r="65" spans="1:9">
      <c r="A65" s="2" t="str">
        <f t="shared" si="1"/>
        <v>001012BC</v>
      </c>
      <c r="B65" s="4" t="s">
        <v>1045</v>
      </c>
      <c r="C65" s="2" t="s">
        <v>1017</v>
      </c>
      <c r="D65" s="48" t="s">
        <v>1016</v>
      </c>
    </row>
    <row r="66" spans="1:9">
      <c r="A66" s="2" t="str">
        <f t="shared" si="1"/>
        <v>001012C0</v>
      </c>
      <c r="B66" s="4" t="s">
        <v>1146</v>
      </c>
      <c r="C66" s="2" t="s">
        <v>1035</v>
      </c>
      <c r="D66" s="48" t="s">
        <v>1005</v>
      </c>
    </row>
    <row r="67" spans="1:9">
      <c r="A67" s="2" t="str">
        <f t="shared" si="1"/>
        <v>001012C4</v>
      </c>
      <c r="B67" s="4" t="s">
        <v>1046</v>
      </c>
      <c r="C67" s="2" t="str">
        <f>SUBSTITUTE(C56,"push","pop")</f>
        <v>pop {r4, r5, r6}</v>
      </c>
    </row>
    <row r="68" spans="1:9">
      <c r="A68" s="2" t="str">
        <f t="shared" si="1"/>
        <v>001012C8</v>
      </c>
      <c r="B68" s="3" t="s">
        <v>1031</v>
      </c>
      <c r="C68" s="2" t="s">
        <v>1006</v>
      </c>
      <c r="D68" s="48" t="s">
        <v>1007</v>
      </c>
    </row>
    <row r="69" spans="1:9">
      <c r="A69" s="2" t="str">
        <f t="shared" si="1"/>
        <v>001012CC</v>
      </c>
      <c r="B69" s="4" t="s">
        <v>891</v>
      </c>
      <c r="C69" s="2" t="str">
        <f>_xlfn.CONCAT("beq 0x",A$100)</f>
        <v>beq 0x00101348</v>
      </c>
      <c r="D69" s="48" t="s">
        <v>1008</v>
      </c>
    </row>
    <row r="70" spans="1:9">
      <c r="A70" s="37" t="str">
        <f t="shared" si="1"/>
        <v>001012D0</v>
      </c>
      <c r="B70" s="37" t="s">
        <v>1084</v>
      </c>
      <c r="C70" s="37" t="s">
        <v>1082</v>
      </c>
      <c r="D70" s="59" t="s">
        <v>988</v>
      </c>
    </row>
    <row r="71" spans="1:9" ht="31.75">
      <c r="A71" s="2" t="str">
        <f t="shared" si="1"/>
        <v>001012D4</v>
      </c>
      <c r="B71" s="2" t="s">
        <v>1106</v>
      </c>
      <c r="C71" s="2" t="s">
        <v>1100</v>
      </c>
      <c r="D71" s="48" t="s">
        <v>1078</v>
      </c>
    </row>
    <row r="72" spans="1:9">
      <c r="A72" s="2" t="str">
        <f t="shared" si="1"/>
        <v>001012D8</v>
      </c>
      <c r="B72" s="4" t="s">
        <v>1085</v>
      </c>
      <c r="C72" s="2" t="s">
        <v>1079</v>
      </c>
      <c r="D72" s="48" t="s">
        <v>1080</v>
      </c>
    </row>
    <row r="73" spans="1:9">
      <c r="A73" s="2" t="str">
        <f t="shared" si="1"/>
        <v>001012DC</v>
      </c>
      <c r="B73" s="4" t="s">
        <v>1147</v>
      </c>
      <c r="C73" s="2" t="s">
        <v>846</v>
      </c>
    </row>
    <row r="74" spans="1:9">
      <c r="A74" s="2" t="str">
        <f t="shared" si="1"/>
        <v>001012E0</v>
      </c>
      <c r="B74" s="4" t="s">
        <v>1107</v>
      </c>
      <c r="C74" s="2" t="s">
        <v>1101</v>
      </c>
      <c r="D74" s="48" t="s">
        <v>1081</v>
      </c>
    </row>
    <row r="75" spans="1:9">
      <c r="A75" s="2" t="str">
        <f t="shared" si="1"/>
        <v>001012E4</v>
      </c>
      <c r="B75" s="4" t="s">
        <v>1085</v>
      </c>
      <c r="C75" s="2" t="s">
        <v>1079</v>
      </c>
    </row>
    <row r="76" spans="1:9">
      <c r="A76" s="2" t="str">
        <f t="shared" si="1"/>
        <v>001012E8</v>
      </c>
      <c r="B76" s="4" t="s">
        <v>1148</v>
      </c>
      <c r="C76" s="2" t="s">
        <v>1092</v>
      </c>
      <c r="D76" s="48" t="s">
        <v>1083</v>
      </c>
    </row>
    <row r="77" spans="1:9" ht="47.6">
      <c r="A77" s="2" t="str">
        <f t="shared" si="1"/>
        <v>001012EC</v>
      </c>
      <c r="B77" s="4" t="s">
        <v>1086</v>
      </c>
      <c r="C77" s="2" t="s">
        <v>1073</v>
      </c>
      <c r="D77" s="48" t="s">
        <v>1009</v>
      </c>
    </row>
    <row r="78" spans="1:9">
      <c r="A78" s="37" t="str">
        <f t="shared" ref="A78:A122" si="2">DEC2HEX(HEX2DEC(A77)+4,8)</f>
        <v>001012F0</v>
      </c>
      <c r="B78" s="38" t="s">
        <v>904</v>
      </c>
      <c r="C78" s="37" t="s">
        <v>937</v>
      </c>
      <c r="D78" s="59"/>
      <c r="I78" s="6"/>
    </row>
    <row r="79" spans="1:9">
      <c r="A79" s="37" t="str">
        <f t="shared" si="2"/>
        <v>001012F4</v>
      </c>
      <c r="B79" s="39" t="s">
        <v>905</v>
      </c>
      <c r="C79" s="37" t="s">
        <v>954</v>
      </c>
      <c r="D79" s="59"/>
      <c r="I79" s="6"/>
    </row>
    <row r="80" spans="1:9">
      <c r="A80" s="40" t="str">
        <f t="shared" si="2"/>
        <v>001012F8</v>
      </c>
      <c r="B80" s="41" t="s">
        <v>907</v>
      </c>
      <c r="C80" s="40" t="s">
        <v>956</v>
      </c>
      <c r="D80" s="60"/>
    </row>
    <row r="81" spans="1:7">
      <c r="A81" s="40" t="str">
        <f t="shared" si="2"/>
        <v>001012FC</v>
      </c>
      <c r="B81" s="41" t="s">
        <v>1108</v>
      </c>
      <c r="C81" s="40" t="s">
        <v>1097</v>
      </c>
      <c r="D81" s="60"/>
    </row>
    <row r="82" spans="1:7">
      <c r="A82" s="40" t="str">
        <f t="shared" si="2"/>
        <v>00101300</v>
      </c>
      <c r="B82" s="40" t="s">
        <v>1109</v>
      </c>
      <c r="C82" s="40" t="s">
        <v>1098</v>
      </c>
      <c r="D82" s="60"/>
    </row>
    <row r="83" spans="1:7">
      <c r="A83" s="40" t="str">
        <f t="shared" si="2"/>
        <v>00101304</v>
      </c>
      <c r="B83" s="41" t="s">
        <v>909</v>
      </c>
      <c r="C83" s="40" t="s">
        <v>938</v>
      </c>
      <c r="D83" s="60"/>
    </row>
    <row r="84" spans="1:7">
      <c r="A84" s="40" t="str">
        <f t="shared" si="2"/>
        <v>00101308</v>
      </c>
      <c r="B84" s="40" t="s">
        <v>844</v>
      </c>
      <c r="C84" s="42" t="s">
        <v>845</v>
      </c>
      <c r="D84" s="60" t="s">
        <v>1021</v>
      </c>
      <c r="G84" s="5"/>
    </row>
    <row r="85" spans="1:7">
      <c r="A85" s="40" t="str">
        <f t="shared" si="2"/>
        <v>0010130C</v>
      </c>
      <c r="B85" s="40" t="s">
        <v>1149</v>
      </c>
      <c r="C85" s="42" t="s">
        <v>846</v>
      </c>
      <c r="D85" s="60"/>
    </row>
    <row r="86" spans="1:7">
      <c r="A86" s="40" t="str">
        <f t="shared" si="2"/>
        <v>00101310</v>
      </c>
      <c r="B86" s="40" t="s">
        <v>1047</v>
      </c>
      <c r="C86" s="42" t="s">
        <v>1022</v>
      </c>
      <c r="D86" s="60"/>
    </row>
    <row r="87" spans="1:7">
      <c r="A87" s="40" t="str">
        <f t="shared" si="2"/>
        <v>00101314</v>
      </c>
      <c r="B87" s="40" t="s">
        <v>1150</v>
      </c>
      <c r="C87" s="42" t="str">
        <f>_xlfn.CONCAT("ldrh r2, [pc, 0x",DEC2HEX(HEX2DEC(A$122)-HEX2DEC(A87)-8,3),"]")</f>
        <v>ldrh r2, [pc, 0x084]</v>
      </c>
      <c r="D87" s="60" t="s">
        <v>1020</v>
      </c>
    </row>
    <row r="88" spans="1:7">
      <c r="A88" s="40" t="str">
        <f t="shared" si="2"/>
        <v>00101318</v>
      </c>
      <c r="B88" s="40" t="s">
        <v>1048</v>
      </c>
      <c r="C88" s="42" t="s">
        <v>1023</v>
      </c>
      <c r="D88" s="60" t="s">
        <v>1025</v>
      </c>
    </row>
    <row r="89" spans="1:7">
      <c r="A89" s="40" t="str">
        <f t="shared" si="2"/>
        <v>0010131C</v>
      </c>
      <c r="B89" s="40" t="s">
        <v>1049</v>
      </c>
      <c r="C89" s="42" t="s">
        <v>1024</v>
      </c>
      <c r="D89" s="60"/>
    </row>
    <row r="90" spans="1:7">
      <c r="A90" s="40" t="str">
        <f t="shared" si="2"/>
        <v>00101320</v>
      </c>
      <c r="B90" s="41" t="s">
        <v>1050</v>
      </c>
      <c r="C90" s="42" t="s">
        <v>1026</v>
      </c>
      <c r="D90" s="60" t="s">
        <v>1027</v>
      </c>
    </row>
    <row r="91" spans="1:7">
      <c r="A91" s="40" t="str">
        <f t="shared" si="2"/>
        <v>00101324</v>
      </c>
      <c r="B91" s="40" t="s">
        <v>911</v>
      </c>
      <c r="C91" s="40" t="s">
        <v>957</v>
      </c>
      <c r="D91" s="60"/>
    </row>
    <row r="92" spans="1:7">
      <c r="A92" s="40" t="str">
        <f t="shared" si="2"/>
        <v>00101328</v>
      </c>
      <c r="B92" s="41" t="s">
        <v>912</v>
      </c>
      <c r="C92" s="40" t="s">
        <v>939</v>
      </c>
      <c r="D92" s="60"/>
    </row>
    <row r="93" spans="1:7">
      <c r="A93" s="40" t="str">
        <f t="shared" si="2"/>
        <v>0010132C</v>
      </c>
      <c r="B93" s="40" t="s">
        <v>1151</v>
      </c>
      <c r="C93" s="40" t="s">
        <v>994</v>
      </c>
      <c r="D93" s="60" t="s">
        <v>991</v>
      </c>
    </row>
    <row r="94" spans="1:7">
      <c r="A94" s="40" t="str">
        <f t="shared" si="2"/>
        <v>00101330</v>
      </c>
      <c r="B94" s="40" t="s">
        <v>914</v>
      </c>
      <c r="C94" s="40" t="s">
        <v>958</v>
      </c>
      <c r="D94" s="60" t="s">
        <v>992</v>
      </c>
    </row>
    <row r="95" spans="1:7">
      <c r="A95" s="40" t="str">
        <f t="shared" si="2"/>
        <v>00101334</v>
      </c>
      <c r="B95" s="41" t="s">
        <v>912</v>
      </c>
      <c r="C95" s="40" t="s">
        <v>939</v>
      </c>
      <c r="D95" s="60"/>
    </row>
    <row r="96" spans="1:7">
      <c r="A96" s="40" t="str">
        <f t="shared" si="2"/>
        <v>00101338</v>
      </c>
      <c r="B96" s="40" t="s">
        <v>1152</v>
      </c>
      <c r="C96" s="40" t="s">
        <v>990</v>
      </c>
      <c r="D96" s="60" t="s">
        <v>995</v>
      </c>
    </row>
    <row r="97" spans="1:4">
      <c r="A97" s="40" t="str">
        <f t="shared" si="2"/>
        <v>0010133C</v>
      </c>
      <c r="B97" s="40" t="s">
        <v>916</v>
      </c>
      <c r="C97" s="40" t="s">
        <v>857</v>
      </c>
      <c r="D97" s="60"/>
    </row>
    <row r="98" spans="1:4">
      <c r="A98" s="40" t="str">
        <f t="shared" si="2"/>
        <v>00101340</v>
      </c>
      <c r="B98" s="40" t="s">
        <v>873</v>
      </c>
      <c r="C98" s="40" t="s">
        <v>962</v>
      </c>
      <c r="D98" s="60"/>
    </row>
    <row r="99" spans="1:4">
      <c r="A99" s="40" t="str">
        <f t="shared" si="2"/>
        <v>00101344</v>
      </c>
      <c r="B99" s="40" t="s">
        <v>1153</v>
      </c>
      <c r="C99" s="40" t="s">
        <v>993</v>
      </c>
      <c r="D99" s="60" t="s">
        <v>996</v>
      </c>
    </row>
    <row r="100" spans="1:4">
      <c r="A100" s="43" t="str">
        <f t="shared" si="2"/>
        <v>00101348</v>
      </c>
      <c r="B100" s="44" t="s">
        <v>1126</v>
      </c>
      <c r="C100" s="43" t="s">
        <v>1120</v>
      </c>
      <c r="D100" s="61" t="s">
        <v>997</v>
      </c>
    </row>
    <row r="101" spans="1:4">
      <c r="A101" s="43" t="str">
        <f t="shared" si="2"/>
        <v>0010134C</v>
      </c>
      <c r="B101" s="44" t="s">
        <v>920</v>
      </c>
      <c r="C101" s="43" t="s">
        <v>858</v>
      </c>
      <c r="D101" s="61"/>
    </row>
    <row r="102" spans="1:4">
      <c r="A102" s="43" t="str">
        <f t="shared" si="2"/>
        <v>00101350</v>
      </c>
      <c r="B102" s="44" t="s">
        <v>1127</v>
      </c>
      <c r="C102" s="43" t="str">
        <f>_xlfn.CONCAT("blo 0x",A$45)</f>
        <v>blo 0x0010126C</v>
      </c>
      <c r="D102" s="61" t="s">
        <v>998</v>
      </c>
    </row>
    <row r="103" spans="1:4">
      <c r="A103" s="45" t="str">
        <f t="shared" si="2"/>
        <v>00101354</v>
      </c>
      <c r="B103" s="46" t="s">
        <v>1159</v>
      </c>
      <c r="C103" s="45" t="str">
        <f>_xlfn.CONCAT("ldr r2, [pc, 0x",DEC2HEX(HEX2DEC(A$137)-HEX2DEC(A103)-8,3),"]")</f>
        <v>ldr r2, [pc, 0x078]</v>
      </c>
      <c r="D103" s="62" t="s">
        <v>1111</v>
      </c>
    </row>
    <row r="104" spans="1:4">
      <c r="A104" s="45" t="str">
        <f t="shared" si="2"/>
        <v>00101358</v>
      </c>
      <c r="B104" s="46" t="s">
        <v>1154</v>
      </c>
      <c r="C104" s="45" t="s">
        <v>1133</v>
      </c>
      <c r="D104" s="62"/>
    </row>
    <row r="105" spans="1:4">
      <c r="A105" s="45" t="str">
        <f t="shared" si="2"/>
        <v>0010135C</v>
      </c>
      <c r="B105" s="46" t="s">
        <v>1115</v>
      </c>
      <c r="C105" s="45" t="s">
        <v>1112</v>
      </c>
      <c r="D105" s="62" t="s">
        <v>1095</v>
      </c>
    </row>
    <row r="106" spans="1:4">
      <c r="A106" s="45" t="str">
        <f t="shared" si="2"/>
        <v>00101360</v>
      </c>
      <c r="B106" s="46" t="s">
        <v>1110</v>
      </c>
      <c r="C106" s="45" t="s">
        <v>1102</v>
      </c>
      <c r="D106" s="62" t="s">
        <v>1007</v>
      </c>
    </row>
    <row r="107" spans="1:4">
      <c r="A107" s="45" t="str">
        <f t="shared" si="2"/>
        <v>00101364</v>
      </c>
      <c r="B107" s="46" t="s">
        <v>1087</v>
      </c>
      <c r="C107" s="45" t="s">
        <v>1071</v>
      </c>
      <c r="D107" s="62" t="s">
        <v>1103</v>
      </c>
    </row>
    <row r="108" spans="1:4">
      <c r="A108" s="45" t="str">
        <f t="shared" si="2"/>
        <v>00101368</v>
      </c>
      <c r="B108" s="46" t="s">
        <v>1096</v>
      </c>
      <c r="C108" s="45" t="s">
        <v>1094</v>
      </c>
      <c r="D108" s="62" t="s">
        <v>1124</v>
      </c>
    </row>
    <row r="109" spans="1:4">
      <c r="A109" s="45" t="str">
        <f t="shared" si="2"/>
        <v>0010136C</v>
      </c>
      <c r="B109" s="46" t="s">
        <v>1166</v>
      </c>
      <c r="C109" s="45" t="str">
        <f>_xlfn.CONCAT("beq 0x",A113)</f>
        <v>beq 0x0010137C</v>
      </c>
      <c r="D109" s="62" t="s">
        <v>1160</v>
      </c>
    </row>
    <row r="110" spans="1:4" ht="31.75">
      <c r="A110" s="12" t="str">
        <f t="shared" si="2"/>
        <v>00101370</v>
      </c>
      <c r="B110" s="13" t="s">
        <v>1128</v>
      </c>
      <c r="C110" s="13" t="s">
        <v>1121</v>
      </c>
      <c r="D110" s="63" t="s">
        <v>1125</v>
      </c>
    </row>
    <row r="111" spans="1:4">
      <c r="A111" s="12" t="str">
        <f t="shared" si="2"/>
        <v>00101374</v>
      </c>
      <c r="B111" s="13" t="s">
        <v>1167</v>
      </c>
      <c r="C111" s="13" t="s">
        <v>1163</v>
      </c>
      <c r="D111" s="63"/>
    </row>
    <row r="112" spans="1:4">
      <c r="A112" s="12" t="str">
        <f t="shared" si="2"/>
        <v>00101378</v>
      </c>
      <c r="B112" s="13" t="s">
        <v>1129</v>
      </c>
      <c r="C112" s="13" t="s">
        <v>1122</v>
      </c>
      <c r="D112" s="63" t="s">
        <v>1123</v>
      </c>
    </row>
    <row r="113" spans="1:4">
      <c r="A113" s="46" t="str">
        <f t="shared" si="2"/>
        <v>0010137C</v>
      </c>
      <c r="B113" s="46" t="s">
        <v>1155</v>
      </c>
      <c r="C113" s="45" t="s">
        <v>1134</v>
      </c>
      <c r="D113" s="62" t="s">
        <v>1130</v>
      </c>
    </row>
    <row r="114" spans="1:4">
      <c r="A114" s="46" t="str">
        <f t="shared" si="2"/>
        <v>00101380</v>
      </c>
      <c r="B114" s="46" t="s">
        <v>1168</v>
      </c>
      <c r="C114" s="45" t="str">
        <f>_xlfn.CONCAT("beq 0x",A$48)</f>
        <v>beq 0x00101278</v>
      </c>
      <c r="D114" s="62" t="s">
        <v>1072</v>
      </c>
    </row>
    <row r="115" spans="1:4">
      <c r="A115" s="2" t="str">
        <f t="shared" si="2"/>
        <v>00101384</v>
      </c>
      <c r="B115" s="3" t="s">
        <v>922</v>
      </c>
      <c r="C115" s="3" t="s">
        <v>1119</v>
      </c>
    </row>
    <row r="116" spans="1:4">
      <c r="A116" s="2" t="str">
        <f t="shared" si="2"/>
        <v>00101388</v>
      </c>
      <c r="B116" s="3" t="s">
        <v>923</v>
      </c>
      <c r="C116" s="3" t="str">
        <f>SUBSTITUTE(SUBSTITUTE(C13,"push","pop"),"lr","pc")</f>
        <v>pop {r4, r5, r6, r7, r8, r9, r10, r11, pc}</v>
      </c>
    </row>
    <row r="117" spans="1:4">
      <c r="A117" s="10" t="str">
        <f t="shared" si="2"/>
        <v>0010138C</v>
      </c>
      <c r="B117" s="10" t="s">
        <v>924</v>
      </c>
      <c r="C117" s="10" t="s">
        <v>859</v>
      </c>
      <c r="D117" s="52" t="s">
        <v>968</v>
      </c>
    </row>
    <row r="118" spans="1:4">
      <c r="A118" s="10" t="str">
        <f t="shared" si="2"/>
        <v>00101390</v>
      </c>
      <c r="B118" s="10" t="s">
        <v>873</v>
      </c>
      <c r="C118" s="10" t="s">
        <v>962</v>
      </c>
      <c r="D118" s="52"/>
    </row>
    <row r="119" spans="1:4">
      <c r="A119" s="10" t="str">
        <f t="shared" si="2"/>
        <v>00101394</v>
      </c>
      <c r="B119" s="10" t="s">
        <v>1169</v>
      </c>
      <c r="C119" s="10" t="s">
        <v>963</v>
      </c>
      <c r="D119" s="52"/>
    </row>
    <row r="120" spans="1:4">
      <c r="A120" s="10" t="str">
        <f t="shared" si="2"/>
        <v>00101398</v>
      </c>
      <c r="B120" s="10" t="s">
        <v>926</v>
      </c>
      <c r="C120" s="10" t="s">
        <v>943</v>
      </c>
      <c r="D120" s="52"/>
    </row>
    <row r="121" spans="1:4">
      <c r="A121" s="10" t="str">
        <f t="shared" si="2"/>
        <v>0010139C</v>
      </c>
      <c r="B121" s="10" t="s">
        <v>1156</v>
      </c>
      <c r="C121" s="10" t="str">
        <f>_xlfn.CONCAT("b 0x",A$37)</f>
        <v>b 0x0010124C</v>
      </c>
      <c r="D121" s="52"/>
    </row>
    <row r="122" spans="1:4">
      <c r="A122" s="2" t="str">
        <f t="shared" si="2"/>
        <v>001013A0</v>
      </c>
      <c r="B122" s="2" t="s">
        <v>1019</v>
      </c>
    </row>
    <row r="124" spans="1:4">
      <c r="A124" s="14" t="s">
        <v>1090</v>
      </c>
      <c r="B124" s="4"/>
    </row>
    <row r="125" spans="1:4">
      <c r="A125" s="2" t="str">
        <f>DEC2HEX(HEX2DEC(A122)+4,8)</f>
        <v>001013A4</v>
      </c>
      <c r="B125" s="2" t="s">
        <v>1061</v>
      </c>
      <c r="C125" s="2" t="s">
        <v>1056</v>
      </c>
    </row>
    <row r="126" spans="1:4">
      <c r="A126" s="2" t="str">
        <f t="shared" ref="A126:A137" si="3">DEC2HEX(HEX2DEC(A125)+4,8)</f>
        <v>001013A8</v>
      </c>
      <c r="B126" s="2" t="s">
        <v>840</v>
      </c>
      <c r="C126" s="2" t="s">
        <v>838</v>
      </c>
    </row>
    <row r="127" spans="1:4">
      <c r="A127" s="15" t="str">
        <f t="shared" si="3"/>
        <v>001013AC</v>
      </c>
      <c r="B127" s="15" t="s">
        <v>841</v>
      </c>
      <c r="C127" s="15" t="s">
        <v>839</v>
      </c>
      <c r="D127" s="49" t="s">
        <v>1030</v>
      </c>
    </row>
    <row r="128" spans="1:4">
      <c r="A128" s="15" t="str">
        <f t="shared" si="3"/>
        <v>001013B0</v>
      </c>
      <c r="B128" s="15" t="s">
        <v>1116</v>
      </c>
      <c r="C128" s="15" t="s">
        <v>1089</v>
      </c>
      <c r="D128" s="49"/>
    </row>
    <row r="129" spans="1:4">
      <c r="A129" s="15" t="str">
        <f t="shared" si="3"/>
        <v>001013B4</v>
      </c>
      <c r="B129" s="16" t="s">
        <v>843</v>
      </c>
      <c r="C129" s="15" t="s">
        <v>842</v>
      </c>
      <c r="D129" s="49"/>
    </row>
    <row r="130" spans="1:4">
      <c r="A130" s="15" t="str">
        <f t="shared" si="3"/>
        <v>001013B8</v>
      </c>
      <c r="B130" s="15" t="s">
        <v>1157</v>
      </c>
      <c r="C130" s="15" t="str">
        <f>_xlfn.CONCAT("bne 0x",A136)</f>
        <v>bne 0x001013D0</v>
      </c>
      <c r="D130" s="49"/>
    </row>
    <row r="131" spans="1:4">
      <c r="A131" s="9" t="str">
        <f t="shared" si="3"/>
        <v>001013BC</v>
      </c>
      <c r="B131" s="9" t="s">
        <v>869</v>
      </c>
      <c r="C131" s="9" t="s">
        <v>945</v>
      </c>
      <c r="D131" s="50"/>
    </row>
    <row r="132" spans="1:4">
      <c r="A132" s="9" t="str">
        <f t="shared" si="3"/>
        <v>001013C0</v>
      </c>
      <c r="B132" s="9" t="s">
        <v>1117</v>
      </c>
      <c r="C132" s="9" t="s">
        <v>846</v>
      </c>
      <c r="D132" s="50"/>
    </row>
    <row r="133" spans="1:4">
      <c r="A133" s="9" t="str">
        <f t="shared" si="3"/>
        <v>001013C4</v>
      </c>
      <c r="B133" s="9" t="s">
        <v>1062</v>
      </c>
      <c r="C133" s="9" t="s">
        <v>1055</v>
      </c>
      <c r="D133" s="50"/>
    </row>
    <row r="134" spans="1:4">
      <c r="A134" s="2" t="str">
        <f t="shared" si="3"/>
        <v>001013C8</v>
      </c>
      <c r="B134" s="2" t="s">
        <v>1158</v>
      </c>
      <c r="C134" s="2" t="str">
        <f>_xlfn.CONCAT("ldr r1, [pc, 0x",DEC2HEX(HEX2DEC(A$137)-HEX2DEC(A134)-8,3),"]")</f>
        <v>ldr r1, [pc, 0x004]</v>
      </c>
      <c r="D134" s="48" t="s">
        <v>1057</v>
      </c>
    </row>
    <row r="135" spans="1:4">
      <c r="A135" s="2" t="str">
        <f t="shared" si="3"/>
        <v>001013CC</v>
      </c>
      <c r="B135" s="2" t="s">
        <v>1063</v>
      </c>
      <c r="C135" s="2" t="s">
        <v>1059</v>
      </c>
      <c r="D135" s="48" t="s">
        <v>1067</v>
      </c>
    </row>
    <row r="136" spans="1:4">
      <c r="A136" s="2" t="str">
        <f t="shared" si="3"/>
        <v>001013D0</v>
      </c>
      <c r="B136" s="2" t="s">
        <v>1064</v>
      </c>
      <c r="C136" s="2" t="str">
        <f>SUBSTITUTE(SUBSTITUTE(C125,"push","pop"),"lr","pc")</f>
        <v>pop {r4, pc}</v>
      </c>
    </row>
    <row r="137" spans="1:4">
      <c r="A137" s="2" t="str">
        <f t="shared" si="3"/>
        <v>001013D4</v>
      </c>
      <c r="B137" s="3" t="s">
        <v>830</v>
      </c>
      <c r="D137" s="48" t="s">
        <v>1058</v>
      </c>
    </row>
    <row r="139" spans="1:4">
      <c r="A139" s="14" t="s">
        <v>1170</v>
      </c>
      <c r="B139" s="4"/>
    </row>
    <row r="140" spans="1:4">
      <c r="A140" s="2" t="s">
        <v>1178</v>
      </c>
      <c r="B140" s="2" t="s">
        <v>1179</v>
      </c>
      <c r="C140" s="2" t="s">
        <v>1171</v>
      </c>
    </row>
    <row r="141" spans="1:4">
      <c r="A141" s="2" t="str">
        <f t="shared" ref="A141:A163" si="4">DEC2HEX(HEX2DEC(A140)+4,8)</f>
        <v>001025DC</v>
      </c>
      <c r="B141" s="2" t="s">
        <v>840</v>
      </c>
      <c r="C141" s="2" t="s">
        <v>838</v>
      </c>
    </row>
    <row r="142" spans="1:4">
      <c r="A142" s="2" t="str">
        <f t="shared" si="4"/>
        <v>001025E0</v>
      </c>
      <c r="B142" s="2" t="s">
        <v>1037</v>
      </c>
      <c r="C142" s="2" t="s">
        <v>1033</v>
      </c>
    </row>
    <row r="143" spans="1:4">
      <c r="A143" s="2" t="str">
        <f t="shared" si="4"/>
        <v>001025E4</v>
      </c>
      <c r="B143" s="2" t="s">
        <v>1180</v>
      </c>
      <c r="C143" s="2" t="s">
        <v>1172</v>
      </c>
    </row>
    <row r="144" spans="1:4">
      <c r="A144" s="15" t="str">
        <f t="shared" si="4"/>
        <v>001025E8</v>
      </c>
      <c r="B144" s="15" t="s">
        <v>841</v>
      </c>
      <c r="C144" s="15" t="s">
        <v>839</v>
      </c>
      <c r="D144" s="49" t="s">
        <v>1030</v>
      </c>
    </row>
    <row r="145" spans="1:4">
      <c r="A145" s="15" t="str">
        <f t="shared" si="4"/>
        <v>001025EC</v>
      </c>
      <c r="B145" s="15" t="s">
        <v>1181</v>
      </c>
      <c r="C145" s="15" t="s">
        <v>846</v>
      </c>
      <c r="D145" s="49"/>
    </row>
    <row r="146" spans="1:4">
      <c r="A146" s="15" t="str">
        <f t="shared" si="4"/>
        <v>001025F0</v>
      </c>
      <c r="B146" s="16" t="s">
        <v>843</v>
      </c>
      <c r="C146" s="15" t="s">
        <v>842</v>
      </c>
      <c r="D146" s="49"/>
    </row>
    <row r="147" spans="1:4">
      <c r="A147" s="15" t="str">
        <f t="shared" si="4"/>
        <v>001025F4</v>
      </c>
      <c r="B147" s="15" t="s">
        <v>1182</v>
      </c>
      <c r="C147" s="15" t="str">
        <f>_xlfn.CONCAT("bne 0x",A163)</f>
        <v>bne 0x00102634</v>
      </c>
      <c r="D147" s="49"/>
    </row>
    <row r="148" spans="1:4">
      <c r="A148" s="9" t="str">
        <f t="shared" si="4"/>
        <v>001025F8</v>
      </c>
      <c r="B148" s="9" t="s">
        <v>869</v>
      </c>
      <c r="C148" s="9" t="s">
        <v>945</v>
      </c>
      <c r="D148" s="50"/>
    </row>
    <row r="149" spans="1:4">
      <c r="A149" s="9" t="str">
        <f t="shared" si="4"/>
        <v>001025FC</v>
      </c>
      <c r="B149" s="9" t="s">
        <v>1183</v>
      </c>
      <c r="C149" s="9" t="s">
        <v>846</v>
      </c>
      <c r="D149" s="50"/>
    </row>
    <row r="150" spans="1:4">
      <c r="A150" s="7" t="str">
        <f t="shared" si="4"/>
        <v>00102600</v>
      </c>
      <c r="B150" s="7" t="s">
        <v>1184</v>
      </c>
      <c r="C150" s="7" t="s">
        <v>1176</v>
      </c>
      <c r="D150" s="51" t="s">
        <v>1093</v>
      </c>
    </row>
    <row r="151" spans="1:4">
      <c r="A151" s="7" t="str">
        <f t="shared" si="4"/>
        <v>00102604</v>
      </c>
      <c r="B151" s="7" t="s">
        <v>1038</v>
      </c>
      <c r="C151" s="7" t="s">
        <v>1034</v>
      </c>
      <c r="D151" s="51"/>
    </row>
    <row r="152" spans="1:4">
      <c r="A152" s="7" t="str">
        <f t="shared" si="4"/>
        <v>00102608</v>
      </c>
      <c r="B152" s="7" t="s">
        <v>1185</v>
      </c>
      <c r="C152" s="7" t="s">
        <v>967</v>
      </c>
      <c r="D152" s="51"/>
    </row>
    <row r="153" spans="1:4">
      <c r="A153" s="10" t="str">
        <f t="shared" si="4"/>
        <v>0010260C</v>
      </c>
      <c r="B153" s="11" t="s">
        <v>1031</v>
      </c>
      <c r="C153" s="10" t="s">
        <v>1006</v>
      </c>
      <c r="D153" s="52" t="s">
        <v>1077</v>
      </c>
    </row>
    <row r="154" spans="1:4">
      <c r="A154" s="10" t="str">
        <f t="shared" si="4"/>
        <v>00102610</v>
      </c>
      <c r="B154" s="11" t="s">
        <v>1186</v>
      </c>
      <c r="C154" s="10" t="str">
        <f>_xlfn.CONCAT("beq 0x",A163)</f>
        <v>beq 0x00102634</v>
      </c>
      <c r="D154" s="52"/>
    </row>
    <row r="155" spans="1:4">
      <c r="A155" s="43" t="str">
        <f t="shared" si="4"/>
        <v>00102614</v>
      </c>
      <c r="B155" s="44" t="s">
        <v>1088</v>
      </c>
      <c r="C155" s="43" t="s">
        <v>1075</v>
      </c>
      <c r="D155" s="61" t="s">
        <v>1173</v>
      </c>
    </row>
    <row r="156" spans="1:4">
      <c r="A156" s="43" t="str">
        <f t="shared" si="4"/>
        <v>00102618</v>
      </c>
      <c r="B156" s="44" t="s">
        <v>1187</v>
      </c>
      <c r="C156" s="43" t="s">
        <v>846</v>
      </c>
      <c r="D156" s="61"/>
    </row>
    <row r="157" spans="1:4">
      <c r="A157" s="12" t="str">
        <f t="shared" si="4"/>
        <v>0010261C</v>
      </c>
      <c r="B157" s="12" t="s">
        <v>1188</v>
      </c>
      <c r="C157" s="12" t="s">
        <v>1174</v>
      </c>
      <c r="D157" s="53" t="s">
        <v>1175</v>
      </c>
    </row>
    <row r="158" spans="1:4">
      <c r="A158" s="12" t="str">
        <f t="shared" si="4"/>
        <v>00102620</v>
      </c>
      <c r="B158" s="12" t="s">
        <v>1088</v>
      </c>
      <c r="C158" s="12" t="s">
        <v>1075</v>
      </c>
      <c r="D158" s="53"/>
    </row>
    <row r="159" spans="1:4">
      <c r="A159" s="12" t="str">
        <f t="shared" si="4"/>
        <v>00102624</v>
      </c>
      <c r="B159" s="12" t="s">
        <v>885</v>
      </c>
      <c r="C159" s="12" t="s">
        <v>949</v>
      </c>
      <c r="D159" s="53"/>
    </row>
    <row r="160" spans="1:4">
      <c r="A160" s="12" t="str">
        <f t="shared" si="4"/>
        <v>00102628</v>
      </c>
      <c r="B160" s="13" t="s">
        <v>1189</v>
      </c>
      <c r="C160" s="12" t="s">
        <v>1177</v>
      </c>
      <c r="D160" s="53"/>
    </row>
    <row r="161" spans="1:4">
      <c r="A161" s="12" t="str">
        <f t="shared" si="4"/>
        <v>0010262C</v>
      </c>
      <c r="B161" s="12" t="s">
        <v>1190</v>
      </c>
      <c r="C161" s="12" t="str">
        <f>SUBSTITUTE(C140,"push","pop")</f>
        <v>pop {r4, r5, r6, lr}</v>
      </c>
      <c r="D161" s="53"/>
    </row>
    <row r="162" spans="1:4">
      <c r="A162" s="12" t="str">
        <f t="shared" si="4"/>
        <v>00102630</v>
      </c>
      <c r="B162" s="12" t="s">
        <v>1191</v>
      </c>
      <c r="C162" s="12" t="s">
        <v>1076</v>
      </c>
      <c r="D162" s="53"/>
    </row>
    <row r="163" spans="1:4">
      <c r="A163" s="2" t="str">
        <f t="shared" si="4"/>
        <v>00102634</v>
      </c>
      <c r="B163" s="2" t="s">
        <v>1192</v>
      </c>
      <c r="C163" s="2" t="str">
        <f>SUBSTITUTE(C161,"lr","pc")</f>
        <v>pop {r4, r5, r6, pc}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8CF22-1FE0-45EA-BAF8-CD7E23E96E79}">
  <dimension ref="A1:D79"/>
  <sheetViews>
    <sheetView topLeftCell="A72" workbookViewId="0">
      <selection activeCell="D33" sqref="D33"/>
    </sheetView>
  </sheetViews>
  <sheetFormatPr defaultRowHeight="14.15"/>
  <cols>
    <col min="2" max="2" width="10.0703125" bestFit="1" customWidth="1"/>
    <col min="3" max="3" width="51.2109375" bestFit="1" customWidth="1"/>
    <col min="4" max="4" width="40.640625" bestFit="1" customWidth="1"/>
  </cols>
  <sheetData>
    <row r="1" spans="1:4" ht="15.9">
      <c r="A1" s="14" t="s">
        <v>964</v>
      </c>
      <c r="B1" s="4"/>
      <c r="C1" s="2"/>
      <c r="D1" s="2"/>
    </row>
    <row r="2" spans="1:4" ht="15.9">
      <c r="A2" s="3" t="s">
        <v>929</v>
      </c>
      <c r="B2" s="2" t="s">
        <v>862</v>
      </c>
      <c r="C2" s="2" t="s">
        <v>930</v>
      </c>
      <c r="D2" s="2"/>
    </row>
    <row r="3" spans="1:4" ht="15.9">
      <c r="A3" s="2" t="str">
        <f t="shared" ref="A3:A66" si="0">DEC2HEX(HEX2DEC(A2)+4,8)</f>
        <v>000CB86C</v>
      </c>
      <c r="B3" s="2" t="s">
        <v>863</v>
      </c>
      <c r="C3" s="2" t="s">
        <v>931</v>
      </c>
      <c r="D3" s="2"/>
    </row>
    <row r="4" spans="1:4" ht="15.9">
      <c r="A4" s="2" t="str">
        <f t="shared" si="0"/>
        <v>000CB870</v>
      </c>
      <c r="B4" s="2" t="s">
        <v>864</v>
      </c>
      <c r="C4" s="2" t="s">
        <v>849</v>
      </c>
      <c r="D4" s="2"/>
    </row>
    <row r="5" spans="1:4" ht="15.9">
      <c r="A5" s="2" t="str">
        <f t="shared" si="0"/>
        <v>000CB874</v>
      </c>
      <c r="B5" s="2" t="s">
        <v>865</v>
      </c>
      <c r="C5" s="2" t="s">
        <v>961</v>
      </c>
      <c r="D5" s="2"/>
    </row>
    <row r="6" spans="1:4" ht="15.9">
      <c r="A6" s="15" t="str">
        <f t="shared" si="0"/>
        <v>000CB878</v>
      </c>
      <c r="B6" s="15" t="s">
        <v>841</v>
      </c>
      <c r="C6" s="15" t="s">
        <v>839</v>
      </c>
      <c r="D6" s="15" t="s">
        <v>847</v>
      </c>
    </row>
    <row r="7" spans="1:4" ht="15.9">
      <c r="A7" s="15" t="str">
        <f t="shared" si="0"/>
        <v>000CB87C</v>
      </c>
      <c r="B7" s="15" t="s">
        <v>866</v>
      </c>
      <c r="C7" s="15" t="s">
        <v>846</v>
      </c>
      <c r="D7" s="15"/>
    </row>
    <row r="8" spans="1:4" ht="15.9">
      <c r="A8" s="15" t="str">
        <f t="shared" si="0"/>
        <v>000CB880</v>
      </c>
      <c r="B8" s="16" t="s">
        <v>867</v>
      </c>
      <c r="C8" s="15" t="s">
        <v>850</v>
      </c>
      <c r="D8" s="15"/>
    </row>
    <row r="9" spans="1:4" ht="15.9">
      <c r="A9" s="15" t="str">
        <f t="shared" si="0"/>
        <v>000CB884</v>
      </c>
      <c r="B9" s="15" t="s">
        <v>868</v>
      </c>
      <c r="C9" s="15" t="str">
        <f>_xlfn.CONCAT("bne 0x",A$81)</f>
        <v>bne 0x</v>
      </c>
      <c r="D9" s="15"/>
    </row>
    <row r="10" spans="1:4" ht="15.9">
      <c r="A10" s="9" t="str">
        <f t="shared" si="0"/>
        <v>000CB888</v>
      </c>
      <c r="B10" s="9" t="s">
        <v>869</v>
      </c>
      <c r="C10" s="9" t="s">
        <v>945</v>
      </c>
      <c r="D10" s="9" t="s">
        <v>965</v>
      </c>
    </row>
    <row r="11" spans="1:4" ht="15.9">
      <c r="A11" s="9" t="str">
        <f t="shared" si="0"/>
        <v>000CB88C</v>
      </c>
      <c r="B11" s="9" t="s">
        <v>870</v>
      </c>
      <c r="C11" s="9" t="s">
        <v>846</v>
      </c>
      <c r="D11" s="9"/>
    </row>
    <row r="12" spans="1:4" ht="15.9">
      <c r="A12" s="9" t="str">
        <f t="shared" si="0"/>
        <v>000CB890</v>
      </c>
      <c r="B12" s="9" t="s">
        <v>871</v>
      </c>
      <c r="C12" s="9" t="s">
        <v>960</v>
      </c>
      <c r="D12" s="9"/>
    </row>
    <row r="13" spans="1:4" ht="15.9">
      <c r="A13" s="9" t="str">
        <f t="shared" si="0"/>
        <v>000CB894</v>
      </c>
      <c r="B13" s="9" t="s">
        <v>872</v>
      </c>
      <c r="C13" s="9" t="s">
        <v>851</v>
      </c>
      <c r="D13" s="9"/>
    </row>
    <row r="14" spans="1:4" ht="15.9">
      <c r="A14" s="7" t="str">
        <f t="shared" si="0"/>
        <v>000CB898</v>
      </c>
      <c r="B14" s="7" t="s">
        <v>873</v>
      </c>
      <c r="C14" s="7" t="s">
        <v>962</v>
      </c>
      <c r="D14" s="7" t="s">
        <v>966</v>
      </c>
    </row>
    <row r="15" spans="1:4" ht="15.9">
      <c r="A15" s="7" t="str">
        <f t="shared" si="0"/>
        <v>000CB89C</v>
      </c>
      <c r="B15" s="7" t="s">
        <v>874</v>
      </c>
      <c r="C15" s="7" t="s">
        <v>963</v>
      </c>
      <c r="D15" s="7"/>
    </row>
    <row r="16" spans="1:4" ht="15.9">
      <c r="A16" s="7" t="str">
        <f t="shared" si="0"/>
        <v>000CB8A0</v>
      </c>
      <c r="B16" s="8" t="s">
        <v>875</v>
      </c>
      <c r="C16" s="7" t="s">
        <v>946</v>
      </c>
      <c r="D16" s="7"/>
    </row>
    <row r="17" spans="1:4" ht="15.9">
      <c r="A17" s="7" t="str">
        <f t="shared" si="0"/>
        <v>000CB8A4</v>
      </c>
      <c r="B17" s="7" t="s">
        <v>876</v>
      </c>
      <c r="C17" s="7" t="str">
        <f>_xlfn.CONCAT("beq 0x",A$81)</f>
        <v>beq 0x</v>
      </c>
      <c r="D17" s="7"/>
    </row>
    <row r="18" spans="1:4" ht="15.9">
      <c r="A18" s="10" t="str">
        <f t="shared" si="0"/>
        <v>000CB8A8</v>
      </c>
      <c r="B18" s="10" t="s">
        <v>873</v>
      </c>
      <c r="C18" s="10" t="s">
        <v>962</v>
      </c>
      <c r="D18" s="10" t="s">
        <v>968</v>
      </c>
    </row>
    <row r="19" spans="1:4" ht="15.9">
      <c r="A19" s="10" t="str">
        <f t="shared" si="0"/>
        <v>000CB8AC</v>
      </c>
      <c r="B19" s="10" t="s">
        <v>877</v>
      </c>
      <c r="C19" s="10" t="s">
        <v>967</v>
      </c>
      <c r="D19" s="10"/>
    </row>
    <row r="20" spans="1:4" ht="15.9">
      <c r="A20" s="10" t="str">
        <f t="shared" si="0"/>
        <v>000CB8B0</v>
      </c>
      <c r="B20" s="11" t="s">
        <v>878</v>
      </c>
      <c r="C20" s="10" t="s">
        <v>947</v>
      </c>
      <c r="D20" s="10"/>
    </row>
    <row r="21" spans="1:4" ht="15.9">
      <c r="A21" s="10" t="str">
        <f t="shared" si="0"/>
        <v>000CB8B4</v>
      </c>
      <c r="B21" s="10" t="s">
        <v>879</v>
      </c>
      <c r="C21" s="10" t="str">
        <f>_xlfn.CONCAT("beq 0x",A$83)</f>
        <v>beq 0x</v>
      </c>
      <c r="D21" s="10"/>
    </row>
    <row r="22" spans="1:4" ht="15.9">
      <c r="A22" s="12" t="str">
        <f t="shared" si="0"/>
        <v>000CB8B8</v>
      </c>
      <c r="B22" s="12" t="s">
        <v>872</v>
      </c>
      <c r="C22" s="12" t="s">
        <v>851</v>
      </c>
      <c r="D22" s="12" t="s">
        <v>969</v>
      </c>
    </row>
    <row r="23" spans="1:4" ht="15.9">
      <c r="A23" s="12" t="str">
        <f t="shared" si="0"/>
        <v>000CB8BC</v>
      </c>
      <c r="B23" s="12" t="s">
        <v>873</v>
      </c>
      <c r="C23" s="12" t="s">
        <v>962</v>
      </c>
      <c r="D23" s="12"/>
    </row>
    <row r="24" spans="1:4" ht="15.9">
      <c r="A24" s="12" t="str">
        <f t="shared" si="0"/>
        <v>000CB8C0</v>
      </c>
      <c r="B24" s="12" t="s">
        <v>880</v>
      </c>
      <c r="C24" s="12" t="s">
        <v>963</v>
      </c>
      <c r="D24" s="12"/>
    </row>
    <row r="25" spans="1:4" ht="15.9">
      <c r="A25" s="12" t="str">
        <f t="shared" si="0"/>
        <v>000CB8C4</v>
      </c>
      <c r="B25" s="12" t="s">
        <v>881</v>
      </c>
      <c r="C25" s="12" t="s">
        <v>932</v>
      </c>
      <c r="D25" s="12"/>
    </row>
    <row r="26" spans="1:4" ht="15.9">
      <c r="A26" s="12" t="str">
        <f t="shared" si="0"/>
        <v>000CB8C8</v>
      </c>
      <c r="B26" s="13" t="s">
        <v>882</v>
      </c>
      <c r="C26" s="12" t="s">
        <v>852</v>
      </c>
      <c r="D26" s="12"/>
    </row>
    <row r="27" spans="1:4" ht="15.9">
      <c r="A27" s="12" t="str">
        <f t="shared" si="0"/>
        <v>000CB8CC</v>
      </c>
      <c r="B27" s="17" t="s">
        <v>873</v>
      </c>
      <c r="C27" s="18" t="s">
        <v>962</v>
      </c>
      <c r="D27" s="12"/>
    </row>
    <row r="28" spans="1:4" ht="15.9">
      <c r="A28" s="12" t="str">
        <f t="shared" si="0"/>
        <v>000CB8D0</v>
      </c>
      <c r="B28" s="17" t="s">
        <v>883</v>
      </c>
      <c r="C28" s="18" t="s">
        <v>933</v>
      </c>
      <c r="D28" s="12"/>
    </row>
    <row r="29" spans="1:4" ht="15.9">
      <c r="A29" s="12" t="str">
        <f t="shared" si="0"/>
        <v>000CB8D4</v>
      </c>
      <c r="B29" s="17" t="s">
        <v>884</v>
      </c>
      <c r="C29" s="18" t="s">
        <v>948</v>
      </c>
      <c r="D29" s="12"/>
    </row>
    <row r="30" spans="1:4" ht="15.9">
      <c r="A30" s="19" t="str">
        <f t="shared" si="0"/>
        <v>000CB8D8</v>
      </c>
      <c r="B30" s="20" t="s">
        <v>885</v>
      </c>
      <c r="C30" s="21" t="s">
        <v>949</v>
      </c>
      <c r="D30" s="19" t="s">
        <v>975</v>
      </c>
    </row>
    <row r="31" spans="1:4" ht="15.9">
      <c r="A31" s="2" t="str">
        <f t="shared" si="0"/>
        <v>000CB8DC</v>
      </c>
      <c r="B31" s="4" t="s">
        <v>886</v>
      </c>
      <c r="C31" s="5" t="s">
        <v>970</v>
      </c>
      <c r="D31" s="2"/>
    </row>
    <row r="32" spans="1:4" ht="15.9">
      <c r="A32" s="2" t="str">
        <f t="shared" si="0"/>
        <v>000CB8E0</v>
      </c>
      <c r="B32" s="4" t="s">
        <v>887</v>
      </c>
      <c r="C32" s="5" t="s">
        <v>973</v>
      </c>
      <c r="D32" s="2"/>
    </row>
    <row r="33" spans="1:4" ht="15.9">
      <c r="A33" s="12" t="str">
        <f t="shared" si="0"/>
        <v>000CB8E4</v>
      </c>
      <c r="B33" s="17" t="s">
        <v>888</v>
      </c>
      <c r="C33" s="18" t="str">
        <f>_xlfn.CONCAT("bls 0x",A$81)</f>
        <v>bls 0x</v>
      </c>
      <c r="D33" s="12" t="s">
        <v>976</v>
      </c>
    </row>
    <row r="34" spans="1:4" ht="15.9">
      <c r="A34" s="22" t="str">
        <f t="shared" si="0"/>
        <v>000CB8E8</v>
      </c>
      <c r="B34" s="23" t="s">
        <v>889</v>
      </c>
      <c r="C34" s="24" t="s">
        <v>971</v>
      </c>
      <c r="D34" s="22" t="s">
        <v>977</v>
      </c>
    </row>
    <row r="35" spans="1:4" ht="15.9">
      <c r="A35" s="22" t="str">
        <f t="shared" si="0"/>
        <v>000CB8EC</v>
      </c>
      <c r="B35" s="23" t="s">
        <v>890</v>
      </c>
      <c r="C35" s="24" t="s">
        <v>853</v>
      </c>
      <c r="D35" s="22" t="s">
        <v>978</v>
      </c>
    </row>
    <row r="36" spans="1:4" ht="15.9">
      <c r="A36" s="22" t="str">
        <f t="shared" si="0"/>
        <v>000CB8F0</v>
      </c>
      <c r="B36" s="23" t="s">
        <v>891</v>
      </c>
      <c r="C36" s="24" t="str">
        <f>_xlfn.CONCAT("beq 0x",A67)</f>
        <v>beq 0x000CB96C</v>
      </c>
      <c r="D36" s="22" t="s">
        <v>979</v>
      </c>
    </row>
    <row r="37" spans="1:4" ht="15.9">
      <c r="A37" s="25" t="str">
        <f t="shared" si="0"/>
        <v>000CB8F4</v>
      </c>
      <c r="B37" s="26" t="s">
        <v>873</v>
      </c>
      <c r="C37" s="27" t="s">
        <v>962</v>
      </c>
      <c r="D37" s="25" t="s">
        <v>980</v>
      </c>
    </row>
    <row r="38" spans="1:4" ht="15.9">
      <c r="A38" s="25" t="str">
        <f t="shared" si="0"/>
        <v>000CB8F8</v>
      </c>
      <c r="B38" s="26" t="s">
        <v>892</v>
      </c>
      <c r="C38" s="27" t="s">
        <v>934</v>
      </c>
      <c r="D38" s="25"/>
    </row>
    <row r="39" spans="1:4" ht="15.9">
      <c r="A39" s="25" t="str">
        <f t="shared" si="0"/>
        <v>000CB8FC</v>
      </c>
      <c r="B39" s="26" t="s">
        <v>893</v>
      </c>
      <c r="C39" s="25" t="s">
        <v>950</v>
      </c>
      <c r="D39" s="25"/>
    </row>
    <row r="40" spans="1:4" ht="15.9">
      <c r="A40" s="28" t="str">
        <f t="shared" si="0"/>
        <v>000CB900</v>
      </c>
      <c r="B40" s="29" t="s">
        <v>894</v>
      </c>
      <c r="C40" s="30" t="s">
        <v>854</v>
      </c>
      <c r="D40" s="28" t="s">
        <v>981</v>
      </c>
    </row>
    <row r="41" spans="1:4" ht="15.9">
      <c r="A41" s="28" t="str">
        <f t="shared" si="0"/>
        <v>000CB904</v>
      </c>
      <c r="B41" s="29" t="s">
        <v>895</v>
      </c>
      <c r="C41" s="30" t="s">
        <v>951</v>
      </c>
      <c r="D41" s="28"/>
    </row>
    <row r="42" spans="1:4" ht="15.9">
      <c r="A42" s="28" t="str">
        <f t="shared" si="0"/>
        <v>000CB908</v>
      </c>
      <c r="B42" s="29" t="s">
        <v>873</v>
      </c>
      <c r="C42" s="30" t="s">
        <v>962</v>
      </c>
      <c r="D42" s="28"/>
    </row>
    <row r="43" spans="1:4" ht="15.9">
      <c r="A43" s="28" t="str">
        <f t="shared" si="0"/>
        <v>000CB90C</v>
      </c>
      <c r="B43" s="29" t="s">
        <v>896</v>
      </c>
      <c r="C43" s="30" t="s">
        <v>935</v>
      </c>
      <c r="D43" s="28"/>
    </row>
    <row r="44" spans="1:4" ht="15.9">
      <c r="A44" s="31" t="str">
        <f t="shared" si="0"/>
        <v>000CB910</v>
      </c>
      <c r="B44" s="32" t="s">
        <v>897</v>
      </c>
      <c r="C44" s="33" t="s">
        <v>855</v>
      </c>
      <c r="D44" s="31" t="s">
        <v>982</v>
      </c>
    </row>
    <row r="45" spans="1:4" ht="15.9">
      <c r="A45" s="31" t="str">
        <f t="shared" si="0"/>
        <v>000CB914</v>
      </c>
      <c r="B45" s="32" t="s">
        <v>898</v>
      </c>
      <c r="C45" s="33" t="s">
        <v>972</v>
      </c>
      <c r="D45" s="31" t="s">
        <v>983</v>
      </c>
    </row>
    <row r="46" spans="1:4" ht="15.9">
      <c r="A46" s="31" t="str">
        <f t="shared" si="0"/>
        <v>000CB918</v>
      </c>
      <c r="B46" s="32" t="s">
        <v>899</v>
      </c>
      <c r="C46" s="33" t="s">
        <v>936</v>
      </c>
      <c r="D46" s="31" t="s">
        <v>1004</v>
      </c>
    </row>
    <row r="47" spans="1:4" ht="15.9">
      <c r="A47" s="31" t="str">
        <f t="shared" si="0"/>
        <v>000CB91C</v>
      </c>
      <c r="B47" s="32" t="s">
        <v>900</v>
      </c>
      <c r="C47" s="33" t="s">
        <v>952</v>
      </c>
      <c r="D47" s="31"/>
    </row>
    <row r="48" spans="1:4" ht="15.9">
      <c r="A48" s="34" t="str">
        <f t="shared" si="0"/>
        <v>000CB920</v>
      </c>
      <c r="B48" s="35" t="s">
        <v>901</v>
      </c>
      <c r="C48" s="36" t="s">
        <v>953</v>
      </c>
      <c r="D48" s="34" t="s">
        <v>984</v>
      </c>
    </row>
    <row r="49" spans="1:4" ht="15.9">
      <c r="A49" s="37" t="str">
        <f t="shared" si="0"/>
        <v>000CB924</v>
      </c>
      <c r="B49" s="38" t="s">
        <v>902</v>
      </c>
      <c r="C49" s="37" t="s">
        <v>985</v>
      </c>
      <c r="D49" s="37" t="s">
        <v>986</v>
      </c>
    </row>
    <row r="50" spans="1:4" ht="15.9">
      <c r="A50" s="37" t="str">
        <f t="shared" si="0"/>
        <v>000CB928</v>
      </c>
      <c r="B50" s="38" t="s">
        <v>903</v>
      </c>
      <c r="C50" s="37" t="s">
        <v>856</v>
      </c>
      <c r="D50" s="37" t="s">
        <v>987</v>
      </c>
    </row>
    <row r="51" spans="1:4" ht="15.9">
      <c r="A51" s="37" t="str">
        <f t="shared" si="0"/>
        <v>000CB92C</v>
      </c>
      <c r="B51" s="38" t="s">
        <v>904</v>
      </c>
      <c r="C51" s="37" t="s">
        <v>937</v>
      </c>
      <c r="D51" s="37"/>
    </row>
    <row r="52" spans="1:4" ht="15.9">
      <c r="A52" s="37" t="str">
        <f t="shared" si="0"/>
        <v>000CB930</v>
      </c>
      <c r="B52" s="39" t="s">
        <v>905</v>
      </c>
      <c r="C52" s="37" t="s">
        <v>954</v>
      </c>
      <c r="D52" s="37"/>
    </row>
    <row r="53" spans="1:4" ht="15.9">
      <c r="A53" s="37" t="str">
        <f t="shared" si="0"/>
        <v>000CB934</v>
      </c>
      <c r="B53" s="37" t="s">
        <v>906</v>
      </c>
      <c r="C53" s="37" t="s">
        <v>955</v>
      </c>
      <c r="D53" s="37" t="s">
        <v>988</v>
      </c>
    </row>
    <row r="54" spans="1:4" ht="15.9">
      <c r="A54" s="40" t="str">
        <f t="shared" si="0"/>
        <v>000CB938</v>
      </c>
      <c r="B54" s="41" t="s">
        <v>907</v>
      </c>
      <c r="C54" s="40" t="s">
        <v>956</v>
      </c>
      <c r="D54" s="40"/>
    </row>
    <row r="55" spans="1:4" ht="15.9">
      <c r="A55" s="40" t="str">
        <f t="shared" si="0"/>
        <v>000CB93C</v>
      </c>
      <c r="B55" s="40" t="s">
        <v>908</v>
      </c>
      <c r="C55" s="40" t="s">
        <v>974</v>
      </c>
      <c r="D55" s="40"/>
    </row>
    <row r="56" spans="1:4" ht="15.9">
      <c r="A56" s="40" t="str">
        <f t="shared" si="0"/>
        <v>000CB940</v>
      </c>
      <c r="B56" s="41" t="s">
        <v>909</v>
      </c>
      <c r="C56" s="40" t="s">
        <v>938</v>
      </c>
      <c r="D56" s="40"/>
    </row>
    <row r="57" spans="1:4" ht="15.9">
      <c r="A57" s="40" t="str">
        <f t="shared" si="0"/>
        <v>000CB944</v>
      </c>
      <c r="B57" s="40" t="s">
        <v>910</v>
      </c>
      <c r="C57" s="42" t="str">
        <f>_xlfn.CONCAT("ldr r2, [pc, 0x",DEC2HEX(HEX2DEC(A$89)-HEX2DEC(A$67)-8,3),"]")</f>
        <v>ldr r2, [pc, 0xFFFFF3468C]</v>
      </c>
      <c r="D57" s="40" t="s">
        <v>989</v>
      </c>
    </row>
    <row r="58" spans="1:4" ht="15.9">
      <c r="A58" s="40" t="str">
        <f t="shared" si="0"/>
        <v>000CB948</v>
      </c>
      <c r="B58" s="40" t="s">
        <v>911</v>
      </c>
      <c r="C58" s="40" t="s">
        <v>957</v>
      </c>
      <c r="D58" s="40"/>
    </row>
    <row r="59" spans="1:4" ht="15.9">
      <c r="A59" s="40" t="str">
        <f t="shared" si="0"/>
        <v>000CB94C</v>
      </c>
      <c r="B59" s="41" t="s">
        <v>912</v>
      </c>
      <c r="C59" s="40" t="s">
        <v>939</v>
      </c>
      <c r="D59" s="40"/>
    </row>
    <row r="60" spans="1:4" ht="15.9">
      <c r="A60" s="40" t="str">
        <f t="shared" si="0"/>
        <v>000CB950</v>
      </c>
      <c r="B60" s="40" t="s">
        <v>913</v>
      </c>
      <c r="C60" s="40" t="s">
        <v>994</v>
      </c>
      <c r="D60" s="40" t="s">
        <v>991</v>
      </c>
    </row>
    <row r="61" spans="1:4" ht="15.9">
      <c r="A61" s="40" t="str">
        <f t="shared" si="0"/>
        <v>000CB954</v>
      </c>
      <c r="B61" s="40" t="s">
        <v>914</v>
      </c>
      <c r="C61" s="40" t="s">
        <v>958</v>
      </c>
      <c r="D61" s="40" t="s">
        <v>992</v>
      </c>
    </row>
    <row r="62" spans="1:4" ht="15.9">
      <c r="A62" s="40" t="str">
        <f t="shared" si="0"/>
        <v>000CB958</v>
      </c>
      <c r="B62" s="41" t="s">
        <v>912</v>
      </c>
      <c r="C62" s="40" t="s">
        <v>939</v>
      </c>
      <c r="D62" s="40"/>
    </row>
    <row r="63" spans="1:4" ht="15.9">
      <c r="A63" s="40" t="str">
        <f t="shared" si="0"/>
        <v>000CB95C</v>
      </c>
      <c r="B63" s="40" t="s">
        <v>915</v>
      </c>
      <c r="C63" s="40" t="s">
        <v>990</v>
      </c>
      <c r="D63" s="40" t="s">
        <v>995</v>
      </c>
    </row>
    <row r="64" spans="1:4" ht="15.9">
      <c r="A64" s="40" t="str">
        <f t="shared" si="0"/>
        <v>000CB960</v>
      </c>
      <c r="B64" s="40" t="s">
        <v>916</v>
      </c>
      <c r="C64" s="40" t="s">
        <v>857</v>
      </c>
      <c r="D64" s="40"/>
    </row>
    <row r="65" spans="1:4" ht="15.9">
      <c r="A65" s="40" t="str">
        <f t="shared" si="0"/>
        <v>000CB964</v>
      </c>
      <c r="B65" s="40" t="s">
        <v>873</v>
      </c>
      <c r="C65" s="40" t="s">
        <v>962</v>
      </c>
      <c r="D65" s="40"/>
    </row>
    <row r="66" spans="1:4" ht="15.9">
      <c r="A66" s="40" t="str">
        <f t="shared" si="0"/>
        <v>000CB968</v>
      </c>
      <c r="B66" s="40" t="s">
        <v>917</v>
      </c>
      <c r="C66" s="40" t="s">
        <v>993</v>
      </c>
      <c r="D66" s="40" t="s">
        <v>996</v>
      </c>
    </row>
    <row r="67" spans="1:4" ht="15.9">
      <c r="A67" s="43" t="str">
        <f t="shared" ref="A67:A79" si="1">DEC2HEX(HEX2DEC(A66)+4,8)</f>
        <v>000CB96C</v>
      </c>
      <c r="B67" s="44" t="s">
        <v>918</v>
      </c>
      <c r="C67" s="43" t="s">
        <v>959</v>
      </c>
      <c r="D67" s="43" t="s">
        <v>997</v>
      </c>
    </row>
    <row r="68" spans="1:4" ht="15.9">
      <c r="A68" s="43" t="str">
        <f t="shared" si="1"/>
        <v>000CB970</v>
      </c>
      <c r="B68" s="43" t="s">
        <v>919</v>
      </c>
      <c r="C68" s="43" t="s">
        <v>940</v>
      </c>
      <c r="D68" s="43"/>
    </row>
    <row r="69" spans="1:4" ht="15.9">
      <c r="A69" s="43" t="str">
        <f t="shared" si="1"/>
        <v>000CB974</v>
      </c>
      <c r="B69" s="44" t="s">
        <v>920</v>
      </c>
      <c r="C69" s="43" t="s">
        <v>858</v>
      </c>
      <c r="D69" s="43"/>
    </row>
    <row r="70" spans="1:4" ht="15.9">
      <c r="A70" s="43" t="str">
        <f t="shared" si="1"/>
        <v>000CB978</v>
      </c>
      <c r="B70" s="44" t="s">
        <v>921</v>
      </c>
      <c r="C70" s="43" t="s">
        <v>941</v>
      </c>
      <c r="D70" s="43" t="s">
        <v>998</v>
      </c>
    </row>
    <row r="71" spans="1:4" ht="15.9">
      <c r="A71" s="2" t="str">
        <f t="shared" si="1"/>
        <v>000CB97C</v>
      </c>
      <c r="B71" s="3" t="s">
        <v>922</v>
      </c>
      <c r="C71" s="3" t="s">
        <v>942</v>
      </c>
      <c r="D71" s="2"/>
    </row>
    <row r="72" spans="1:4" ht="15.9">
      <c r="A72" s="2" t="str">
        <f t="shared" si="1"/>
        <v>000CB980</v>
      </c>
      <c r="B72" s="3" t="s">
        <v>923</v>
      </c>
      <c r="C72" s="3" t="str">
        <f>SUBSTITUTE(SUBSTITUTE(C2,"push","pop"),"lr","pc")</f>
        <v>pop {r4, r5, r6, r7, r8, r9, r10, r11, pc}</v>
      </c>
      <c r="D72" s="2"/>
    </row>
    <row r="73" spans="1:4" ht="15.9">
      <c r="A73" s="10" t="str">
        <f t="shared" si="1"/>
        <v>000CB984</v>
      </c>
      <c r="B73" s="10" t="s">
        <v>924</v>
      </c>
      <c r="C73" s="10" t="s">
        <v>859</v>
      </c>
      <c r="D73" s="10" t="s">
        <v>968</v>
      </c>
    </row>
    <row r="74" spans="1:4" ht="15.9">
      <c r="A74" s="10" t="str">
        <f t="shared" si="1"/>
        <v>000CB988</v>
      </c>
      <c r="B74" s="10" t="s">
        <v>873</v>
      </c>
      <c r="C74" s="10" t="s">
        <v>962</v>
      </c>
      <c r="D74" s="10"/>
    </row>
    <row r="75" spans="1:4" ht="15.9">
      <c r="A75" s="10" t="str">
        <f t="shared" si="1"/>
        <v>000CB98C</v>
      </c>
      <c r="B75" s="10" t="s">
        <v>925</v>
      </c>
      <c r="C75" s="10" t="s">
        <v>963</v>
      </c>
      <c r="D75" s="10"/>
    </row>
    <row r="76" spans="1:4" ht="15.9">
      <c r="A76" s="10" t="str">
        <f t="shared" si="1"/>
        <v>000CB990</v>
      </c>
      <c r="B76" s="10" t="s">
        <v>926</v>
      </c>
      <c r="C76" s="10" t="s">
        <v>943</v>
      </c>
      <c r="D76" s="10"/>
    </row>
    <row r="77" spans="1:4" ht="15.9">
      <c r="A77" s="10" t="str">
        <f t="shared" si="1"/>
        <v>000CB994</v>
      </c>
      <c r="B77" s="10" t="s">
        <v>927</v>
      </c>
      <c r="C77" s="10" t="s">
        <v>860</v>
      </c>
      <c r="D77" s="10"/>
    </row>
    <row r="78" spans="1:4" ht="15.9">
      <c r="A78" s="10" t="str">
        <f t="shared" si="1"/>
        <v>000CB998</v>
      </c>
      <c r="B78" s="10" t="s">
        <v>928</v>
      </c>
      <c r="C78" s="10" t="s">
        <v>944</v>
      </c>
      <c r="D78" s="10"/>
    </row>
    <row r="79" spans="1:4" ht="15.9">
      <c r="A79" s="2" t="str">
        <f t="shared" si="1"/>
        <v>000CB99C</v>
      </c>
      <c r="B79" s="2" t="s">
        <v>999</v>
      </c>
      <c r="C79" s="2" t="s">
        <v>861</v>
      </c>
      <c r="D79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B9424-3B4D-4D48-9D45-E0A0451C9CA6}">
  <dimension ref="A1:E808"/>
  <sheetViews>
    <sheetView workbookViewId="0">
      <selection activeCell="E18" sqref="E18"/>
    </sheetView>
  </sheetViews>
  <sheetFormatPr defaultRowHeight="14.15"/>
  <sheetData>
    <row r="1" spans="1:4">
      <c r="A1" t="s">
        <v>22</v>
      </c>
      <c r="B1" t="s">
        <v>4</v>
      </c>
      <c r="C1">
        <v>8</v>
      </c>
      <c r="D1" t="str">
        <f>DEC2HEX(C1,2)</f>
        <v>08</v>
      </c>
    </row>
    <row r="2" spans="1:4">
      <c r="A2" t="s">
        <v>23</v>
      </c>
      <c r="B2" t="s">
        <v>5</v>
      </c>
      <c r="C2">
        <v>8</v>
      </c>
      <c r="D2" t="str">
        <f t="shared" ref="D2:D18" si="0">DEC2HEX(C2,2)</f>
        <v>08</v>
      </c>
    </row>
    <row r="3" spans="1:4">
      <c r="A3" t="s">
        <v>24</v>
      </c>
      <c r="B3" t="s">
        <v>6</v>
      </c>
      <c r="C3">
        <v>7</v>
      </c>
      <c r="D3" t="str">
        <f t="shared" si="0"/>
        <v>07</v>
      </c>
    </row>
    <row r="4" spans="1:4">
      <c r="A4" t="s">
        <v>25</v>
      </c>
      <c r="B4" t="s">
        <v>7</v>
      </c>
      <c r="C4">
        <v>7</v>
      </c>
      <c r="D4" t="str">
        <f t="shared" si="0"/>
        <v>07</v>
      </c>
    </row>
    <row r="5" spans="1:4">
      <c r="A5" t="s">
        <v>26</v>
      </c>
      <c r="B5" t="s">
        <v>8</v>
      </c>
      <c r="C5">
        <v>7</v>
      </c>
      <c r="D5" t="str">
        <f t="shared" si="0"/>
        <v>07</v>
      </c>
    </row>
    <row r="6" spans="1:4">
      <c r="A6" t="s">
        <v>27</v>
      </c>
      <c r="B6" t="s">
        <v>9</v>
      </c>
      <c r="C6">
        <v>8</v>
      </c>
      <c r="D6" t="str">
        <f t="shared" si="0"/>
        <v>08</v>
      </c>
    </row>
    <row r="7" spans="1:4">
      <c r="A7" t="s">
        <v>28</v>
      </c>
      <c r="B7" t="s">
        <v>10</v>
      </c>
      <c r="C7">
        <v>8</v>
      </c>
      <c r="D7" t="str">
        <f t="shared" si="0"/>
        <v>08</v>
      </c>
    </row>
    <row r="8" spans="1:4">
      <c r="A8" t="s">
        <v>29</v>
      </c>
      <c r="B8" t="s">
        <v>11</v>
      </c>
      <c r="C8">
        <v>7</v>
      </c>
      <c r="D8" t="str">
        <f t="shared" si="0"/>
        <v>07</v>
      </c>
    </row>
    <row r="9" spans="1:4">
      <c r="A9" t="s">
        <v>30</v>
      </c>
      <c r="B9" t="s">
        <v>12</v>
      </c>
      <c r="C9">
        <v>8</v>
      </c>
      <c r="D9" t="str">
        <f t="shared" si="0"/>
        <v>08</v>
      </c>
    </row>
    <row r="10" spans="1:4">
      <c r="A10" t="s">
        <v>31</v>
      </c>
      <c r="B10" t="s">
        <v>13</v>
      </c>
      <c r="C10">
        <v>7</v>
      </c>
      <c r="D10" t="str">
        <f t="shared" si="0"/>
        <v>07</v>
      </c>
    </row>
    <row r="11" spans="1:4">
      <c r="A11" t="s">
        <v>32</v>
      </c>
      <c r="B11" t="s">
        <v>14</v>
      </c>
      <c r="C11">
        <v>7</v>
      </c>
      <c r="D11" t="str">
        <f t="shared" si="0"/>
        <v>07</v>
      </c>
    </row>
    <row r="12" spans="1:4">
      <c r="A12" t="s">
        <v>33</v>
      </c>
      <c r="B12" t="s">
        <v>15</v>
      </c>
      <c r="C12">
        <v>8</v>
      </c>
      <c r="D12" t="str">
        <f t="shared" si="0"/>
        <v>08</v>
      </c>
    </row>
    <row r="13" spans="1:4">
      <c r="A13" t="s">
        <v>34</v>
      </c>
      <c r="B13" t="s">
        <v>16</v>
      </c>
      <c r="C13">
        <v>7</v>
      </c>
      <c r="D13" t="str">
        <f t="shared" si="0"/>
        <v>07</v>
      </c>
    </row>
    <row r="14" spans="1:4">
      <c r="A14" t="s">
        <v>35</v>
      </c>
      <c r="B14" t="s">
        <v>17</v>
      </c>
      <c r="C14">
        <v>7</v>
      </c>
      <c r="D14" t="str">
        <f t="shared" si="0"/>
        <v>07</v>
      </c>
    </row>
    <row r="15" spans="1:4">
      <c r="A15" t="s">
        <v>36</v>
      </c>
      <c r="B15" t="s">
        <v>18</v>
      </c>
      <c r="C15">
        <v>8</v>
      </c>
      <c r="D15" t="str">
        <f t="shared" si="0"/>
        <v>08</v>
      </c>
    </row>
    <row r="16" spans="1:4">
      <c r="A16" t="s">
        <v>37</v>
      </c>
      <c r="B16" t="s">
        <v>19</v>
      </c>
      <c r="C16">
        <v>7</v>
      </c>
      <c r="D16" t="str">
        <f t="shared" si="0"/>
        <v>07</v>
      </c>
    </row>
    <row r="17" spans="1:5">
      <c r="A17" t="s">
        <v>38</v>
      </c>
      <c r="B17" t="s">
        <v>20</v>
      </c>
      <c r="C17">
        <v>8</v>
      </c>
      <c r="D17" t="str">
        <f t="shared" si="0"/>
        <v>08</v>
      </c>
    </row>
    <row r="18" spans="1:5">
      <c r="A18" t="s">
        <v>39</v>
      </c>
      <c r="B18" t="s">
        <v>21</v>
      </c>
      <c r="C18">
        <v>7</v>
      </c>
      <c r="D18" t="str">
        <f t="shared" si="0"/>
        <v>07</v>
      </c>
      <c r="E18" t="str">
        <f>_xlfn.CONCAT(D1:D18)</f>
        <v>080807070708080708070708070708070807</v>
      </c>
    </row>
    <row r="19" spans="1:5">
      <c r="A19" t="s">
        <v>40</v>
      </c>
    </row>
    <row r="20" spans="1:5">
      <c r="A20" t="s">
        <v>41</v>
      </c>
    </row>
    <row r="21" spans="1:5">
      <c r="A21" t="s">
        <v>42</v>
      </c>
    </row>
    <row r="22" spans="1:5">
      <c r="A22" t="s">
        <v>43</v>
      </c>
    </row>
    <row r="23" spans="1:5">
      <c r="A23" t="s">
        <v>44</v>
      </c>
    </row>
    <row r="24" spans="1:5">
      <c r="A24" t="s">
        <v>45</v>
      </c>
    </row>
    <row r="25" spans="1:5">
      <c r="A25" t="s">
        <v>46</v>
      </c>
    </row>
    <row r="26" spans="1:5">
      <c r="A26" t="s">
        <v>47</v>
      </c>
    </row>
    <row r="27" spans="1:5">
      <c r="A27" t="s">
        <v>48</v>
      </c>
    </row>
    <row r="28" spans="1:5">
      <c r="A28" t="s">
        <v>49</v>
      </c>
    </row>
    <row r="29" spans="1:5">
      <c r="A29" t="s">
        <v>50</v>
      </c>
    </row>
    <row r="30" spans="1:5">
      <c r="A30" t="s">
        <v>51</v>
      </c>
    </row>
    <row r="31" spans="1:5">
      <c r="A31" t="s">
        <v>52</v>
      </c>
    </row>
    <row r="32" spans="1:5">
      <c r="A32" t="s">
        <v>53</v>
      </c>
    </row>
    <row r="33" spans="1:1">
      <c r="A33" t="s">
        <v>54</v>
      </c>
    </row>
    <row r="34" spans="1:1">
      <c r="A34" t="s">
        <v>55</v>
      </c>
    </row>
    <row r="35" spans="1:1">
      <c r="A35" t="s">
        <v>56</v>
      </c>
    </row>
    <row r="36" spans="1:1">
      <c r="A36" t="s">
        <v>57</v>
      </c>
    </row>
    <row r="37" spans="1:1">
      <c r="A37" t="s">
        <v>58</v>
      </c>
    </row>
    <row r="38" spans="1:1">
      <c r="A38" t="s">
        <v>59</v>
      </c>
    </row>
    <row r="39" spans="1:1">
      <c r="A39" t="s">
        <v>60</v>
      </c>
    </row>
    <row r="40" spans="1:1">
      <c r="A40" t="s">
        <v>61</v>
      </c>
    </row>
    <row r="41" spans="1:1">
      <c r="A41" t="s">
        <v>62</v>
      </c>
    </row>
    <row r="42" spans="1:1">
      <c r="A42" t="s">
        <v>63</v>
      </c>
    </row>
    <row r="43" spans="1:1">
      <c r="A43" t="s">
        <v>64</v>
      </c>
    </row>
    <row r="44" spans="1:1">
      <c r="A44" t="s">
        <v>65</v>
      </c>
    </row>
    <row r="45" spans="1:1">
      <c r="A45" t="s">
        <v>66</v>
      </c>
    </row>
    <row r="46" spans="1:1">
      <c r="A46" t="s">
        <v>67</v>
      </c>
    </row>
    <row r="47" spans="1:1">
      <c r="A47" t="s">
        <v>68</v>
      </c>
    </row>
    <row r="48" spans="1:1">
      <c r="A48" t="s">
        <v>69</v>
      </c>
    </row>
    <row r="49" spans="1:1">
      <c r="A49" t="s">
        <v>70</v>
      </c>
    </row>
    <row r="50" spans="1:1">
      <c r="A50" t="s">
        <v>71</v>
      </c>
    </row>
    <row r="51" spans="1:1">
      <c r="A51" t="s">
        <v>72</v>
      </c>
    </row>
    <row r="52" spans="1:1">
      <c r="A52" t="s">
        <v>73</v>
      </c>
    </row>
    <row r="53" spans="1:1">
      <c r="A53" t="s">
        <v>74</v>
      </c>
    </row>
    <row r="54" spans="1:1">
      <c r="A54" t="s">
        <v>75</v>
      </c>
    </row>
    <row r="55" spans="1:1">
      <c r="A55" t="s">
        <v>76</v>
      </c>
    </row>
    <row r="56" spans="1:1">
      <c r="A56" t="s">
        <v>77</v>
      </c>
    </row>
    <row r="57" spans="1:1">
      <c r="A57" t="s">
        <v>78</v>
      </c>
    </row>
    <row r="58" spans="1:1">
      <c r="A58" t="s">
        <v>79</v>
      </c>
    </row>
    <row r="59" spans="1:1">
      <c r="A59" t="s">
        <v>80</v>
      </c>
    </row>
    <row r="60" spans="1:1">
      <c r="A60" t="s">
        <v>81</v>
      </c>
    </row>
    <row r="61" spans="1:1">
      <c r="A61" t="s">
        <v>82</v>
      </c>
    </row>
    <row r="62" spans="1:1">
      <c r="A62" t="s">
        <v>83</v>
      </c>
    </row>
    <row r="63" spans="1:1">
      <c r="A63" t="s">
        <v>84</v>
      </c>
    </row>
    <row r="64" spans="1:1">
      <c r="A64" t="s">
        <v>85</v>
      </c>
    </row>
    <row r="65" spans="1:1">
      <c r="A65" t="s">
        <v>86</v>
      </c>
    </row>
    <row r="66" spans="1:1">
      <c r="A66" t="s">
        <v>87</v>
      </c>
    </row>
    <row r="67" spans="1:1">
      <c r="A67" t="s">
        <v>88</v>
      </c>
    </row>
    <row r="68" spans="1:1">
      <c r="A68" t="s">
        <v>89</v>
      </c>
    </row>
    <row r="69" spans="1:1">
      <c r="A69" t="s">
        <v>90</v>
      </c>
    </row>
    <row r="70" spans="1:1">
      <c r="A70" t="s">
        <v>91</v>
      </c>
    </row>
    <row r="71" spans="1:1">
      <c r="A71" t="s">
        <v>92</v>
      </c>
    </row>
    <row r="72" spans="1:1">
      <c r="A72" t="s">
        <v>93</v>
      </c>
    </row>
    <row r="73" spans="1:1">
      <c r="A73" t="s">
        <v>94</v>
      </c>
    </row>
    <row r="74" spans="1:1">
      <c r="A74" t="s">
        <v>95</v>
      </c>
    </row>
    <row r="75" spans="1:1">
      <c r="A75" t="s">
        <v>96</v>
      </c>
    </row>
    <row r="76" spans="1:1">
      <c r="A76" t="s">
        <v>97</v>
      </c>
    </row>
    <row r="77" spans="1:1">
      <c r="A77" t="s">
        <v>98</v>
      </c>
    </row>
    <row r="78" spans="1:1">
      <c r="A78" t="s">
        <v>99</v>
      </c>
    </row>
    <row r="79" spans="1:1">
      <c r="A79" t="s">
        <v>100</v>
      </c>
    </row>
    <row r="80" spans="1:1">
      <c r="A80" t="s">
        <v>101</v>
      </c>
    </row>
    <row r="81" spans="1:1">
      <c r="A81" t="s">
        <v>102</v>
      </c>
    </row>
    <row r="82" spans="1:1">
      <c r="A82" t="s">
        <v>103</v>
      </c>
    </row>
    <row r="83" spans="1:1">
      <c r="A83" t="s">
        <v>104</v>
      </c>
    </row>
    <row r="84" spans="1:1">
      <c r="A84" t="s">
        <v>105</v>
      </c>
    </row>
    <row r="85" spans="1:1">
      <c r="A85" t="s">
        <v>106</v>
      </c>
    </row>
    <row r="86" spans="1:1">
      <c r="A86" t="s">
        <v>107</v>
      </c>
    </row>
    <row r="87" spans="1:1">
      <c r="A87" t="s">
        <v>108</v>
      </c>
    </row>
    <row r="88" spans="1:1">
      <c r="A88" t="s">
        <v>109</v>
      </c>
    </row>
    <row r="89" spans="1:1">
      <c r="A89" t="s">
        <v>110</v>
      </c>
    </row>
    <row r="90" spans="1:1">
      <c r="A90" t="s">
        <v>111</v>
      </c>
    </row>
    <row r="91" spans="1:1">
      <c r="A91" t="s">
        <v>112</v>
      </c>
    </row>
    <row r="92" spans="1:1">
      <c r="A92" t="s">
        <v>113</v>
      </c>
    </row>
    <row r="93" spans="1:1">
      <c r="A93" t="s">
        <v>114</v>
      </c>
    </row>
    <row r="94" spans="1:1">
      <c r="A94" t="s">
        <v>115</v>
      </c>
    </row>
    <row r="95" spans="1:1">
      <c r="A95" t="s">
        <v>116</v>
      </c>
    </row>
    <row r="96" spans="1:1">
      <c r="A96" t="s">
        <v>117</v>
      </c>
    </row>
    <row r="97" spans="1:1">
      <c r="A97" t="s">
        <v>118</v>
      </c>
    </row>
    <row r="98" spans="1:1">
      <c r="A98" t="s">
        <v>119</v>
      </c>
    </row>
    <row r="99" spans="1:1">
      <c r="A99" t="s">
        <v>120</v>
      </c>
    </row>
    <row r="100" spans="1:1">
      <c r="A100" t="s">
        <v>121</v>
      </c>
    </row>
    <row r="101" spans="1:1">
      <c r="A101" t="s">
        <v>122</v>
      </c>
    </row>
    <row r="102" spans="1:1">
      <c r="A102" t="s">
        <v>123</v>
      </c>
    </row>
    <row r="103" spans="1:1">
      <c r="A103" t="s">
        <v>124</v>
      </c>
    </row>
    <row r="104" spans="1:1">
      <c r="A104" t="s">
        <v>125</v>
      </c>
    </row>
    <row r="105" spans="1:1">
      <c r="A105" t="s">
        <v>126</v>
      </c>
    </row>
    <row r="106" spans="1:1">
      <c r="A106" t="s">
        <v>127</v>
      </c>
    </row>
    <row r="107" spans="1:1">
      <c r="A107" t="s">
        <v>128</v>
      </c>
    </row>
    <row r="108" spans="1:1">
      <c r="A108" t="s">
        <v>129</v>
      </c>
    </row>
    <row r="109" spans="1:1">
      <c r="A109" t="s">
        <v>130</v>
      </c>
    </row>
    <row r="110" spans="1:1">
      <c r="A110" t="s">
        <v>131</v>
      </c>
    </row>
    <row r="111" spans="1:1">
      <c r="A111" t="s">
        <v>132</v>
      </c>
    </row>
    <row r="112" spans="1:1">
      <c r="A112" t="s">
        <v>133</v>
      </c>
    </row>
    <row r="113" spans="1:1">
      <c r="A113" t="s">
        <v>134</v>
      </c>
    </row>
    <row r="114" spans="1:1">
      <c r="A114" t="s">
        <v>135</v>
      </c>
    </row>
    <row r="115" spans="1:1">
      <c r="A115" t="s">
        <v>136</v>
      </c>
    </row>
    <row r="116" spans="1:1">
      <c r="A116" t="s">
        <v>137</v>
      </c>
    </row>
    <row r="117" spans="1:1">
      <c r="A117" t="s">
        <v>138</v>
      </c>
    </row>
    <row r="118" spans="1:1">
      <c r="A118" t="s">
        <v>139</v>
      </c>
    </row>
    <row r="119" spans="1:1">
      <c r="A119" t="s">
        <v>140</v>
      </c>
    </row>
    <row r="120" spans="1:1">
      <c r="A120" t="s">
        <v>141</v>
      </c>
    </row>
    <row r="121" spans="1:1">
      <c r="A121" t="s">
        <v>142</v>
      </c>
    </row>
    <row r="122" spans="1:1">
      <c r="A122" t="s">
        <v>143</v>
      </c>
    </row>
    <row r="123" spans="1:1">
      <c r="A123" t="s">
        <v>144</v>
      </c>
    </row>
    <row r="124" spans="1:1">
      <c r="A124" t="s">
        <v>145</v>
      </c>
    </row>
    <row r="125" spans="1:1">
      <c r="A125" t="s">
        <v>146</v>
      </c>
    </row>
    <row r="126" spans="1:1">
      <c r="A126" t="s">
        <v>147</v>
      </c>
    </row>
    <row r="127" spans="1:1">
      <c r="A127" t="s">
        <v>148</v>
      </c>
    </row>
    <row r="128" spans="1:1">
      <c r="A128" t="s">
        <v>149</v>
      </c>
    </row>
    <row r="129" spans="1:1">
      <c r="A129" t="s">
        <v>150</v>
      </c>
    </row>
    <row r="130" spans="1:1">
      <c r="A130" t="s">
        <v>151</v>
      </c>
    </row>
    <row r="131" spans="1:1">
      <c r="A131" t="s">
        <v>152</v>
      </c>
    </row>
    <row r="132" spans="1:1">
      <c r="A132" t="s">
        <v>153</v>
      </c>
    </row>
    <row r="133" spans="1:1">
      <c r="A133" t="s">
        <v>154</v>
      </c>
    </row>
    <row r="134" spans="1:1">
      <c r="A134" t="s">
        <v>155</v>
      </c>
    </row>
    <row r="135" spans="1:1">
      <c r="A135" t="s">
        <v>156</v>
      </c>
    </row>
    <row r="136" spans="1:1">
      <c r="A136" t="s">
        <v>157</v>
      </c>
    </row>
    <row r="137" spans="1:1">
      <c r="A137" t="s">
        <v>158</v>
      </c>
    </row>
    <row r="138" spans="1:1">
      <c r="A138" t="s">
        <v>159</v>
      </c>
    </row>
    <row r="139" spans="1:1">
      <c r="A139" t="s">
        <v>160</v>
      </c>
    </row>
    <row r="140" spans="1:1">
      <c r="A140" t="s">
        <v>161</v>
      </c>
    </row>
    <row r="141" spans="1:1">
      <c r="A141" t="s">
        <v>162</v>
      </c>
    </row>
    <row r="142" spans="1:1">
      <c r="A142" t="s">
        <v>163</v>
      </c>
    </row>
    <row r="143" spans="1:1">
      <c r="A143" t="s">
        <v>164</v>
      </c>
    </row>
    <row r="144" spans="1:1">
      <c r="A144" t="s">
        <v>165</v>
      </c>
    </row>
    <row r="145" spans="1:1">
      <c r="A145" t="s">
        <v>166</v>
      </c>
    </row>
    <row r="146" spans="1:1">
      <c r="A146" t="s">
        <v>167</v>
      </c>
    </row>
    <row r="147" spans="1:1">
      <c r="A147" t="s">
        <v>168</v>
      </c>
    </row>
    <row r="148" spans="1:1">
      <c r="A148" t="s">
        <v>169</v>
      </c>
    </row>
    <row r="149" spans="1:1">
      <c r="A149" t="s">
        <v>170</v>
      </c>
    </row>
    <row r="150" spans="1:1">
      <c r="A150" t="s">
        <v>171</v>
      </c>
    </row>
    <row r="151" spans="1:1">
      <c r="A151" t="s">
        <v>172</v>
      </c>
    </row>
    <row r="152" spans="1:1">
      <c r="A152" t="s">
        <v>173</v>
      </c>
    </row>
    <row r="153" spans="1:1">
      <c r="A153" t="s">
        <v>174</v>
      </c>
    </row>
    <row r="154" spans="1:1">
      <c r="A154" t="s">
        <v>175</v>
      </c>
    </row>
    <row r="155" spans="1:1">
      <c r="A155" t="s">
        <v>176</v>
      </c>
    </row>
    <row r="156" spans="1:1">
      <c r="A156" t="s">
        <v>177</v>
      </c>
    </row>
    <row r="157" spans="1:1">
      <c r="A157" t="s">
        <v>178</v>
      </c>
    </row>
    <row r="158" spans="1:1">
      <c r="A158" t="s">
        <v>179</v>
      </c>
    </row>
    <row r="159" spans="1:1">
      <c r="A159" t="s">
        <v>180</v>
      </c>
    </row>
    <row r="160" spans="1:1">
      <c r="A160" t="s">
        <v>181</v>
      </c>
    </row>
    <row r="161" spans="1:1">
      <c r="A161" t="s">
        <v>182</v>
      </c>
    </row>
    <row r="162" spans="1:1">
      <c r="A162" t="s">
        <v>183</v>
      </c>
    </row>
    <row r="163" spans="1:1">
      <c r="A163" t="s">
        <v>184</v>
      </c>
    </row>
    <row r="164" spans="1:1">
      <c r="A164" t="s">
        <v>185</v>
      </c>
    </row>
    <row r="165" spans="1:1">
      <c r="A165" t="s">
        <v>186</v>
      </c>
    </row>
    <row r="166" spans="1:1">
      <c r="A166" t="s">
        <v>187</v>
      </c>
    </row>
    <row r="167" spans="1:1">
      <c r="A167" t="s">
        <v>188</v>
      </c>
    </row>
    <row r="168" spans="1:1">
      <c r="A168" t="s">
        <v>189</v>
      </c>
    </row>
    <row r="169" spans="1:1">
      <c r="A169" t="s">
        <v>190</v>
      </c>
    </row>
    <row r="170" spans="1:1">
      <c r="A170" t="s">
        <v>191</v>
      </c>
    </row>
    <row r="171" spans="1:1">
      <c r="A171" t="s">
        <v>192</v>
      </c>
    </row>
    <row r="172" spans="1:1">
      <c r="A172" t="s">
        <v>193</v>
      </c>
    </row>
    <row r="173" spans="1:1">
      <c r="A173" t="s">
        <v>194</v>
      </c>
    </row>
    <row r="174" spans="1:1">
      <c r="A174" t="s">
        <v>195</v>
      </c>
    </row>
    <row r="175" spans="1:1">
      <c r="A175" t="s">
        <v>196</v>
      </c>
    </row>
    <row r="176" spans="1:1">
      <c r="A176" t="s">
        <v>197</v>
      </c>
    </row>
    <row r="177" spans="1:1">
      <c r="A177" t="s">
        <v>198</v>
      </c>
    </row>
    <row r="178" spans="1:1">
      <c r="A178" t="s">
        <v>199</v>
      </c>
    </row>
    <row r="179" spans="1:1">
      <c r="A179" t="s">
        <v>200</v>
      </c>
    </row>
    <row r="180" spans="1:1">
      <c r="A180" t="s">
        <v>201</v>
      </c>
    </row>
    <row r="181" spans="1:1">
      <c r="A181" t="s">
        <v>202</v>
      </c>
    </row>
    <row r="182" spans="1:1">
      <c r="A182" t="s">
        <v>203</v>
      </c>
    </row>
    <row r="183" spans="1:1">
      <c r="A183" t="s">
        <v>204</v>
      </c>
    </row>
    <row r="184" spans="1:1">
      <c r="A184" t="s">
        <v>205</v>
      </c>
    </row>
    <row r="185" spans="1:1">
      <c r="A185" t="s">
        <v>206</v>
      </c>
    </row>
    <row r="186" spans="1:1">
      <c r="A186" t="s">
        <v>207</v>
      </c>
    </row>
    <row r="187" spans="1:1">
      <c r="A187" t="s">
        <v>208</v>
      </c>
    </row>
    <row r="188" spans="1:1">
      <c r="A188" t="s">
        <v>209</v>
      </c>
    </row>
    <row r="189" spans="1:1">
      <c r="A189" t="s">
        <v>210</v>
      </c>
    </row>
    <row r="190" spans="1:1">
      <c r="A190" t="s">
        <v>211</v>
      </c>
    </row>
    <row r="191" spans="1:1">
      <c r="A191" t="s">
        <v>212</v>
      </c>
    </row>
    <row r="192" spans="1:1">
      <c r="A192" t="s">
        <v>213</v>
      </c>
    </row>
    <row r="193" spans="1:1">
      <c r="A193" t="s">
        <v>214</v>
      </c>
    </row>
    <row r="194" spans="1:1">
      <c r="A194" t="s">
        <v>215</v>
      </c>
    </row>
    <row r="195" spans="1:1">
      <c r="A195" t="s">
        <v>216</v>
      </c>
    </row>
    <row r="196" spans="1:1">
      <c r="A196" t="s">
        <v>217</v>
      </c>
    </row>
    <row r="197" spans="1:1">
      <c r="A197" t="s">
        <v>218</v>
      </c>
    </row>
    <row r="198" spans="1:1">
      <c r="A198" t="s">
        <v>219</v>
      </c>
    </row>
    <row r="199" spans="1:1">
      <c r="A199" t="s">
        <v>220</v>
      </c>
    </row>
    <row r="200" spans="1:1">
      <c r="A200" t="s">
        <v>221</v>
      </c>
    </row>
    <row r="201" spans="1:1">
      <c r="A201" t="s">
        <v>222</v>
      </c>
    </row>
    <row r="202" spans="1:1">
      <c r="A202" t="s">
        <v>223</v>
      </c>
    </row>
    <row r="203" spans="1:1">
      <c r="A203" t="s">
        <v>224</v>
      </c>
    </row>
    <row r="204" spans="1:1">
      <c r="A204" t="s">
        <v>225</v>
      </c>
    </row>
    <row r="205" spans="1:1">
      <c r="A205" t="s">
        <v>226</v>
      </c>
    </row>
    <row r="206" spans="1:1">
      <c r="A206" t="s">
        <v>227</v>
      </c>
    </row>
    <row r="207" spans="1:1">
      <c r="A207" t="s">
        <v>228</v>
      </c>
    </row>
    <row r="208" spans="1:1">
      <c r="A208" t="s">
        <v>229</v>
      </c>
    </row>
    <row r="209" spans="1:1">
      <c r="A209" t="s">
        <v>230</v>
      </c>
    </row>
    <row r="210" spans="1:1">
      <c r="A210" t="s">
        <v>231</v>
      </c>
    </row>
    <row r="211" spans="1:1">
      <c r="A211" t="s">
        <v>232</v>
      </c>
    </row>
    <row r="212" spans="1:1">
      <c r="A212" t="s">
        <v>233</v>
      </c>
    </row>
    <row r="213" spans="1:1">
      <c r="A213" t="s">
        <v>234</v>
      </c>
    </row>
    <row r="214" spans="1:1">
      <c r="A214" t="s">
        <v>235</v>
      </c>
    </row>
    <row r="215" spans="1:1">
      <c r="A215" t="s">
        <v>236</v>
      </c>
    </row>
    <row r="216" spans="1:1">
      <c r="A216" t="s">
        <v>237</v>
      </c>
    </row>
    <row r="217" spans="1:1">
      <c r="A217" t="s">
        <v>238</v>
      </c>
    </row>
    <row r="218" spans="1:1">
      <c r="A218" t="s">
        <v>239</v>
      </c>
    </row>
    <row r="219" spans="1:1">
      <c r="A219" t="s">
        <v>240</v>
      </c>
    </row>
    <row r="220" spans="1:1">
      <c r="A220" t="s">
        <v>241</v>
      </c>
    </row>
    <row r="221" spans="1:1">
      <c r="A221" t="s">
        <v>242</v>
      </c>
    </row>
    <row r="222" spans="1:1">
      <c r="A222" t="s">
        <v>243</v>
      </c>
    </row>
    <row r="223" spans="1:1">
      <c r="A223" t="s">
        <v>244</v>
      </c>
    </row>
    <row r="224" spans="1:1">
      <c r="A224" t="s">
        <v>245</v>
      </c>
    </row>
    <row r="225" spans="1:1">
      <c r="A225" t="s">
        <v>246</v>
      </c>
    </row>
    <row r="226" spans="1:1">
      <c r="A226" t="s">
        <v>247</v>
      </c>
    </row>
    <row r="227" spans="1:1">
      <c r="A227" t="s">
        <v>248</v>
      </c>
    </row>
    <row r="228" spans="1:1">
      <c r="A228" t="s">
        <v>249</v>
      </c>
    </row>
    <row r="229" spans="1:1">
      <c r="A229" t="s">
        <v>250</v>
      </c>
    </row>
    <row r="230" spans="1:1">
      <c r="A230" t="s">
        <v>251</v>
      </c>
    </row>
    <row r="231" spans="1:1">
      <c r="A231" t="s">
        <v>252</v>
      </c>
    </row>
    <row r="232" spans="1:1">
      <c r="A232" t="s">
        <v>253</v>
      </c>
    </row>
    <row r="233" spans="1:1">
      <c r="A233" t="s">
        <v>254</v>
      </c>
    </row>
    <row r="234" spans="1:1">
      <c r="A234" t="s">
        <v>255</v>
      </c>
    </row>
    <row r="235" spans="1:1">
      <c r="A235" t="s">
        <v>256</v>
      </c>
    </row>
    <row r="236" spans="1:1">
      <c r="A236" t="s">
        <v>257</v>
      </c>
    </row>
    <row r="237" spans="1:1">
      <c r="A237" t="s">
        <v>258</v>
      </c>
    </row>
    <row r="238" spans="1:1">
      <c r="A238" t="s">
        <v>259</v>
      </c>
    </row>
    <row r="239" spans="1:1">
      <c r="A239" t="s">
        <v>260</v>
      </c>
    </row>
    <row r="240" spans="1:1">
      <c r="A240" t="s">
        <v>261</v>
      </c>
    </row>
    <row r="241" spans="1:1">
      <c r="A241" t="s">
        <v>262</v>
      </c>
    </row>
    <row r="242" spans="1:1">
      <c r="A242" t="s">
        <v>263</v>
      </c>
    </row>
    <row r="243" spans="1:1">
      <c r="A243" t="s">
        <v>264</v>
      </c>
    </row>
    <row r="244" spans="1:1">
      <c r="A244" t="s">
        <v>265</v>
      </c>
    </row>
    <row r="245" spans="1:1">
      <c r="A245" t="s">
        <v>266</v>
      </c>
    </row>
    <row r="246" spans="1:1">
      <c r="A246" t="s">
        <v>267</v>
      </c>
    </row>
    <row r="247" spans="1:1">
      <c r="A247" t="s">
        <v>268</v>
      </c>
    </row>
    <row r="248" spans="1:1">
      <c r="A248" t="s">
        <v>269</v>
      </c>
    </row>
    <row r="249" spans="1:1">
      <c r="A249" t="s">
        <v>270</v>
      </c>
    </row>
    <row r="250" spans="1:1">
      <c r="A250" t="s">
        <v>271</v>
      </c>
    </row>
    <row r="251" spans="1:1">
      <c r="A251" t="s">
        <v>272</v>
      </c>
    </row>
    <row r="252" spans="1:1">
      <c r="A252" t="s">
        <v>273</v>
      </c>
    </row>
    <row r="253" spans="1:1">
      <c r="A253" t="s">
        <v>274</v>
      </c>
    </row>
    <row r="254" spans="1:1">
      <c r="A254" t="s">
        <v>275</v>
      </c>
    </row>
    <row r="255" spans="1:1">
      <c r="A255" t="s">
        <v>276</v>
      </c>
    </row>
    <row r="256" spans="1:1">
      <c r="A256" t="s">
        <v>277</v>
      </c>
    </row>
    <row r="257" spans="1:1">
      <c r="A257" t="s">
        <v>278</v>
      </c>
    </row>
    <row r="258" spans="1:1">
      <c r="A258" t="s">
        <v>279</v>
      </c>
    </row>
    <row r="259" spans="1:1">
      <c r="A259" t="s">
        <v>280</v>
      </c>
    </row>
    <row r="260" spans="1:1">
      <c r="A260" t="s">
        <v>281</v>
      </c>
    </row>
    <row r="261" spans="1:1">
      <c r="A261" t="s">
        <v>282</v>
      </c>
    </row>
    <row r="262" spans="1:1">
      <c r="A262" t="s">
        <v>283</v>
      </c>
    </row>
    <row r="263" spans="1:1">
      <c r="A263" t="s">
        <v>284</v>
      </c>
    </row>
    <row r="264" spans="1:1">
      <c r="A264" t="s">
        <v>285</v>
      </c>
    </row>
    <row r="265" spans="1:1">
      <c r="A265" t="s">
        <v>286</v>
      </c>
    </row>
    <row r="266" spans="1:1">
      <c r="A266" t="s">
        <v>287</v>
      </c>
    </row>
    <row r="267" spans="1:1">
      <c r="A267" t="s">
        <v>288</v>
      </c>
    </row>
    <row r="268" spans="1:1">
      <c r="A268" t="s">
        <v>289</v>
      </c>
    </row>
    <row r="269" spans="1:1">
      <c r="A269" t="s">
        <v>290</v>
      </c>
    </row>
    <row r="270" spans="1:1">
      <c r="A270" t="s">
        <v>291</v>
      </c>
    </row>
    <row r="271" spans="1:1">
      <c r="A271" t="s">
        <v>292</v>
      </c>
    </row>
    <row r="272" spans="1:1">
      <c r="A272" t="s">
        <v>293</v>
      </c>
    </row>
    <row r="273" spans="1:1">
      <c r="A273" t="s">
        <v>294</v>
      </c>
    </row>
    <row r="274" spans="1:1">
      <c r="A274" t="s">
        <v>295</v>
      </c>
    </row>
    <row r="275" spans="1:1">
      <c r="A275" t="s">
        <v>296</v>
      </c>
    </row>
    <row r="276" spans="1:1">
      <c r="A276" t="s">
        <v>297</v>
      </c>
    </row>
    <row r="277" spans="1:1">
      <c r="A277" t="s">
        <v>298</v>
      </c>
    </row>
    <row r="278" spans="1:1">
      <c r="A278" t="s">
        <v>299</v>
      </c>
    </row>
    <row r="279" spans="1:1">
      <c r="A279" t="s">
        <v>300</v>
      </c>
    </row>
    <row r="280" spans="1:1">
      <c r="A280" t="s">
        <v>301</v>
      </c>
    </row>
    <row r="281" spans="1:1">
      <c r="A281" t="s">
        <v>302</v>
      </c>
    </row>
    <row r="282" spans="1:1">
      <c r="A282" t="s">
        <v>303</v>
      </c>
    </row>
    <row r="283" spans="1:1">
      <c r="A283" t="s">
        <v>304</v>
      </c>
    </row>
    <row r="284" spans="1:1">
      <c r="A284" t="s">
        <v>305</v>
      </c>
    </row>
    <row r="285" spans="1:1">
      <c r="A285" t="s">
        <v>306</v>
      </c>
    </row>
    <row r="286" spans="1:1">
      <c r="A286" t="s">
        <v>307</v>
      </c>
    </row>
    <row r="287" spans="1:1">
      <c r="A287" t="s">
        <v>308</v>
      </c>
    </row>
    <row r="288" spans="1:1">
      <c r="A288" t="s">
        <v>309</v>
      </c>
    </row>
    <row r="289" spans="1:1">
      <c r="A289" t="s">
        <v>310</v>
      </c>
    </row>
    <row r="290" spans="1:1">
      <c r="A290" t="s">
        <v>311</v>
      </c>
    </row>
    <row r="291" spans="1:1">
      <c r="A291" t="s">
        <v>312</v>
      </c>
    </row>
    <row r="292" spans="1:1">
      <c r="A292" t="s">
        <v>313</v>
      </c>
    </row>
    <row r="293" spans="1:1">
      <c r="A293" t="s">
        <v>314</v>
      </c>
    </row>
    <row r="294" spans="1:1">
      <c r="A294" t="s">
        <v>315</v>
      </c>
    </row>
    <row r="295" spans="1:1">
      <c r="A295" t="s">
        <v>316</v>
      </c>
    </row>
    <row r="296" spans="1:1">
      <c r="A296" t="s">
        <v>317</v>
      </c>
    </row>
    <row r="297" spans="1:1">
      <c r="A297" t="s">
        <v>318</v>
      </c>
    </row>
    <row r="298" spans="1:1">
      <c r="A298" t="s">
        <v>319</v>
      </c>
    </row>
    <row r="299" spans="1:1">
      <c r="A299" t="s">
        <v>320</v>
      </c>
    </row>
    <row r="300" spans="1:1">
      <c r="A300" t="s">
        <v>321</v>
      </c>
    </row>
    <row r="301" spans="1:1">
      <c r="A301" t="s">
        <v>322</v>
      </c>
    </row>
    <row r="302" spans="1:1">
      <c r="A302" t="s">
        <v>323</v>
      </c>
    </row>
    <row r="303" spans="1:1">
      <c r="A303" t="s">
        <v>324</v>
      </c>
    </row>
    <row r="304" spans="1:1">
      <c r="A304" t="s">
        <v>325</v>
      </c>
    </row>
    <row r="305" spans="1:1">
      <c r="A305" t="s">
        <v>326</v>
      </c>
    </row>
    <row r="306" spans="1:1">
      <c r="A306" t="s">
        <v>327</v>
      </c>
    </row>
    <row r="307" spans="1:1">
      <c r="A307" t="s">
        <v>328</v>
      </c>
    </row>
    <row r="308" spans="1:1">
      <c r="A308" t="s">
        <v>329</v>
      </c>
    </row>
    <row r="309" spans="1:1">
      <c r="A309" t="s">
        <v>330</v>
      </c>
    </row>
    <row r="310" spans="1:1">
      <c r="A310" t="s">
        <v>331</v>
      </c>
    </row>
    <row r="311" spans="1:1">
      <c r="A311" t="s">
        <v>332</v>
      </c>
    </row>
    <row r="312" spans="1:1">
      <c r="A312" t="s">
        <v>333</v>
      </c>
    </row>
    <row r="313" spans="1:1">
      <c r="A313" t="s">
        <v>334</v>
      </c>
    </row>
    <row r="314" spans="1:1">
      <c r="A314" t="s">
        <v>335</v>
      </c>
    </row>
    <row r="315" spans="1:1">
      <c r="A315" t="s">
        <v>336</v>
      </c>
    </row>
    <row r="316" spans="1:1">
      <c r="A316" t="s">
        <v>337</v>
      </c>
    </row>
    <row r="317" spans="1:1">
      <c r="A317" t="s">
        <v>338</v>
      </c>
    </row>
    <row r="318" spans="1:1">
      <c r="A318" t="s">
        <v>339</v>
      </c>
    </row>
    <row r="319" spans="1:1">
      <c r="A319" t="s">
        <v>340</v>
      </c>
    </row>
    <row r="320" spans="1:1">
      <c r="A320" t="s">
        <v>341</v>
      </c>
    </row>
    <row r="321" spans="1:1">
      <c r="A321" t="s">
        <v>342</v>
      </c>
    </row>
    <row r="322" spans="1:1">
      <c r="A322" t="s">
        <v>343</v>
      </c>
    </row>
    <row r="323" spans="1:1">
      <c r="A323" t="s">
        <v>344</v>
      </c>
    </row>
    <row r="324" spans="1:1">
      <c r="A324" t="s">
        <v>345</v>
      </c>
    </row>
    <row r="325" spans="1:1">
      <c r="A325" t="s">
        <v>346</v>
      </c>
    </row>
    <row r="326" spans="1:1">
      <c r="A326" t="s">
        <v>347</v>
      </c>
    </row>
    <row r="327" spans="1:1">
      <c r="A327" t="s">
        <v>348</v>
      </c>
    </row>
    <row r="328" spans="1:1">
      <c r="A328" t="s">
        <v>349</v>
      </c>
    </row>
    <row r="329" spans="1:1">
      <c r="A329" t="s">
        <v>350</v>
      </c>
    </row>
    <row r="330" spans="1:1">
      <c r="A330" t="s">
        <v>351</v>
      </c>
    </row>
    <row r="331" spans="1:1">
      <c r="A331" t="s">
        <v>352</v>
      </c>
    </row>
    <row r="332" spans="1:1">
      <c r="A332" t="s">
        <v>353</v>
      </c>
    </row>
    <row r="333" spans="1:1">
      <c r="A333" t="s">
        <v>354</v>
      </c>
    </row>
    <row r="334" spans="1:1">
      <c r="A334" t="s">
        <v>355</v>
      </c>
    </row>
    <row r="335" spans="1:1">
      <c r="A335" t="s">
        <v>356</v>
      </c>
    </row>
    <row r="336" spans="1:1">
      <c r="A336" t="s">
        <v>357</v>
      </c>
    </row>
    <row r="337" spans="1:1">
      <c r="A337" t="s">
        <v>358</v>
      </c>
    </row>
    <row r="338" spans="1:1">
      <c r="A338" t="s">
        <v>359</v>
      </c>
    </row>
    <row r="339" spans="1:1">
      <c r="A339" t="s">
        <v>360</v>
      </c>
    </row>
    <row r="340" spans="1:1">
      <c r="A340" t="s">
        <v>361</v>
      </c>
    </row>
    <row r="341" spans="1:1">
      <c r="A341" t="s">
        <v>362</v>
      </c>
    </row>
    <row r="342" spans="1:1">
      <c r="A342" t="s">
        <v>363</v>
      </c>
    </row>
    <row r="343" spans="1:1">
      <c r="A343" t="s">
        <v>364</v>
      </c>
    </row>
    <row r="344" spans="1:1">
      <c r="A344" t="s">
        <v>365</v>
      </c>
    </row>
    <row r="345" spans="1:1">
      <c r="A345" t="s">
        <v>366</v>
      </c>
    </row>
    <row r="346" spans="1:1">
      <c r="A346" t="s">
        <v>367</v>
      </c>
    </row>
    <row r="347" spans="1:1">
      <c r="A347" t="s">
        <v>368</v>
      </c>
    </row>
    <row r="348" spans="1:1">
      <c r="A348" t="s">
        <v>369</v>
      </c>
    </row>
    <row r="349" spans="1:1">
      <c r="A349" t="s">
        <v>370</v>
      </c>
    </row>
    <row r="350" spans="1:1">
      <c r="A350" t="s">
        <v>371</v>
      </c>
    </row>
    <row r="351" spans="1:1">
      <c r="A351" t="s">
        <v>372</v>
      </c>
    </row>
    <row r="352" spans="1:1">
      <c r="A352" t="s">
        <v>373</v>
      </c>
    </row>
    <row r="353" spans="1:1">
      <c r="A353" t="s">
        <v>374</v>
      </c>
    </row>
    <row r="354" spans="1:1">
      <c r="A354" t="s">
        <v>375</v>
      </c>
    </row>
    <row r="355" spans="1:1">
      <c r="A355" t="s">
        <v>376</v>
      </c>
    </row>
    <row r="356" spans="1:1">
      <c r="A356" t="s">
        <v>377</v>
      </c>
    </row>
    <row r="357" spans="1:1">
      <c r="A357" t="s">
        <v>378</v>
      </c>
    </row>
    <row r="358" spans="1:1">
      <c r="A358" t="s">
        <v>379</v>
      </c>
    </row>
    <row r="359" spans="1:1">
      <c r="A359" t="s">
        <v>380</v>
      </c>
    </row>
    <row r="360" spans="1:1">
      <c r="A360" t="s">
        <v>381</v>
      </c>
    </row>
    <row r="361" spans="1:1">
      <c r="A361" t="s">
        <v>382</v>
      </c>
    </row>
    <row r="362" spans="1:1">
      <c r="A362" t="s">
        <v>383</v>
      </c>
    </row>
    <row r="363" spans="1:1">
      <c r="A363" t="s">
        <v>384</v>
      </c>
    </row>
    <row r="364" spans="1:1">
      <c r="A364" t="s">
        <v>385</v>
      </c>
    </row>
    <row r="365" spans="1:1">
      <c r="A365" t="s">
        <v>386</v>
      </c>
    </row>
    <row r="366" spans="1:1">
      <c r="A366" t="s">
        <v>387</v>
      </c>
    </row>
    <row r="367" spans="1:1">
      <c r="A367" t="s">
        <v>388</v>
      </c>
    </row>
    <row r="368" spans="1:1">
      <c r="A368" t="s">
        <v>389</v>
      </c>
    </row>
    <row r="369" spans="1:1">
      <c r="A369" t="s">
        <v>390</v>
      </c>
    </row>
    <row r="370" spans="1:1">
      <c r="A370" t="s">
        <v>391</v>
      </c>
    </row>
    <row r="371" spans="1:1">
      <c r="A371" t="s">
        <v>392</v>
      </c>
    </row>
    <row r="372" spans="1:1">
      <c r="A372" t="s">
        <v>393</v>
      </c>
    </row>
    <row r="373" spans="1:1">
      <c r="A373" t="s">
        <v>394</v>
      </c>
    </row>
    <row r="374" spans="1:1">
      <c r="A374" t="s">
        <v>395</v>
      </c>
    </row>
    <row r="375" spans="1:1">
      <c r="A375" t="s">
        <v>396</v>
      </c>
    </row>
    <row r="376" spans="1:1">
      <c r="A376" t="s">
        <v>397</v>
      </c>
    </row>
    <row r="377" spans="1:1">
      <c r="A377" t="s">
        <v>398</v>
      </c>
    </row>
    <row r="378" spans="1:1">
      <c r="A378" t="s">
        <v>399</v>
      </c>
    </row>
    <row r="379" spans="1:1">
      <c r="A379" t="s">
        <v>400</v>
      </c>
    </row>
    <row r="380" spans="1:1">
      <c r="A380" t="s">
        <v>401</v>
      </c>
    </row>
    <row r="381" spans="1:1">
      <c r="A381" t="s">
        <v>402</v>
      </c>
    </row>
    <row r="382" spans="1:1">
      <c r="A382" t="s">
        <v>403</v>
      </c>
    </row>
    <row r="383" spans="1:1">
      <c r="A383" t="s">
        <v>404</v>
      </c>
    </row>
    <row r="384" spans="1:1">
      <c r="A384" t="s">
        <v>405</v>
      </c>
    </row>
    <row r="385" spans="1:1">
      <c r="A385" t="s">
        <v>406</v>
      </c>
    </row>
    <row r="386" spans="1:1">
      <c r="A386" t="s">
        <v>407</v>
      </c>
    </row>
    <row r="387" spans="1:1">
      <c r="A387" t="s">
        <v>408</v>
      </c>
    </row>
    <row r="388" spans="1:1">
      <c r="A388" t="s">
        <v>409</v>
      </c>
    </row>
    <row r="389" spans="1:1">
      <c r="A389" t="s">
        <v>410</v>
      </c>
    </row>
    <row r="390" spans="1:1">
      <c r="A390" t="s">
        <v>411</v>
      </c>
    </row>
    <row r="391" spans="1:1">
      <c r="A391" t="s">
        <v>412</v>
      </c>
    </row>
    <row r="392" spans="1:1">
      <c r="A392" t="s">
        <v>413</v>
      </c>
    </row>
    <row r="393" spans="1:1">
      <c r="A393" t="s">
        <v>414</v>
      </c>
    </row>
    <row r="394" spans="1:1">
      <c r="A394" t="s">
        <v>415</v>
      </c>
    </row>
    <row r="395" spans="1:1">
      <c r="A395" t="s">
        <v>416</v>
      </c>
    </row>
    <row r="396" spans="1:1">
      <c r="A396" t="s">
        <v>417</v>
      </c>
    </row>
    <row r="397" spans="1:1">
      <c r="A397" t="s">
        <v>418</v>
      </c>
    </row>
    <row r="398" spans="1:1">
      <c r="A398" t="s">
        <v>419</v>
      </c>
    </row>
    <row r="399" spans="1:1">
      <c r="A399" t="s">
        <v>420</v>
      </c>
    </row>
    <row r="400" spans="1:1">
      <c r="A400" t="s">
        <v>421</v>
      </c>
    </row>
    <row r="401" spans="1:1">
      <c r="A401" t="s">
        <v>422</v>
      </c>
    </row>
    <row r="402" spans="1:1">
      <c r="A402" t="s">
        <v>423</v>
      </c>
    </row>
    <row r="403" spans="1:1">
      <c r="A403" t="s">
        <v>424</v>
      </c>
    </row>
    <row r="404" spans="1:1">
      <c r="A404" t="s">
        <v>425</v>
      </c>
    </row>
    <row r="405" spans="1:1">
      <c r="A405" t="s">
        <v>426</v>
      </c>
    </row>
    <row r="406" spans="1:1">
      <c r="A406" t="s">
        <v>427</v>
      </c>
    </row>
    <row r="407" spans="1:1">
      <c r="A407" t="s">
        <v>428</v>
      </c>
    </row>
    <row r="408" spans="1:1">
      <c r="A408" t="s">
        <v>429</v>
      </c>
    </row>
    <row r="409" spans="1:1">
      <c r="A409" t="s">
        <v>430</v>
      </c>
    </row>
    <row r="410" spans="1:1">
      <c r="A410" t="s">
        <v>431</v>
      </c>
    </row>
    <row r="411" spans="1:1">
      <c r="A411" t="s">
        <v>432</v>
      </c>
    </row>
    <row r="412" spans="1:1">
      <c r="A412" t="s">
        <v>433</v>
      </c>
    </row>
    <row r="413" spans="1:1">
      <c r="A413" t="s">
        <v>434</v>
      </c>
    </row>
    <row r="414" spans="1:1">
      <c r="A414" t="s">
        <v>435</v>
      </c>
    </row>
    <row r="415" spans="1:1">
      <c r="A415" t="s">
        <v>436</v>
      </c>
    </row>
    <row r="416" spans="1:1">
      <c r="A416" t="s">
        <v>437</v>
      </c>
    </row>
    <row r="417" spans="1:1">
      <c r="A417" t="s">
        <v>438</v>
      </c>
    </row>
    <row r="418" spans="1:1">
      <c r="A418" t="s">
        <v>439</v>
      </c>
    </row>
    <row r="419" spans="1:1">
      <c r="A419" t="s">
        <v>440</v>
      </c>
    </row>
    <row r="420" spans="1:1">
      <c r="A420" t="s">
        <v>441</v>
      </c>
    </row>
    <row r="421" spans="1:1">
      <c r="A421" t="s">
        <v>442</v>
      </c>
    </row>
    <row r="422" spans="1:1">
      <c r="A422" t="s">
        <v>443</v>
      </c>
    </row>
    <row r="423" spans="1:1">
      <c r="A423" t="s">
        <v>444</v>
      </c>
    </row>
    <row r="424" spans="1:1">
      <c r="A424" t="s">
        <v>445</v>
      </c>
    </row>
    <row r="425" spans="1:1">
      <c r="A425" t="s">
        <v>446</v>
      </c>
    </row>
    <row r="426" spans="1:1">
      <c r="A426" t="s">
        <v>447</v>
      </c>
    </row>
    <row r="427" spans="1:1">
      <c r="A427" t="s">
        <v>448</v>
      </c>
    </row>
    <row r="428" spans="1:1">
      <c r="A428" t="s">
        <v>449</v>
      </c>
    </row>
    <row r="429" spans="1:1">
      <c r="A429" t="s">
        <v>450</v>
      </c>
    </row>
    <row r="430" spans="1:1">
      <c r="A430" t="s">
        <v>451</v>
      </c>
    </row>
    <row r="431" spans="1:1">
      <c r="A431" t="s">
        <v>452</v>
      </c>
    </row>
    <row r="432" spans="1:1">
      <c r="A432" t="s">
        <v>453</v>
      </c>
    </row>
    <row r="433" spans="1:1">
      <c r="A433" t="s">
        <v>454</v>
      </c>
    </row>
    <row r="434" spans="1:1">
      <c r="A434" t="s">
        <v>455</v>
      </c>
    </row>
    <row r="435" spans="1:1">
      <c r="A435" t="s">
        <v>456</v>
      </c>
    </row>
    <row r="436" spans="1:1">
      <c r="A436" t="s">
        <v>457</v>
      </c>
    </row>
    <row r="437" spans="1:1">
      <c r="A437" t="s">
        <v>458</v>
      </c>
    </row>
    <row r="438" spans="1:1">
      <c r="A438" t="s">
        <v>459</v>
      </c>
    </row>
    <row r="439" spans="1:1">
      <c r="A439" t="s">
        <v>460</v>
      </c>
    </row>
    <row r="440" spans="1:1">
      <c r="A440" t="s">
        <v>461</v>
      </c>
    </row>
    <row r="441" spans="1:1">
      <c r="A441" t="s">
        <v>462</v>
      </c>
    </row>
    <row r="442" spans="1:1">
      <c r="A442" t="s">
        <v>463</v>
      </c>
    </row>
    <row r="443" spans="1:1">
      <c r="A443" t="s">
        <v>464</v>
      </c>
    </row>
    <row r="444" spans="1:1">
      <c r="A444" t="s">
        <v>465</v>
      </c>
    </row>
    <row r="445" spans="1:1">
      <c r="A445" t="s">
        <v>466</v>
      </c>
    </row>
    <row r="446" spans="1:1">
      <c r="A446" t="s">
        <v>467</v>
      </c>
    </row>
    <row r="447" spans="1:1">
      <c r="A447" t="s">
        <v>468</v>
      </c>
    </row>
    <row r="448" spans="1:1">
      <c r="A448" t="s">
        <v>469</v>
      </c>
    </row>
    <row r="449" spans="1:1">
      <c r="A449" t="s">
        <v>470</v>
      </c>
    </row>
    <row r="450" spans="1:1">
      <c r="A450" t="s">
        <v>471</v>
      </c>
    </row>
    <row r="451" spans="1:1">
      <c r="A451" t="s">
        <v>472</v>
      </c>
    </row>
    <row r="452" spans="1:1">
      <c r="A452" t="s">
        <v>473</v>
      </c>
    </row>
    <row r="453" spans="1:1">
      <c r="A453" t="s">
        <v>474</v>
      </c>
    </row>
    <row r="454" spans="1:1">
      <c r="A454" t="s">
        <v>475</v>
      </c>
    </row>
    <row r="455" spans="1:1">
      <c r="A455" t="s">
        <v>476</v>
      </c>
    </row>
    <row r="456" spans="1:1">
      <c r="A456" t="s">
        <v>477</v>
      </c>
    </row>
    <row r="457" spans="1:1">
      <c r="A457" t="s">
        <v>478</v>
      </c>
    </row>
    <row r="458" spans="1:1">
      <c r="A458" t="s">
        <v>479</v>
      </c>
    </row>
    <row r="459" spans="1:1">
      <c r="A459" t="s">
        <v>480</v>
      </c>
    </row>
    <row r="460" spans="1:1">
      <c r="A460" t="s">
        <v>481</v>
      </c>
    </row>
    <row r="461" spans="1:1">
      <c r="A461" t="s">
        <v>482</v>
      </c>
    </row>
    <row r="462" spans="1:1">
      <c r="A462" t="s">
        <v>483</v>
      </c>
    </row>
    <row r="463" spans="1:1">
      <c r="A463" t="s">
        <v>484</v>
      </c>
    </row>
    <row r="464" spans="1:1">
      <c r="A464" t="s">
        <v>485</v>
      </c>
    </row>
    <row r="465" spans="1:1">
      <c r="A465" t="s">
        <v>486</v>
      </c>
    </row>
    <row r="466" spans="1:1">
      <c r="A466" t="s">
        <v>487</v>
      </c>
    </row>
    <row r="467" spans="1:1">
      <c r="A467" t="s">
        <v>488</v>
      </c>
    </row>
    <row r="468" spans="1:1">
      <c r="A468" t="s">
        <v>489</v>
      </c>
    </row>
    <row r="469" spans="1:1">
      <c r="A469" t="s">
        <v>490</v>
      </c>
    </row>
    <row r="470" spans="1:1">
      <c r="A470" t="s">
        <v>491</v>
      </c>
    </row>
    <row r="471" spans="1:1">
      <c r="A471" t="s">
        <v>492</v>
      </c>
    </row>
    <row r="472" spans="1:1">
      <c r="A472" t="s">
        <v>493</v>
      </c>
    </row>
    <row r="473" spans="1:1">
      <c r="A473" t="s">
        <v>494</v>
      </c>
    </row>
    <row r="474" spans="1:1">
      <c r="A474" t="s">
        <v>495</v>
      </c>
    </row>
    <row r="475" spans="1:1">
      <c r="A475" t="s">
        <v>496</v>
      </c>
    </row>
    <row r="476" spans="1:1">
      <c r="A476" t="s">
        <v>497</v>
      </c>
    </row>
    <row r="477" spans="1:1">
      <c r="A477" t="s">
        <v>498</v>
      </c>
    </row>
    <row r="478" spans="1:1">
      <c r="A478" t="s">
        <v>499</v>
      </c>
    </row>
    <row r="479" spans="1:1">
      <c r="A479" t="s">
        <v>500</v>
      </c>
    </row>
    <row r="480" spans="1:1">
      <c r="A480" t="s">
        <v>501</v>
      </c>
    </row>
    <row r="481" spans="1:1">
      <c r="A481" t="s">
        <v>502</v>
      </c>
    </row>
    <row r="482" spans="1:1">
      <c r="A482" t="s">
        <v>503</v>
      </c>
    </row>
    <row r="483" spans="1:1">
      <c r="A483" t="s">
        <v>504</v>
      </c>
    </row>
    <row r="484" spans="1:1">
      <c r="A484" t="s">
        <v>505</v>
      </c>
    </row>
    <row r="485" spans="1:1">
      <c r="A485" t="s">
        <v>506</v>
      </c>
    </row>
    <row r="486" spans="1:1">
      <c r="A486" t="s">
        <v>507</v>
      </c>
    </row>
    <row r="487" spans="1:1">
      <c r="A487" t="s">
        <v>508</v>
      </c>
    </row>
    <row r="488" spans="1:1">
      <c r="A488" t="s">
        <v>509</v>
      </c>
    </row>
    <row r="489" spans="1:1">
      <c r="A489" t="s">
        <v>510</v>
      </c>
    </row>
    <row r="490" spans="1:1">
      <c r="A490" t="s">
        <v>511</v>
      </c>
    </row>
    <row r="491" spans="1:1">
      <c r="A491" t="s">
        <v>512</v>
      </c>
    </row>
    <row r="492" spans="1:1">
      <c r="A492" t="s">
        <v>513</v>
      </c>
    </row>
    <row r="493" spans="1:1">
      <c r="A493" t="s">
        <v>514</v>
      </c>
    </row>
    <row r="494" spans="1:1">
      <c r="A494" t="s">
        <v>515</v>
      </c>
    </row>
    <row r="495" spans="1:1">
      <c r="A495" t="s">
        <v>516</v>
      </c>
    </row>
    <row r="496" spans="1:1">
      <c r="A496" t="s">
        <v>517</v>
      </c>
    </row>
    <row r="497" spans="1:1">
      <c r="A497" t="s">
        <v>518</v>
      </c>
    </row>
    <row r="498" spans="1:1">
      <c r="A498" t="s">
        <v>519</v>
      </c>
    </row>
    <row r="499" spans="1:1">
      <c r="A499" t="s">
        <v>520</v>
      </c>
    </row>
    <row r="500" spans="1:1">
      <c r="A500" t="s">
        <v>521</v>
      </c>
    </row>
    <row r="501" spans="1:1">
      <c r="A501" t="s">
        <v>522</v>
      </c>
    </row>
    <row r="502" spans="1:1">
      <c r="A502" t="s">
        <v>523</v>
      </c>
    </row>
    <row r="503" spans="1:1">
      <c r="A503" t="s">
        <v>524</v>
      </c>
    </row>
    <row r="504" spans="1:1">
      <c r="A504" t="s">
        <v>525</v>
      </c>
    </row>
    <row r="505" spans="1:1">
      <c r="A505" t="s">
        <v>526</v>
      </c>
    </row>
    <row r="506" spans="1:1">
      <c r="A506" t="s">
        <v>527</v>
      </c>
    </row>
    <row r="507" spans="1:1">
      <c r="A507" t="s">
        <v>528</v>
      </c>
    </row>
    <row r="508" spans="1:1">
      <c r="A508" t="s">
        <v>529</v>
      </c>
    </row>
    <row r="509" spans="1:1">
      <c r="A509" t="s">
        <v>530</v>
      </c>
    </row>
    <row r="510" spans="1:1">
      <c r="A510" t="s">
        <v>531</v>
      </c>
    </row>
    <row r="511" spans="1:1">
      <c r="A511" t="s">
        <v>532</v>
      </c>
    </row>
    <row r="512" spans="1:1">
      <c r="A512" t="s">
        <v>533</v>
      </c>
    </row>
    <row r="513" spans="1:1">
      <c r="A513" t="s">
        <v>534</v>
      </c>
    </row>
    <row r="514" spans="1:1">
      <c r="A514" t="s">
        <v>535</v>
      </c>
    </row>
    <row r="515" spans="1:1">
      <c r="A515" t="s">
        <v>536</v>
      </c>
    </row>
    <row r="516" spans="1:1">
      <c r="A516" t="s">
        <v>537</v>
      </c>
    </row>
    <row r="517" spans="1:1">
      <c r="A517" t="s">
        <v>538</v>
      </c>
    </row>
    <row r="518" spans="1:1">
      <c r="A518" t="s">
        <v>539</v>
      </c>
    </row>
    <row r="519" spans="1:1">
      <c r="A519" t="s">
        <v>540</v>
      </c>
    </row>
    <row r="520" spans="1:1">
      <c r="A520" t="s">
        <v>541</v>
      </c>
    </row>
    <row r="521" spans="1:1">
      <c r="A521" t="s">
        <v>542</v>
      </c>
    </row>
    <row r="522" spans="1:1">
      <c r="A522" t="s">
        <v>543</v>
      </c>
    </row>
    <row r="523" spans="1:1">
      <c r="A523" t="s">
        <v>544</v>
      </c>
    </row>
    <row r="524" spans="1:1">
      <c r="A524" t="s">
        <v>545</v>
      </c>
    </row>
    <row r="525" spans="1:1">
      <c r="A525" t="s">
        <v>546</v>
      </c>
    </row>
    <row r="526" spans="1:1">
      <c r="A526" t="s">
        <v>547</v>
      </c>
    </row>
    <row r="527" spans="1:1">
      <c r="A527" t="s">
        <v>548</v>
      </c>
    </row>
    <row r="528" spans="1:1">
      <c r="A528" t="s">
        <v>549</v>
      </c>
    </row>
    <row r="529" spans="1:1">
      <c r="A529" t="s">
        <v>550</v>
      </c>
    </row>
    <row r="530" spans="1:1">
      <c r="A530" t="s">
        <v>551</v>
      </c>
    </row>
    <row r="531" spans="1:1">
      <c r="A531" t="s">
        <v>552</v>
      </c>
    </row>
    <row r="532" spans="1:1">
      <c r="A532" t="s">
        <v>553</v>
      </c>
    </row>
    <row r="533" spans="1:1">
      <c r="A533" t="s">
        <v>554</v>
      </c>
    </row>
    <row r="534" spans="1:1">
      <c r="A534" t="s">
        <v>555</v>
      </c>
    </row>
    <row r="535" spans="1:1">
      <c r="A535" t="s">
        <v>556</v>
      </c>
    </row>
    <row r="536" spans="1:1">
      <c r="A536" t="s">
        <v>557</v>
      </c>
    </row>
    <row r="537" spans="1:1">
      <c r="A537" t="s">
        <v>558</v>
      </c>
    </row>
    <row r="538" spans="1:1">
      <c r="A538" t="s">
        <v>559</v>
      </c>
    </row>
    <row r="539" spans="1:1">
      <c r="A539" t="s">
        <v>560</v>
      </c>
    </row>
    <row r="540" spans="1:1">
      <c r="A540" t="s">
        <v>561</v>
      </c>
    </row>
    <row r="541" spans="1:1">
      <c r="A541" t="s">
        <v>562</v>
      </c>
    </row>
    <row r="542" spans="1:1">
      <c r="A542" t="s">
        <v>563</v>
      </c>
    </row>
    <row r="543" spans="1:1">
      <c r="A543" t="s">
        <v>564</v>
      </c>
    </row>
    <row r="544" spans="1:1">
      <c r="A544" t="s">
        <v>565</v>
      </c>
    </row>
    <row r="545" spans="1:1">
      <c r="A545" t="s">
        <v>566</v>
      </c>
    </row>
    <row r="546" spans="1:1">
      <c r="A546" t="s">
        <v>567</v>
      </c>
    </row>
    <row r="547" spans="1:1">
      <c r="A547" t="s">
        <v>568</v>
      </c>
    </row>
    <row r="548" spans="1:1">
      <c r="A548" t="s">
        <v>569</v>
      </c>
    </row>
    <row r="549" spans="1:1">
      <c r="A549" t="s">
        <v>570</v>
      </c>
    </row>
    <row r="550" spans="1:1">
      <c r="A550" t="s">
        <v>571</v>
      </c>
    </row>
    <row r="551" spans="1:1">
      <c r="A551" t="s">
        <v>572</v>
      </c>
    </row>
    <row r="552" spans="1:1">
      <c r="A552" t="s">
        <v>573</v>
      </c>
    </row>
    <row r="553" spans="1:1">
      <c r="A553" t="s">
        <v>574</v>
      </c>
    </row>
    <row r="554" spans="1:1">
      <c r="A554" t="s">
        <v>575</v>
      </c>
    </row>
    <row r="555" spans="1:1">
      <c r="A555" t="s">
        <v>576</v>
      </c>
    </row>
    <row r="556" spans="1:1">
      <c r="A556" t="s">
        <v>577</v>
      </c>
    </row>
    <row r="557" spans="1:1">
      <c r="A557" t="s">
        <v>578</v>
      </c>
    </row>
    <row r="558" spans="1:1">
      <c r="A558" t="s">
        <v>579</v>
      </c>
    </row>
    <row r="559" spans="1:1">
      <c r="A559" t="s">
        <v>580</v>
      </c>
    </row>
    <row r="560" spans="1:1">
      <c r="A560" t="s">
        <v>581</v>
      </c>
    </row>
    <row r="561" spans="1:1">
      <c r="A561" t="s">
        <v>582</v>
      </c>
    </row>
    <row r="562" spans="1:1">
      <c r="A562" t="s">
        <v>583</v>
      </c>
    </row>
    <row r="563" spans="1:1">
      <c r="A563" t="s">
        <v>584</v>
      </c>
    </row>
    <row r="564" spans="1:1">
      <c r="A564" t="s">
        <v>585</v>
      </c>
    </row>
    <row r="565" spans="1:1">
      <c r="A565" t="s">
        <v>586</v>
      </c>
    </row>
    <row r="566" spans="1:1">
      <c r="A566" t="s">
        <v>587</v>
      </c>
    </row>
    <row r="567" spans="1:1">
      <c r="A567" t="s">
        <v>588</v>
      </c>
    </row>
    <row r="568" spans="1:1">
      <c r="A568" t="s">
        <v>589</v>
      </c>
    </row>
    <row r="569" spans="1:1">
      <c r="A569" t="s">
        <v>590</v>
      </c>
    </row>
    <row r="570" spans="1:1">
      <c r="A570" t="s">
        <v>591</v>
      </c>
    </row>
    <row r="571" spans="1:1">
      <c r="A571" t="s">
        <v>592</v>
      </c>
    </row>
    <row r="572" spans="1:1">
      <c r="A572" t="s">
        <v>593</v>
      </c>
    </row>
    <row r="573" spans="1:1">
      <c r="A573" t="s">
        <v>594</v>
      </c>
    </row>
    <row r="574" spans="1:1">
      <c r="A574" t="s">
        <v>595</v>
      </c>
    </row>
    <row r="575" spans="1:1">
      <c r="A575" t="s">
        <v>596</v>
      </c>
    </row>
    <row r="576" spans="1:1">
      <c r="A576" t="s">
        <v>597</v>
      </c>
    </row>
    <row r="577" spans="1:1">
      <c r="A577" t="s">
        <v>598</v>
      </c>
    </row>
    <row r="578" spans="1:1">
      <c r="A578" t="s">
        <v>599</v>
      </c>
    </row>
    <row r="579" spans="1:1">
      <c r="A579" t="s">
        <v>600</v>
      </c>
    </row>
    <row r="580" spans="1:1">
      <c r="A580" t="s">
        <v>601</v>
      </c>
    </row>
    <row r="581" spans="1:1">
      <c r="A581" t="s">
        <v>602</v>
      </c>
    </row>
    <row r="582" spans="1:1">
      <c r="A582" t="s">
        <v>603</v>
      </c>
    </row>
    <row r="583" spans="1:1">
      <c r="A583" t="s">
        <v>604</v>
      </c>
    </row>
    <row r="584" spans="1:1">
      <c r="A584" t="s">
        <v>605</v>
      </c>
    </row>
    <row r="585" spans="1:1">
      <c r="A585" t="s">
        <v>606</v>
      </c>
    </row>
    <row r="586" spans="1:1">
      <c r="A586" t="s">
        <v>607</v>
      </c>
    </row>
    <row r="587" spans="1:1">
      <c r="A587" t="s">
        <v>608</v>
      </c>
    </row>
    <row r="588" spans="1:1">
      <c r="A588" t="s">
        <v>609</v>
      </c>
    </row>
    <row r="589" spans="1:1">
      <c r="A589" t="s">
        <v>610</v>
      </c>
    </row>
    <row r="590" spans="1:1">
      <c r="A590" t="s">
        <v>611</v>
      </c>
    </row>
    <row r="591" spans="1:1">
      <c r="A591" t="s">
        <v>612</v>
      </c>
    </row>
    <row r="592" spans="1:1">
      <c r="A592" t="s">
        <v>613</v>
      </c>
    </row>
    <row r="593" spans="1:1">
      <c r="A593" t="s">
        <v>614</v>
      </c>
    </row>
    <row r="594" spans="1:1">
      <c r="A594" t="s">
        <v>615</v>
      </c>
    </row>
    <row r="595" spans="1:1">
      <c r="A595" t="s">
        <v>616</v>
      </c>
    </row>
    <row r="596" spans="1:1">
      <c r="A596" t="s">
        <v>617</v>
      </c>
    </row>
    <row r="597" spans="1:1">
      <c r="A597" t="s">
        <v>618</v>
      </c>
    </row>
    <row r="598" spans="1:1">
      <c r="A598" t="s">
        <v>619</v>
      </c>
    </row>
    <row r="599" spans="1:1">
      <c r="A599" t="s">
        <v>620</v>
      </c>
    </row>
    <row r="600" spans="1:1">
      <c r="A600" t="s">
        <v>621</v>
      </c>
    </row>
    <row r="601" spans="1:1">
      <c r="A601" t="s">
        <v>622</v>
      </c>
    </row>
    <row r="602" spans="1:1">
      <c r="A602" t="s">
        <v>623</v>
      </c>
    </row>
    <row r="603" spans="1:1">
      <c r="A603" t="s">
        <v>624</v>
      </c>
    </row>
    <row r="604" spans="1:1">
      <c r="A604" t="s">
        <v>625</v>
      </c>
    </row>
    <row r="605" spans="1:1">
      <c r="A605" t="s">
        <v>626</v>
      </c>
    </row>
    <row r="606" spans="1:1">
      <c r="A606" t="s">
        <v>627</v>
      </c>
    </row>
    <row r="607" spans="1:1">
      <c r="A607" t="s">
        <v>628</v>
      </c>
    </row>
    <row r="608" spans="1:1">
      <c r="A608" t="s">
        <v>629</v>
      </c>
    </row>
    <row r="609" spans="1:1">
      <c r="A609" t="s">
        <v>630</v>
      </c>
    </row>
    <row r="610" spans="1:1">
      <c r="A610" t="s">
        <v>631</v>
      </c>
    </row>
    <row r="611" spans="1:1">
      <c r="A611" t="s">
        <v>632</v>
      </c>
    </row>
    <row r="612" spans="1:1">
      <c r="A612" t="s">
        <v>633</v>
      </c>
    </row>
    <row r="613" spans="1:1">
      <c r="A613" t="s">
        <v>634</v>
      </c>
    </row>
    <row r="614" spans="1:1">
      <c r="A614" t="s">
        <v>635</v>
      </c>
    </row>
    <row r="615" spans="1:1">
      <c r="A615" t="s">
        <v>636</v>
      </c>
    </row>
    <row r="616" spans="1:1">
      <c r="A616" t="s">
        <v>637</v>
      </c>
    </row>
    <row r="617" spans="1:1">
      <c r="A617" t="s">
        <v>638</v>
      </c>
    </row>
    <row r="618" spans="1:1">
      <c r="A618" t="s">
        <v>639</v>
      </c>
    </row>
    <row r="619" spans="1:1">
      <c r="A619" t="s">
        <v>640</v>
      </c>
    </row>
    <row r="620" spans="1:1">
      <c r="A620" t="s">
        <v>641</v>
      </c>
    </row>
    <row r="621" spans="1:1">
      <c r="A621" t="s">
        <v>642</v>
      </c>
    </row>
    <row r="622" spans="1:1">
      <c r="A622" t="s">
        <v>643</v>
      </c>
    </row>
    <row r="623" spans="1:1">
      <c r="A623" t="s">
        <v>644</v>
      </c>
    </row>
    <row r="624" spans="1:1">
      <c r="A624" t="s">
        <v>645</v>
      </c>
    </row>
    <row r="625" spans="1:1">
      <c r="A625" t="s">
        <v>646</v>
      </c>
    </row>
    <row r="626" spans="1:1">
      <c r="A626" t="s">
        <v>647</v>
      </c>
    </row>
    <row r="627" spans="1:1">
      <c r="A627" t="s">
        <v>648</v>
      </c>
    </row>
    <row r="628" spans="1:1">
      <c r="A628" t="s">
        <v>649</v>
      </c>
    </row>
    <row r="629" spans="1:1">
      <c r="A629" t="s">
        <v>650</v>
      </c>
    </row>
    <row r="630" spans="1:1">
      <c r="A630" t="s">
        <v>651</v>
      </c>
    </row>
    <row r="631" spans="1:1">
      <c r="A631" t="s">
        <v>652</v>
      </c>
    </row>
    <row r="632" spans="1:1">
      <c r="A632" t="s">
        <v>653</v>
      </c>
    </row>
    <row r="633" spans="1:1">
      <c r="A633" t="s">
        <v>654</v>
      </c>
    </row>
    <row r="634" spans="1:1">
      <c r="A634" t="s">
        <v>655</v>
      </c>
    </row>
    <row r="635" spans="1:1">
      <c r="A635" t="s">
        <v>656</v>
      </c>
    </row>
    <row r="636" spans="1:1">
      <c r="A636" t="s">
        <v>657</v>
      </c>
    </row>
    <row r="637" spans="1:1">
      <c r="A637" t="s">
        <v>658</v>
      </c>
    </row>
    <row r="638" spans="1:1">
      <c r="A638" t="s">
        <v>659</v>
      </c>
    </row>
    <row r="639" spans="1:1">
      <c r="A639" t="s">
        <v>660</v>
      </c>
    </row>
    <row r="640" spans="1:1">
      <c r="A640" t="s">
        <v>661</v>
      </c>
    </row>
    <row r="641" spans="1:1">
      <c r="A641" t="s">
        <v>662</v>
      </c>
    </row>
    <row r="642" spans="1:1">
      <c r="A642" t="s">
        <v>663</v>
      </c>
    </row>
    <row r="643" spans="1:1">
      <c r="A643" t="s">
        <v>664</v>
      </c>
    </row>
    <row r="644" spans="1:1">
      <c r="A644" t="s">
        <v>665</v>
      </c>
    </row>
    <row r="645" spans="1:1">
      <c r="A645" t="s">
        <v>666</v>
      </c>
    </row>
    <row r="646" spans="1:1">
      <c r="A646" t="s">
        <v>667</v>
      </c>
    </row>
    <row r="647" spans="1:1">
      <c r="A647" t="s">
        <v>668</v>
      </c>
    </row>
    <row r="648" spans="1:1">
      <c r="A648" t="s">
        <v>669</v>
      </c>
    </row>
    <row r="649" spans="1:1">
      <c r="A649" t="s">
        <v>670</v>
      </c>
    </row>
    <row r="650" spans="1:1">
      <c r="A650" t="s">
        <v>671</v>
      </c>
    </row>
    <row r="651" spans="1:1">
      <c r="A651" t="s">
        <v>672</v>
      </c>
    </row>
    <row r="652" spans="1:1">
      <c r="A652" t="s">
        <v>673</v>
      </c>
    </row>
    <row r="653" spans="1:1">
      <c r="A653" t="s">
        <v>674</v>
      </c>
    </row>
    <row r="654" spans="1:1">
      <c r="A654" t="s">
        <v>675</v>
      </c>
    </row>
    <row r="655" spans="1:1">
      <c r="A655" t="s">
        <v>676</v>
      </c>
    </row>
    <row r="656" spans="1:1">
      <c r="A656" t="s">
        <v>677</v>
      </c>
    </row>
    <row r="657" spans="1:1">
      <c r="A657" t="s">
        <v>678</v>
      </c>
    </row>
    <row r="658" spans="1:1">
      <c r="A658" t="s">
        <v>679</v>
      </c>
    </row>
    <row r="659" spans="1:1">
      <c r="A659" t="s">
        <v>680</v>
      </c>
    </row>
    <row r="660" spans="1:1">
      <c r="A660" t="s">
        <v>681</v>
      </c>
    </row>
    <row r="661" spans="1:1">
      <c r="A661" t="s">
        <v>682</v>
      </c>
    </row>
    <row r="662" spans="1:1">
      <c r="A662" t="s">
        <v>683</v>
      </c>
    </row>
    <row r="663" spans="1:1">
      <c r="A663" t="s">
        <v>684</v>
      </c>
    </row>
    <row r="664" spans="1:1">
      <c r="A664" t="s">
        <v>685</v>
      </c>
    </row>
    <row r="665" spans="1:1">
      <c r="A665" t="s">
        <v>686</v>
      </c>
    </row>
    <row r="666" spans="1:1">
      <c r="A666" t="s">
        <v>687</v>
      </c>
    </row>
    <row r="667" spans="1:1">
      <c r="A667" t="s">
        <v>688</v>
      </c>
    </row>
    <row r="668" spans="1:1">
      <c r="A668" t="s">
        <v>689</v>
      </c>
    </row>
    <row r="669" spans="1:1">
      <c r="A669" t="s">
        <v>690</v>
      </c>
    </row>
    <row r="670" spans="1:1">
      <c r="A670" t="s">
        <v>691</v>
      </c>
    </row>
    <row r="671" spans="1:1">
      <c r="A671" t="s">
        <v>692</v>
      </c>
    </row>
    <row r="672" spans="1:1">
      <c r="A672" t="s">
        <v>693</v>
      </c>
    </row>
    <row r="673" spans="1:1">
      <c r="A673" t="s">
        <v>694</v>
      </c>
    </row>
    <row r="674" spans="1:1">
      <c r="A674" t="s">
        <v>695</v>
      </c>
    </row>
    <row r="675" spans="1:1">
      <c r="A675" t="s">
        <v>696</v>
      </c>
    </row>
    <row r="676" spans="1:1">
      <c r="A676" t="s">
        <v>697</v>
      </c>
    </row>
    <row r="677" spans="1:1">
      <c r="A677" t="s">
        <v>698</v>
      </c>
    </row>
    <row r="678" spans="1:1">
      <c r="A678" t="s">
        <v>699</v>
      </c>
    </row>
    <row r="679" spans="1:1">
      <c r="A679" t="s">
        <v>700</v>
      </c>
    </row>
    <row r="680" spans="1:1">
      <c r="A680" t="s">
        <v>701</v>
      </c>
    </row>
    <row r="681" spans="1:1">
      <c r="A681" t="s">
        <v>702</v>
      </c>
    </row>
    <row r="682" spans="1:1">
      <c r="A682" t="s">
        <v>703</v>
      </c>
    </row>
    <row r="683" spans="1:1">
      <c r="A683" t="s">
        <v>704</v>
      </c>
    </row>
    <row r="684" spans="1:1">
      <c r="A684" t="s">
        <v>705</v>
      </c>
    </row>
    <row r="685" spans="1:1">
      <c r="A685" t="s">
        <v>706</v>
      </c>
    </row>
    <row r="686" spans="1:1">
      <c r="A686" t="s">
        <v>707</v>
      </c>
    </row>
    <row r="687" spans="1:1">
      <c r="A687" t="s">
        <v>708</v>
      </c>
    </row>
    <row r="688" spans="1:1">
      <c r="A688" t="s">
        <v>709</v>
      </c>
    </row>
    <row r="689" spans="1:1">
      <c r="A689" t="s">
        <v>710</v>
      </c>
    </row>
    <row r="690" spans="1:1">
      <c r="A690" t="s">
        <v>711</v>
      </c>
    </row>
    <row r="691" spans="1:1">
      <c r="A691" t="s">
        <v>712</v>
      </c>
    </row>
    <row r="692" spans="1:1">
      <c r="A692" t="s">
        <v>713</v>
      </c>
    </row>
    <row r="693" spans="1:1">
      <c r="A693" t="s">
        <v>714</v>
      </c>
    </row>
    <row r="694" spans="1:1">
      <c r="A694" t="s">
        <v>715</v>
      </c>
    </row>
    <row r="695" spans="1:1">
      <c r="A695" t="s">
        <v>716</v>
      </c>
    </row>
    <row r="696" spans="1:1">
      <c r="A696" t="s">
        <v>717</v>
      </c>
    </row>
    <row r="697" spans="1:1">
      <c r="A697" t="s">
        <v>718</v>
      </c>
    </row>
    <row r="698" spans="1:1">
      <c r="A698" t="s">
        <v>719</v>
      </c>
    </row>
    <row r="699" spans="1:1">
      <c r="A699" t="s">
        <v>720</v>
      </c>
    </row>
    <row r="700" spans="1:1">
      <c r="A700" t="s">
        <v>721</v>
      </c>
    </row>
    <row r="701" spans="1:1">
      <c r="A701" t="s">
        <v>722</v>
      </c>
    </row>
    <row r="702" spans="1:1">
      <c r="A702" t="s">
        <v>723</v>
      </c>
    </row>
    <row r="703" spans="1:1">
      <c r="A703" t="s">
        <v>724</v>
      </c>
    </row>
    <row r="704" spans="1:1">
      <c r="A704" t="s">
        <v>725</v>
      </c>
    </row>
    <row r="705" spans="1:1">
      <c r="A705" t="s">
        <v>726</v>
      </c>
    </row>
    <row r="706" spans="1:1">
      <c r="A706" t="s">
        <v>727</v>
      </c>
    </row>
    <row r="707" spans="1:1">
      <c r="A707" t="s">
        <v>728</v>
      </c>
    </row>
    <row r="708" spans="1:1">
      <c r="A708" t="s">
        <v>729</v>
      </c>
    </row>
    <row r="709" spans="1:1">
      <c r="A709" t="s">
        <v>730</v>
      </c>
    </row>
    <row r="710" spans="1:1">
      <c r="A710" t="s">
        <v>731</v>
      </c>
    </row>
    <row r="711" spans="1:1">
      <c r="A711" t="s">
        <v>732</v>
      </c>
    </row>
    <row r="712" spans="1:1">
      <c r="A712" t="s">
        <v>733</v>
      </c>
    </row>
    <row r="713" spans="1:1">
      <c r="A713" t="s">
        <v>734</v>
      </c>
    </row>
    <row r="714" spans="1:1">
      <c r="A714" t="s">
        <v>735</v>
      </c>
    </row>
    <row r="715" spans="1:1">
      <c r="A715" t="s">
        <v>736</v>
      </c>
    </row>
    <row r="716" spans="1:1">
      <c r="A716" t="s">
        <v>737</v>
      </c>
    </row>
    <row r="717" spans="1:1">
      <c r="A717" t="s">
        <v>738</v>
      </c>
    </row>
    <row r="718" spans="1:1">
      <c r="A718" t="s">
        <v>739</v>
      </c>
    </row>
    <row r="719" spans="1:1">
      <c r="A719" t="s">
        <v>740</v>
      </c>
    </row>
    <row r="720" spans="1:1">
      <c r="A720" t="s">
        <v>741</v>
      </c>
    </row>
    <row r="721" spans="1:1">
      <c r="A721" t="s">
        <v>742</v>
      </c>
    </row>
    <row r="722" spans="1:1">
      <c r="A722" t="s">
        <v>743</v>
      </c>
    </row>
    <row r="723" spans="1:1">
      <c r="A723" t="s">
        <v>744</v>
      </c>
    </row>
    <row r="724" spans="1:1">
      <c r="A724" t="s">
        <v>745</v>
      </c>
    </row>
    <row r="725" spans="1:1">
      <c r="A725" t="s">
        <v>746</v>
      </c>
    </row>
    <row r="726" spans="1:1">
      <c r="A726" t="s">
        <v>747</v>
      </c>
    </row>
    <row r="727" spans="1:1">
      <c r="A727" t="s">
        <v>748</v>
      </c>
    </row>
    <row r="728" spans="1:1">
      <c r="A728" t="s">
        <v>749</v>
      </c>
    </row>
    <row r="729" spans="1:1">
      <c r="A729" t="s">
        <v>750</v>
      </c>
    </row>
    <row r="730" spans="1:1">
      <c r="A730" t="s">
        <v>751</v>
      </c>
    </row>
    <row r="731" spans="1:1">
      <c r="A731" t="s">
        <v>752</v>
      </c>
    </row>
    <row r="732" spans="1:1">
      <c r="A732" t="s">
        <v>753</v>
      </c>
    </row>
    <row r="733" spans="1:1">
      <c r="A733" t="s">
        <v>754</v>
      </c>
    </row>
    <row r="734" spans="1:1">
      <c r="A734" t="s">
        <v>755</v>
      </c>
    </row>
    <row r="735" spans="1:1">
      <c r="A735" t="s">
        <v>756</v>
      </c>
    </row>
    <row r="736" spans="1:1">
      <c r="A736" t="s">
        <v>757</v>
      </c>
    </row>
    <row r="737" spans="1:1">
      <c r="A737" t="s">
        <v>758</v>
      </c>
    </row>
    <row r="738" spans="1:1">
      <c r="A738" t="s">
        <v>759</v>
      </c>
    </row>
    <row r="739" spans="1:1">
      <c r="A739" t="s">
        <v>760</v>
      </c>
    </row>
    <row r="740" spans="1:1">
      <c r="A740" t="s">
        <v>761</v>
      </c>
    </row>
    <row r="741" spans="1:1">
      <c r="A741" t="s">
        <v>762</v>
      </c>
    </row>
    <row r="742" spans="1:1">
      <c r="A742" t="s">
        <v>763</v>
      </c>
    </row>
    <row r="743" spans="1:1">
      <c r="A743" t="s">
        <v>764</v>
      </c>
    </row>
    <row r="744" spans="1:1">
      <c r="A744" t="s">
        <v>765</v>
      </c>
    </row>
    <row r="745" spans="1:1">
      <c r="A745" t="s">
        <v>766</v>
      </c>
    </row>
    <row r="746" spans="1:1">
      <c r="A746" t="s">
        <v>767</v>
      </c>
    </row>
    <row r="747" spans="1:1">
      <c r="A747" t="s">
        <v>768</v>
      </c>
    </row>
    <row r="748" spans="1:1">
      <c r="A748" t="s">
        <v>769</v>
      </c>
    </row>
    <row r="749" spans="1:1">
      <c r="A749" t="s">
        <v>770</v>
      </c>
    </row>
    <row r="750" spans="1:1">
      <c r="A750" t="s">
        <v>771</v>
      </c>
    </row>
    <row r="751" spans="1:1">
      <c r="A751" t="s">
        <v>772</v>
      </c>
    </row>
    <row r="752" spans="1:1">
      <c r="A752" t="s">
        <v>773</v>
      </c>
    </row>
    <row r="753" spans="1:1">
      <c r="A753" t="s">
        <v>774</v>
      </c>
    </row>
    <row r="754" spans="1:1">
      <c r="A754" t="s">
        <v>775</v>
      </c>
    </row>
    <row r="755" spans="1:1">
      <c r="A755" t="s">
        <v>776</v>
      </c>
    </row>
    <row r="756" spans="1:1">
      <c r="A756" t="s">
        <v>777</v>
      </c>
    </row>
    <row r="757" spans="1:1">
      <c r="A757" t="s">
        <v>778</v>
      </c>
    </row>
    <row r="758" spans="1:1">
      <c r="A758" t="s">
        <v>779</v>
      </c>
    </row>
    <row r="759" spans="1:1">
      <c r="A759" t="s">
        <v>780</v>
      </c>
    </row>
    <row r="760" spans="1:1">
      <c r="A760" t="s">
        <v>781</v>
      </c>
    </row>
    <row r="761" spans="1:1">
      <c r="A761" t="s">
        <v>782</v>
      </c>
    </row>
    <row r="762" spans="1:1">
      <c r="A762" t="s">
        <v>783</v>
      </c>
    </row>
    <row r="763" spans="1:1">
      <c r="A763" t="s">
        <v>784</v>
      </c>
    </row>
    <row r="764" spans="1:1">
      <c r="A764" t="s">
        <v>785</v>
      </c>
    </row>
    <row r="765" spans="1:1">
      <c r="A765" t="s">
        <v>786</v>
      </c>
    </row>
    <row r="766" spans="1:1">
      <c r="A766" t="s">
        <v>787</v>
      </c>
    </row>
    <row r="767" spans="1:1">
      <c r="A767" t="s">
        <v>788</v>
      </c>
    </row>
    <row r="768" spans="1:1">
      <c r="A768" t="s">
        <v>789</v>
      </c>
    </row>
    <row r="769" spans="1:1">
      <c r="A769" t="s">
        <v>790</v>
      </c>
    </row>
    <row r="770" spans="1:1">
      <c r="A770" t="s">
        <v>791</v>
      </c>
    </row>
    <row r="771" spans="1:1">
      <c r="A771" t="s">
        <v>792</v>
      </c>
    </row>
    <row r="772" spans="1:1">
      <c r="A772" t="s">
        <v>793</v>
      </c>
    </row>
    <row r="773" spans="1:1">
      <c r="A773" t="s">
        <v>794</v>
      </c>
    </row>
    <row r="774" spans="1:1">
      <c r="A774" t="s">
        <v>795</v>
      </c>
    </row>
    <row r="775" spans="1:1">
      <c r="A775" t="s">
        <v>796</v>
      </c>
    </row>
    <row r="776" spans="1:1">
      <c r="A776" t="s">
        <v>797</v>
      </c>
    </row>
    <row r="777" spans="1:1">
      <c r="A777" t="s">
        <v>798</v>
      </c>
    </row>
    <row r="778" spans="1:1">
      <c r="A778" t="s">
        <v>799</v>
      </c>
    </row>
    <row r="779" spans="1:1">
      <c r="A779" t="s">
        <v>800</v>
      </c>
    </row>
    <row r="780" spans="1:1">
      <c r="A780" t="s">
        <v>801</v>
      </c>
    </row>
    <row r="781" spans="1:1">
      <c r="A781" t="s">
        <v>802</v>
      </c>
    </row>
    <row r="782" spans="1:1">
      <c r="A782" t="s">
        <v>803</v>
      </c>
    </row>
    <row r="783" spans="1:1">
      <c r="A783" t="s">
        <v>804</v>
      </c>
    </row>
    <row r="784" spans="1:1">
      <c r="A784" t="s">
        <v>805</v>
      </c>
    </row>
    <row r="785" spans="1:1">
      <c r="A785" t="s">
        <v>806</v>
      </c>
    </row>
    <row r="786" spans="1:1">
      <c r="A786" t="s">
        <v>807</v>
      </c>
    </row>
    <row r="787" spans="1:1">
      <c r="A787" t="s">
        <v>808</v>
      </c>
    </row>
    <row r="788" spans="1:1">
      <c r="A788" t="s">
        <v>809</v>
      </c>
    </row>
    <row r="789" spans="1:1">
      <c r="A789" t="s">
        <v>810</v>
      </c>
    </row>
    <row r="790" spans="1:1">
      <c r="A790" t="s">
        <v>811</v>
      </c>
    </row>
    <row r="791" spans="1:1">
      <c r="A791" t="s">
        <v>812</v>
      </c>
    </row>
    <row r="792" spans="1:1">
      <c r="A792" t="s">
        <v>813</v>
      </c>
    </row>
    <row r="793" spans="1:1">
      <c r="A793" t="s">
        <v>814</v>
      </c>
    </row>
    <row r="794" spans="1:1">
      <c r="A794" t="s">
        <v>815</v>
      </c>
    </row>
    <row r="795" spans="1:1">
      <c r="A795" t="s">
        <v>816</v>
      </c>
    </row>
    <row r="796" spans="1:1">
      <c r="A796" t="s">
        <v>817</v>
      </c>
    </row>
    <row r="797" spans="1:1">
      <c r="A797" t="s">
        <v>818</v>
      </c>
    </row>
    <row r="798" spans="1:1">
      <c r="A798" t="s">
        <v>819</v>
      </c>
    </row>
    <row r="799" spans="1:1">
      <c r="A799" t="s">
        <v>820</v>
      </c>
    </row>
    <row r="800" spans="1:1">
      <c r="A800" t="s">
        <v>821</v>
      </c>
    </row>
    <row r="801" spans="1:1">
      <c r="A801" t="s">
        <v>822</v>
      </c>
    </row>
    <row r="802" spans="1:1">
      <c r="A802" t="s">
        <v>823</v>
      </c>
    </row>
    <row r="803" spans="1:1">
      <c r="A803" t="s">
        <v>824</v>
      </c>
    </row>
    <row r="804" spans="1:1">
      <c r="A804" t="s">
        <v>825</v>
      </c>
    </row>
    <row r="805" spans="1:1">
      <c r="A805" t="s">
        <v>826</v>
      </c>
    </row>
    <row r="806" spans="1:1">
      <c r="A806" t="s">
        <v>827</v>
      </c>
    </row>
    <row r="807" spans="1:1">
      <c r="A807" t="s">
        <v>828</v>
      </c>
    </row>
    <row r="808" spans="1:1">
      <c r="A808" t="s">
        <v>829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Edit</vt:lpstr>
      <vt:lpstr>original Flame Burst</vt:lpstr>
      <vt:lpstr>Table of 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Aryeh Baruch</dc:creator>
  <cp:lastModifiedBy>Andrew Baruch</cp:lastModifiedBy>
  <dcterms:created xsi:type="dcterms:W3CDTF">2024-11-26T03:26:41Z</dcterms:created>
  <dcterms:modified xsi:type="dcterms:W3CDTF">2026-05-03T05:38:45Z</dcterms:modified>
</cp:coreProperties>
</file>