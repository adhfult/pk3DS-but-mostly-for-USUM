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2A9E351E-CC58-4950-8C5F-4D0AA3C28B0B}" xr6:coauthVersionLast="47" xr6:coauthVersionMax="47" xr10:uidLastSave="{00000000-0000-0000-0000-000000000000}"/>
  <bookViews>
    <workbookView xWindow="-16466" yWindow="0" windowWidth="16466" windowHeight="17914" xr2:uid="{FFF8744C-F0B4-428F-8CA7-718350CADE02}"/>
  </bookViews>
  <sheets>
    <sheet name="Cod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C33" i="6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26" i="6" l="1"/>
  <c r="C22" i="6"/>
  <c r="B3" i="6" l="1"/>
  <c r="A4" i="6" l="1"/>
  <c r="A5" i="6" s="1"/>
  <c r="A6" i="6" s="1"/>
  <c r="A7" i="6" s="1"/>
</calcChain>
</file>

<file path=xl/sharedStrings.xml><?xml version="1.0" encoding="utf-8"?>
<sst xmlns="http://schemas.openxmlformats.org/spreadsheetml/2006/main" count="57" uniqueCount="54">
  <si>
    <t>Address</t>
  </si>
  <si>
    <t>Hex</t>
  </si>
  <si>
    <t>instruction</t>
  </si>
  <si>
    <t>str r1, [r0]</t>
  </si>
  <si>
    <t>ldr r0, [pc]</t>
  </si>
  <si>
    <t>bx lr</t>
  </si>
  <si>
    <t>001080E5</t>
  </si>
  <si>
    <t>00009FE5</t>
  </si>
  <si>
    <t>1EFF2FE1</t>
  </si>
  <si>
    <t>00000000</t>
  </si>
  <si>
    <t>Ice Spinner Call Function</t>
  </si>
  <si>
    <t>Rapid Spin 0x63</t>
  </si>
  <si>
    <t>000D6D28</t>
  </si>
  <si>
    <t>Splintered Stormshards remove terrain 0x9F</t>
  </si>
  <si>
    <t>mov r1, 0x3</t>
  </si>
  <si>
    <t>bl 0x00087B58</t>
  </si>
  <si>
    <t>b 0x00082D44</t>
  </si>
  <si>
    <t>+1 priority when terrain is active 0x11</t>
  </si>
  <si>
    <t>push {r4, r5, lr}</t>
  </si>
  <si>
    <t>Check self attacker</t>
  </si>
  <si>
    <t>mov r5, r1</t>
  </si>
  <si>
    <t>mov r4, r2</t>
  </si>
  <si>
    <t>cmp r0, r4</t>
  </si>
  <si>
    <t>mov r0, 0x1C</t>
  </si>
  <si>
    <t>add r1, r0, 0x1</t>
  </si>
  <si>
    <t>Get current priority</t>
  </si>
  <si>
    <t>add 1</t>
  </si>
  <si>
    <t>mov r0, r5</t>
  </si>
  <si>
    <t>bl 0x000E2274</t>
  </si>
  <si>
    <t>Get Terrain</t>
  </si>
  <si>
    <t>cmp r0, 0x0</t>
  </si>
  <si>
    <t>check terrain</t>
  </si>
  <si>
    <t>do nothing if none set</t>
  </si>
  <si>
    <t>000C69B4</t>
  </si>
  <si>
    <t>mov r0, 0x3</t>
  </si>
  <si>
    <t>30402DE9</t>
  </si>
  <si>
    <t>0150A0E1</t>
  </si>
  <si>
    <t>0240A0E1</t>
  </si>
  <si>
    <t>0300A0E3</t>
  </si>
  <si>
    <t>6304FFEB</t>
  </si>
  <si>
    <t>040050E1</t>
  </si>
  <si>
    <t>0900001A</t>
  </si>
  <si>
    <t>0500A0E1</t>
  </si>
  <si>
    <t>266E00EB</t>
  </si>
  <si>
    <t>000050E3</t>
  </si>
  <si>
    <t>0500000A</t>
  </si>
  <si>
    <t>1C00A0E3</t>
  </si>
  <si>
    <t>5B04FFEB</t>
  </si>
  <si>
    <t>011080E2</t>
  </si>
  <si>
    <t>3040BDE8</t>
  </si>
  <si>
    <t>D2F0FEEA</t>
  </si>
  <si>
    <t>3080BDE8</t>
  </si>
  <si>
    <t>000C9A20</t>
  </si>
  <si>
    <t>000C96F0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</si>
</sst>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quotePrefix="1" applyFont="1"/>
    <xf numFmtId="0" fontId="3" fillId="0" borderId="0" xfId="1" applyNumberFormat="1" applyFont="1" applyAlignment="1">
      <alignment horizontal="left"/>
    </xf>
    <xf numFmtId="49" fontId="3" fillId="0" borderId="0" xfId="0" applyNumberFormat="1" applyFont="1"/>
    <xf numFmtId="49" fontId="3" fillId="0" borderId="0" xfId="0" quotePrefix="1" applyNumberFormat="1" applyFont="1"/>
    <xf numFmtId="49" fontId="4" fillId="0" borderId="0" xfId="0" quotePrefix="1" applyNumberFormat="1" applyFont="1"/>
    <xf numFmtId="49" fontId="3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49" fontId="3" fillId="2" borderId="0" xfId="0" quotePrefix="1" applyNumberFormat="1" applyFont="1" applyFill="1"/>
    <xf numFmtId="49" fontId="4" fillId="2" borderId="0" xfId="0" quotePrefix="1" applyNumberFormat="1" applyFont="1" applyFill="1"/>
    <xf numFmtId="49" fontId="4" fillId="3" borderId="0" xfId="0" quotePrefix="1" applyNumberFormat="1" applyFont="1" applyFill="1"/>
    <xf numFmtId="0" fontId="4" fillId="3" borderId="0" xfId="0" applyFont="1" applyFill="1"/>
    <xf numFmtId="0" fontId="3" fillId="3" borderId="0" xfId="0" applyFont="1" applyFill="1"/>
    <xf numFmtId="49" fontId="4" fillId="0" borderId="0" xfId="0" applyNumberFormat="1" applyFont="1"/>
    <xf numFmtId="0" fontId="3" fillId="4" borderId="0" xfId="0" applyFont="1" applyFill="1"/>
    <xf numFmtId="49" fontId="4" fillId="4" borderId="0" xfId="0" quotePrefix="1" applyNumberFormat="1" applyFont="1" applyFill="1"/>
    <xf numFmtId="0" fontId="4" fillId="4" borderId="0" xfId="0" applyFont="1" applyFill="1"/>
    <xf numFmtId="0" fontId="3" fillId="5" borderId="0" xfId="0" applyFont="1" applyFill="1"/>
    <xf numFmtId="49" fontId="4" fillId="5" borderId="0" xfId="0" quotePrefix="1" applyNumberFormat="1" applyFont="1" applyFill="1"/>
    <xf numFmtId="0" fontId="4" fillId="5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33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defaultRowHeight="15.9"/>
  <cols>
    <col min="1" max="1" width="11.85546875" style="3" customWidth="1"/>
    <col min="2" max="2" width="9.7109375" style="3" bestFit="1" customWidth="1"/>
    <col min="3" max="3" width="26.78515625" style="3" bestFit="1" customWidth="1"/>
    <col min="4" max="4" width="66.85546875" style="3" bestFit="1" customWidth="1"/>
    <col min="5" max="6" width="12.7109375" style="3" customWidth="1"/>
    <col min="7" max="7" width="13.5703125" style="3" customWidth="1"/>
    <col min="8" max="16384" width="9.140625" style="3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1" t="s">
        <v>10</v>
      </c>
      <c r="B2" s="1"/>
      <c r="C2" s="1"/>
      <c r="D2" s="1"/>
    </row>
    <row r="3" spans="1:4">
      <c r="A3" s="4" t="s">
        <v>12</v>
      </c>
      <c r="B3" s="5" t="str">
        <f>_xlfn.CONCAT("0",RIGHT(C3,1),"10A0E3")</f>
        <v>0310A0E3</v>
      </c>
      <c r="C3" s="3" t="s">
        <v>14</v>
      </c>
      <c r="D3" s="1"/>
    </row>
    <row r="4" spans="1:4">
      <c r="A4" s="3" t="str">
        <f t="shared" ref="A4:A7" si="0">DEC2HEX(HEX2DEC(A3)+4,8)</f>
        <v>000D6D2C</v>
      </c>
      <c r="B4" s="4" t="s">
        <v>6</v>
      </c>
      <c r="C4" s="3" t="s">
        <v>3</v>
      </c>
    </row>
    <row r="5" spans="1:4">
      <c r="A5" s="3" t="str">
        <f t="shared" si="0"/>
        <v>000D6D30</v>
      </c>
      <c r="B5" s="3" t="s">
        <v>7</v>
      </c>
      <c r="C5" s="3" t="s">
        <v>4</v>
      </c>
    </row>
    <row r="6" spans="1:4">
      <c r="A6" s="3" t="str">
        <f t="shared" si="0"/>
        <v>000D6D34</v>
      </c>
      <c r="B6" s="3" t="s">
        <v>8</v>
      </c>
      <c r="C6" s="3" t="s">
        <v>5</v>
      </c>
      <c r="D6" s="1"/>
    </row>
    <row r="7" spans="1:4">
      <c r="A7" s="3" t="str">
        <f t="shared" si="0"/>
        <v>000D6D38</v>
      </c>
      <c r="B7" s="4" t="s">
        <v>9</v>
      </c>
      <c r="D7" s="1"/>
    </row>
    <row r="9" spans="1:4">
      <c r="A9" s="1" t="s">
        <v>11</v>
      </c>
    </row>
    <row r="10" spans="1:4">
      <c r="A10" s="3" t="s">
        <v>52</v>
      </c>
    </row>
    <row r="12" spans="1:4">
      <c r="A12" s="1" t="s">
        <v>13</v>
      </c>
    </row>
    <row r="13" spans="1:4">
      <c r="A13" s="3" t="s">
        <v>53</v>
      </c>
    </row>
    <row r="15" spans="1:4" ht="15.45" customHeight="1">
      <c r="A15" s="2" t="s">
        <v>17</v>
      </c>
      <c r="B15" s="6"/>
    </row>
    <row r="16" spans="1:4">
      <c r="A16" s="3" t="s">
        <v>33</v>
      </c>
      <c r="B16" s="6" t="s">
        <v>35</v>
      </c>
      <c r="C16" s="3" t="s">
        <v>18</v>
      </c>
    </row>
    <row r="17" spans="1:4">
      <c r="A17" s="3" t="str">
        <f t="shared" ref="A17:A33" si="1">DEC2HEX(HEX2DEC(A16)+4,8)</f>
        <v>000C69B8</v>
      </c>
      <c r="B17" s="7" t="s">
        <v>36</v>
      </c>
      <c r="C17" s="3" t="s">
        <v>20</v>
      </c>
    </row>
    <row r="18" spans="1:4">
      <c r="A18" s="3" t="str">
        <f t="shared" si="1"/>
        <v>000C69BC</v>
      </c>
      <c r="B18" s="8" t="s">
        <v>37</v>
      </c>
      <c r="C18" s="3" t="s">
        <v>21</v>
      </c>
    </row>
    <row r="19" spans="1:4">
      <c r="A19" s="9" t="str">
        <f t="shared" si="1"/>
        <v>000C69C0</v>
      </c>
      <c r="B19" s="9" t="s">
        <v>38</v>
      </c>
      <c r="C19" s="10" t="s">
        <v>34</v>
      </c>
      <c r="D19" s="10" t="s">
        <v>19</v>
      </c>
    </row>
    <row r="20" spans="1:4">
      <c r="A20" s="9" t="str">
        <f t="shared" si="1"/>
        <v>000C69C4</v>
      </c>
      <c r="B20" s="9" t="s">
        <v>39</v>
      </c>
      <c r="C20" s="11" t="s">
        <v>15</v>
      </c>
      <c r="D20" s="10"/>
    </row>
    <row r="21" spans="1:4">
      <c r="A21" s="12" t="str">
        <f t="shared" si="1"/>
        <v>000C69C8</v>
      </c>
      <c r="B21" s="12" t="s">
        <v>40</v>
      </c>
      <c r="C21" s="10" t="s">
        <v>22</v>
      </c>
      <c r="D21" s="10"/>
    </row>
    <row r="22" spans="1:4">
      <c r="A22" s="13" t="str">
        <f t="shared" si="1"/>
        <v>000C69CC</v>
      </c>
      <c r="B22" s="13" t="s">
        <v>41</v>
      </c>
      <c r="C22" s="11" t="str">
        <f>_xlfn.CONCAT("bne 0x",A$33)</f>
        <v>bne 0x000C69F8</v>
      </c>
      <c r="D22" s="10"/>
    </row>
    <row r="23" spans="1:4">
      <c r="A23" s="14" t="str">
        <f t="shared" si="1"/>
        <v>000C69D0</v>
      </c>
      <c r="B23" s="14" t="s">
        <v>42</v>
      </c>
      <c r="C23" s="15" t="s">
        <v>27</v>
      </c>
      <c r="D23" s="16" t="s">
        <v>29</v>
      </c>
    </row>
    <row r="24" spans="1:4">
      <c r="A24" s="14" t="str">
        <f t="shared" si="1"/>
        <v>000C69D4</v>
      </c>
      <c r="B24" s="14" t="s">
        <v>43</v>
      </c>
      <c r="C24" s="15" t="s">
        <v>28</v>
      </c>
      <c r="D24" s="16"/>
    </row>
    <row r="25" spans="1:4">
      <c r="A25" s="14" t="str">
        <f t="shared" si="1"/>
        <v>000C69D8</v>
      </c>
      <c r="B25" s="14" t="s">
        <v>44</v>
      </c>
      <c r="C25" s="15" t="s">
        <v>30</v>
      </c>
      <c r="D25" s="16" t="s">
        <v>31</v>
      </c>
    </row>
    <row r="26" spans="1:4">
      <c r="A26" s="14" t="str">
        <f t="shared" si="1"/>
        <v>000C69DC</v>
      </c>
      <c r="B26" s="14" t="s">
        <v>45</v>
      </c>
      <c r="C26" s="15" t="str">
        <f>_xlfn.CONCAT("beq 0x",A33)</f>
        <v>beq 0x000C69F8</v>
      </c>
      <c r="D26" s="16" t="s">
        <v>32</v>
      </c>
    </row>
    <row r="27" spans="1:4">
      <c r="A27" s="18" t="str">
        <f t="shared" si="1"/>
        <v>000C69E0</v>
      </c>
      <c r="B27" s="19" t="s">
        <v>46</v>
      </c>
      <c r="C27" s="20" t="s">
        <v>23</v>
      </c>
      <c r="D27" s="18" t="s">
        <v>25</v>
      </c>
    </row>
    <row r="28" spans="1:4">
      <c r="A28" s="18" t="str">
        <f t="shared" si="1"/>
        <v>000C69E4</v>
      </c>
      <c r="B28" s="19" t="s">
        <v>47</v>
      </c>
      <c r="C28" s="20" t="s">
        <v>15</v>
      </c>
      <c r="D28" s="18"/>
    </row>
    <row r="29" spans="1:4">
      <c r="A29" s="21" t="str">
        <f t="shared" si="1"/>
        <v>000C69E8</v>
      </c>
      <c r="B29" s="22" t="s">
        <v>48</v>
      </c>
      <c r="C29" s="23" t="s">
        <v>24</v>
      </c>
      <c r="D29" s="21" t="s">
        <v>26</v>
      </c>
    </row>
    <row r="30" spans="1:4">
      <c r="A30" s="21" t="str">
        <f t="shared" si="1"/>
        <v>000C69EC</v>
      </c>
      <c r="B30" s="22" t="s">
        <v>46</v>
      </c>
      <c r="C30" s="21" t="s">
        <v>23</v>
      </c>
      <c r="D30" s="21"/>
    </row>
    <row r="31" spans="1:4">
      <c r="A31" s="3" t="str">
        <f t="shared" si="1"/>
        <v>000C69F0</v>
      </c>
      <c r="B31" s="8" t="s">
        <v>49</v>
      </c>
      <c r="C31" s="3" t="str">
        <f>SUBSTITUTE(C16,"push","pop")</f>
        <v>pop {r4, r5, lr}</v>
      </c>
    </row>
    <row r="32" spans="1:4">
      <c r="A32" s="21" t="str">
        <f t="shared" si="1"/>
        <v>000C69F4</v>
      </c>
      <c r="B32" s="22" t="s">
        <v>50</v>
      </c>
      <c r="C32" s="21" t="s">
        <v>16</v>
      </c>
      <c r="D32" s="21"/>
    </row>
    <row r="33" spans="1:3">
      <c r="A33" s="3" t="str">
        <f t="shared" si="1"/>
        <v>000C69F8</v>
      </c>
      <c r="B33" s="17" t="s">
        <v>51</v>
      </c>
      <c r="C33" s="3" t="str">
        <f>SUBSTITUTE(C31,"lr","pc")</f>
        <v>pop {r4, r5,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2026-06-19T03:47:02Z</dcterms:modified>
</cp:coreProperties>
</file>