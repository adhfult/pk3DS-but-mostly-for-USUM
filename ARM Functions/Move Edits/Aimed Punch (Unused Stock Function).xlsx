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9494A458-33E6-46A1-B9C4-753E76397709}" xr6:coauthVersionLast="47" xr6:coauthVersionMax="47" xr10:uidLastSave="{00000000-0000-0000-0000-000000000000}"/>
  <bookViews>
    <workbookView xWindow="-16457" yWindow="0" windowWidth="16457" windowHeight="17914" xr2:uid="{F73BA298-DE8E-4B92-8FEA-0A22899FD5D8}"/>
  </bookViews>
  <sheets>
    <sheet name="Original Aimed Pun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C63" i="1"/>
  <c r="C45" i="1" l="1"/>
  <c r="C37" i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C31" i="1" l="1"/>
  <c r="A63" i="1"/>
  <c r="C11" i="1"/>
  <c r="C53" i="1"/>
  <c r="C21" i="1"/>
</calcChain>
</file>

<file path=xl/sharedStrings.xml><?xml version="1.0" encoding="utf-8"?>
<sst xmlns="http://schemas.openxmlformats.org/spreadsheetml/2006/main" count="89" uniqueCount="78">
  <si>
    <t>Aimed Punch</t>
  </si>
  <si>
    <t>Sky Drop</t>
  </si>
  <si>
    <t>Lightning Rod</t>
  </si>
  <si>
    <t>Storm Drain</t>
  </si>
  <si>
    <t>r2</t>
  </si>
  <si>
    <t>r1</t>
  </si>
  <si>
    <t>add sp, sp, 0x8</t>
  </si>
  <si>
    <t>set new target</t>
  </si>
  <si>
    <t>bl 0x00060128</t>
  </si>
  <si>
    <t>and r0, r0, 0xFF</t>
  </si>
  <si>
    <t>mov r1, 0x2</t>
  </si>
  <si>
    <t>ldr r0, [r8, r0, lsl 0x2]</t>
  </si>
  <si>
    <t>and load it</t>
  </si>
  <si>
    <t>mov r2, 0x3</t>
  </si>
  <si>
    <t>bl 0x00084D70</t>
  </si>
  <si>
    <t>Choose random one of them</t>
  </si>
  <si>
    <t>mov r0, r7</t>
  </si>
  <si>
    <t>if 0 exit</t>
  </si>
  <si>
    <t>check number found</t>
  </si>
  <si>
    <t>cmp r7, 0x0</t>
  </si>
  <si>
    <t>if not repeat loop</t>
  </si>
  <si>
    <t>check if done</t>
  </si>
  <si>
    <t>cmp r5, r4</t>
  </si>
  <si>
    <t>iter ++</t>
  </si>
  <si>
    <t>add r4, r4, 0x1</t>
  </si>
  <si>
    <t>add 1 to possible targets</t>
  </si>
  <si>
    <t>add r7, r7, 0x1</t>
  </si>
  <si>
    <t>str r0, [r8, r7, lsl 0x2]</t>
  </si>
  <si>
    <t>save index</t>
  </si>
  <si>
    <t>ldrb r0, [r10, r4]</t>
  </si>
  <si>
    <t>pass</t>
  </si>
  <si>
    <t xml:space="preserve">nop </t>
  </si>
  <si>
    <t>if it is</t>
  </si>
  <si>
    <t>cmp r0, 0x0</t>
  </si>
  <si>
    <t>bl 0x0008519C</t>
  </si>
  <si>
    <t>Check is Protected</t>
  </si>
  <si>
    <t>mov r1, 0x7</t>
  </si>
  <si>
    <t>bl 0x000092298</t>
  </si>
  <si>
    <t>get pointer</t>
  </si>
  <si>
    <t>mov r0, r9</t>
  </si>
  <si>
    <t>if same as current</t>
  </si>
  <si>
    <t>cmp r1, r6</t>
  </si>
  <si>
    <t>get next index</t>
  </si>
  <si>
    <t>ldrb r1, [r10, r4]</t>
  </si>
  <si>
    <t>mov r10, sp</t>
  </si>
  <si>
    <t>mov r4, r7</t>
  </si>
  <si>
    <t>setup loop</t>
  </si>
  <si>
    <t>mov r7, 0x0</t>
  </si>
  <si>
    <t>exit if 1 or 0</t>
  </si>
  <si>
    <t>mov r5, r0</t>
  </si>
  <si>
    <t>cmp r0, 0x1</t>
  </si>
  <si>
    <t>bl 0x000604AC</t>
  </si>
  <si>
    <t>mov r2, sp</t>
  </si>
  <si>
    <t>orr r1, r0, 0x100</t>
  </si>
  <si>
    <t>bl 0x00092ABC</t>
  </si>
  <si>
    <t>get enemy out count</t>
  </si>
  <si>
    <t>mov r1, r4</t>
  </si>
  <si>
    <t>bl 0x00092298</t>
  </si>
  <si>
    <t>Get pointer to target</t>
  </si>
  <si>
    <t>mov r1, r6</t>
  </si>
  <si>
    <t>and r6, r0, 0xff</t>
  </si>
  <si>
    <t>bl 0x00087B58</t>
  </si>
  <si>
    <t>Get current target</t>
  </si>
  <si>
    <t>mov r0, 0x4</t>
  </si>
  <si>
    <t>cmp r0, r4</t>
  </si>
  <si>
    <t>Check self attacker</t>
  </si>
  <si>
    <t>mov r0, 0x3</t>
  </si>
  <si>
    <t>mov r8, r3</t>
  </si>
  <si>
    <t>mov r9, r1</t>
  </si>
  <si>
    <t>mov r4, r2</t>
  </si>
  <si>
    <t>sub sp, sp, 0x8</t>
  </si>
  <si>
    <t>push {r4, r5, r6, r7, r8, r9, r10, lr}</t>
  </si>
  <si>
    <t>000C8728</t>
  </si>
  <si>
    <t>notes</t>
  </si>
  <si>
    <t>instruction</t>
  </si>
  <si>
    <t>Hex</t>
  </si>
  <si>
    <t>Address</t>
  </si>
  <si>
    <t>Redirect if target is Protected 0x31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</si>
</sst>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sz val="11"/>
      <name val="Cascadia Code"/>
      <family val="3"/>
    </font>
    <font>
      <b/>
      <sz val="11"/>
      <color theme="1"/>
      <name val="Cascadia Code"/>
      <family val="3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2" borderId="0" xfId="0" applyFont="1" applyFill="1"/>
    <xf numFmtId="0" fontId="1" fillId="2" borderId="0" xfId="0" quotePrefix="1" applyFont="1" applyFill="1"/>
    <xf numFmtId="0" fontId="1" fillId="3" borderId="0" xfId="0" applyFont="1" applyFill="1"/>
    <xf numFmtId="0" fontId="1" fillId="3" borderId="0" xfId="0" quotePrefix="1" applyFont="1" applyFill="1"/>
    <xf numFmtId="0" fontId="1" fillId="4" borderId="0" xfId="0" applyFont="1" applyFill="1"/>
    <xf numFmtId="0" fontId="1" fillId="4" borderId="0" xfId="0" quotePrefix="1" applyFont="1" applyFill="1"/>
    <xf numFmtId="0" fontId="1" fillId="5" borderId="0" xfId="0" applyFont="1" applyFill="1"/>
    <xf numFmtId="0" fontId="1" fillId="5" borderId="0" xfId="0" quotePrefix="1" applyFont="1" applyFill="1"/>
    <xf numFmtId="0" fontId="1" fillId="6" borderId="0" xfId="0" applyFont="1" applyFill="1"/>
    <xf numFmtId="0" fontId="1" fillId="6" borderId="0" xfId="0" quotePrefix="1" applyFont="1" applyFill="1"/>
    <xf numFmtId="0" fontId="1" fillId="7" borderId="0" xfId="0" applyFont="1" applyFill="1"/>
    <xf numFmtId="0" fontId="1" fillId="7" borderId="0" xfId="0" quotePrefix="1" applyFont="1" applyFill="1"/>
    <xf numFmtId="0" fontId="1" fillId="8" borderId="0" xfId="0" applyFont="1" applyFill="1"/>
    <xf numFmtId="0" fontId="1" fillId="8" borderId="0" xfId="0" quotePrefix="1" applyFont="1" applyFill="1"/>
    <xf numFmtId="0" fontId="1" fillId="9" borderId="0" xfId="0" applyFont="1" applyFill="1"/>
    <xf numFmtId="0" fontId="1" fillId="9" borderId="0" xfId="0" quotePrefix="1" applyFont="1" applyFill="1"/>
    <xf numFmtId="0" fontId="1" fillId="10" borderId="0" xfId="0" applyFont="1" applyFill="1"/>
    <xf numFmtId="0" fontId="1" fillId="10" borderId="0" xfId="0" quotePrefix="1" applyFont="1" applyFill="1"/>
    <xf numFmtId="0" fontId="1" fillId="11" borderId="0" xfId="0" applyFont="1" applyFill="1"/>
    <xf numFmtId="0" fontId="1" fillId="11" borderId="0" xfId="0" quotePrefix="1" applyFont="1" applyFill="1"/>
    <xf numFmtId="0" fontId="1" fillId="12" borderId="0" xfId="0" applyFont="1" applyFill="1"/>
    <xf numFmtId="0" fontId="1" fillId="12" borderId="0" xfId="0" quotePrefix="1" applyFont="1" applyFill="1"/>
    <xf numFmtId="0" fontId="1" fillId="13" borderId="0" xfId="0" applyFont="1" applyFill="1"/>
    <xf numFmtId="0" fontId="1" fillId="13" borderId="0" xfId="0" quotePrefix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C698-B667-4EBB-B229-81D7B48D2C8F}">
  <dimension ref="A1:M70"/>
  <sheetViews>
    <sheetView tabSelected="1" workbookViewId="0">
      <pane ySplit="1" topLeftCell="A14" activePane="bottomLeft" state="frozen"/>
      <selection pane="bottomLeft" activeCell="C47" sqref="C47"/>
    </sheetView>
  </sheetViews>
  <sheetFormatPr defaultRowHeight="15.9"/>
  <cols>
    <col min="1" max="1" width="9.140625" style="1"/>
    <col min="2" max="2" width="7.85546875" style="1" customWidth="1"/>
    <col min="3" max="3" width="42.0703125" style="1" bestFit="1" customWidth="1"/>
    <col min="4" max="4" width="23.5" style="1" bestFit="1" customWidth="1"/>
    <col min="5" max="16384" width="9.140625" style="1"/>
  </cols>
  <sheetData>
    <row r="1" spans="1:4">
      <c r="A1" s="28" t="s">
        <v>76</v>
      </c>
      <c r="B1" s="28" t="s">
        <v>75</v>
      </c>
      <c r="C1" s="28" t="s">
        <v>74</v>
      </c>
      <c r="D1" s="28" t="s">
        <v>73</v>
      </c>
    </row>
    <row r="2" spans="1:4">
      <c r="A2" s="28" t="s">
        <v>77</v>
      </c>
      <c r="C2" s="27"/>
    </row>
    <row r="3" spans="1:4">
      <c r="A3" s="1" t="s">
        <v>72</v>
      </c>
      <c r="B3" s="2"/>
      <c r="C3" s="1" t="s">
        <v>71</v>
      </c>
    </row>
    <row r="4" spans="1:4">
      <c r="A4" s="1" t="str">
        <f t="shared" ref="A4:A35" si="0">DEC2HEX(HEX2DEC(A3)+4,8)</f>
        <v>000C872C</v>
      </c>
      <c r="B4" s="2"/>
      <c r="C4" s="1" t="s">
        <v>70</v>
      </c>
    </row>
    <row r="5" spans="1:4">
      <c r="A5" s="1" t="str">
        <f t="shared" si="0"/>
        <v>000C8730</v>
      </c>
      <c r="B5" s="2"/>
      <c r="C5" s="1" t="s">
        <v>69</v>
      </c>
    </row>
    <row r="6" spans="1:4">
      <c r="A6" s="1" t="str">
        <f t="shared" si="0"/>
        <v>000C8734</v>
      </c>
      <c r="B6" s="2"/>
      <c r="C6" s="1" t="s">
        <v>68</v>
      </c>
    </row>
    <row r="7" spans="1:4">
      <c r="A7" s="1" t="str">
        <f t="shared" si="0"/>
        <v>000C8738</v>
      </c>
      <c r="B7" s="2"/>
      <c r="C7" s="1" t="s">
        <v>67</v>
      </c>
    </row>
    <row r="8" spans="1:4">
      <c r="A8" s="25" t="str">
        <f t="shared" si="0"/>
        <v>000C873C</v>
      </c>
      <c r="B8" s="26"/>
      <c r="C8" s="25" t="s">
        <v>66</v>
      </c>
      <c r="D8" s="25" t="s">
        <v>65</v>
      </c>
    </row>
    <row r="9" spans="1:4">
      <c r="A9" s="25" t="str">
        <f t="shared" si="0"/>
        <v>000C8740</v>
      </c>
      <c r="B9" s="26"/>
      <c r="C9" s="25" t="s">
        <v>61</v>
      </c>
      <c r="D9" s="25"/>
    </row>
    <row r="10" spans="1:4">
      <c r="A10" s="25" t="str">
        <f t="shared" si="0"/>
        <v>000C8744</v>
      </c>
      <c r="B10" s="26"/>
      <c r="C10" s="25" t="s">
        <v>64</v>
      </c>
      <c r="D10" s="25"/>
    </row>
    <row r="11" spans="1:4">
      <c r="A11" s="25" t="str">
        <f t="shared" si="0"/>
        <v>000C8748</v>
      </c>
      <c r="B11" s="26"/>
      <c r="C11" s="25" t="str">
        <f>_xlfn.CONCAT("bne 0x",A62)</f>
        <v>bne 0x000C8814</v>
      </c>
      <c r="D11" s="25"/>
    </row>
    <row r="12" spans="1:4">
      <c r="A12" s="23" t="str">
        <f t="shared" si="0"/>
        <v>000C874C</v>
      </c>
      <c r="B12" s="24"/>
      <c r="C12" s="23" t="s">
        <v>63</v>
      </c>
      <c r="D12" s="23" t="s">
        <v>62</v>
      </c>
    </row>
    <row r="13" spans="1:4">
      <c r="A13" s="23" t="str">
        <f t="shared" si="0"/>
        <v>000C8750</v>
      </c>
      <c r="B13" s="24"/>
      <c r="C13" s="23" t="s">
        <v>61</v>
      </c>
      <c r="D13" s="23"/>
    </row>
    <row r="14" spans="1:4">
      <c r="A14" s="23" t="str">
        <f t="shared" si="0"/>
        <v>000C8754</v>
      </c>
      <c r="B14" s="24"/>
      <c r="C14" s="23" t="s">
        <v>60</v>
      </c>
      <c r="D14" s="23"/>
    </row>
    <row r="15" spans="1:4">
      <c r="A15" s="21" t="str">
        <f t="shared" si="0"/>
        <v>000C8758</v>
      </c>
      <c r="B15" s="22"/>
      <c r="C15" s="21" t="s">
        <v>59</v>
      </c>
      <c r="D15" s="21" t="s">
        <v>58</v>
      </c>
    </row>
    <row r="16" spans="1:4">
      <c r="A16" s="21" t="str">
        <f t="shared" si="0"/>
        <v>000C875C</v>
      </c>
      <c r="B16" s="22"/>
      <c r="C16" s="21" t="s">
        <v>39</v>
      </c>
      <c r="D16" s="21"/>
    </row>
    <row r="17" spans="1:4">
      <c r="A17" s="21" t="str">
        <f t="shared" si="0"/>
        <v>000C8760</v>
      </c>
      <c r="B17" s="22"/>
      <c r="C17" s="21" t="s">
        <v>57</v>
      </c>
      <c r="D17" s="21"/>
    </row>
    <row r="18" spans="1:4">
      <c r="A18" s="19" t="str">
        <f t="shared" si="0"/>
        <v>000C8764</v>
      </c>
      <c r="B18" s="20"/>
      <c r="C18" s="19" t="s">
        <v>36</v>
      </c>
      <c r="D18" s="19" t="s">
        <v>35</v>
      </c>
    </row>
    <row r="19" spans="1:4">
      <c r="A19" s="19" t="str">
        <f t="shared" si="0"/>
        <v>000C8768</v>
      </c>
      <c r="B19" s="20"/>
      <c r="C19" s="19" t="s">
        <v>34</v>
      </c>
      <c r="D19" s="19"/>
    </row>
    <row r="20" spans="1:4">
      <c r="A20" s="19" t="str">
        <f t="shared" si="0"/>
        <v>000C876C</v>
      </c>
      <c r="B20" s="20"/>
      <c r="C20" s="19" t="s">
        <v>33</v>
      </c>
      <c r="D20" s="19"/>
    </row>
    <row r="21" spans="1:4">
      <c r="A21" s="19" t="str">
        <f t="shared" si="0"/>
        <v>000C8770</v>
      </c>
      <c r="B21" s="20"/>
      <c r="C21" s="19" t="str">
        <f>_xlfn.CONCAT("beq 0x",A62)</f>
        <v>beq 0x000C8814</v>
      </c>
      <c r="D21" s="19"/>
    </row>
    <row r="22" spans="1:4">
      <c r="A22" s="17" t="str">
        <f t="shared" si="0"/>
        <v>000C8774</v>
      </c>
      <c r="B22" s="18"/>
      <c r="C22" s="17" t="s">
        <v>56</v>
      </c>
      <c r="D22" s="17" t="s">
        <v>55</v>
      </c>
    </row>
    <row r="23" spans="1:4">
      <c r="A23" s="17" t="str">
        <f t="shared" si="0"/>
        <v>000C8778</v>
      </c>
      <c r="B23" s="18"/>
      <c r="C23" s="17" t="s">
        <v>39</v>
      </c>
      <c r="D23" s="17"/>
    </row>
    <row r="24" spans="1:4">
      <c r="A24" s="17" t="str">
        <f t="shared" si="0"/>
        <v>000C877C</v>
      </c>
      <c r="B24" s="18"/>
      <c r="C24" s="17" t="s">
        <v>54</v>
      </c>
      <c r="D24" s="17"/>
    </row>
    <row r="25" spans="1:4">
      <c r="A25" s="17" t="str">
        <f t="shared" si="0"/>
        <v>000C8780</v>
      </c>
      <c r="B25" s="18"/>
      <c r="C25" s="17" t="s">
        <v>53</v>
      </c>
      <c r="D25" s="17"/>
    </row>
    <row r="26" spans="1:4">
      <c r="A26" s="17" t="str">
        <f t="shared" si="0"/>
        <v>000C8784</v>
      </c>
      <c r="B26" s="18"/>
      <c r="C26" s="17" t="s">
        <v>52</v>
      </c>
      <c r="D26" s="17"/>
    </row>
    <row r="27" spans="1:4">
      <c r="A27" s="17" t="str">
        <f t="shared" si="0"/>
        <v>000C8788</v>
      </c>
      <c r="B27" s="18"/>
      <c r="C27" s="17" t="s">
        <v>39</v>
      </c>
      <c r="D27" s="17"/>
    </row>
    <row r="28" spans="1:4">
      <c r="A28" s="17" t="str">
        <f t="shared" si="0"/>
        <v>000C878C</v>
      </c>
      <c r="B28" s="18"/>
      <c r="C28" s="17" t="s">
        <v>51</v>
      </c>
      <c r="D28" s="17"/>
    </row>
    <row r="29" spans="1:4">
      <c r="A29" s="17" t="str">
        <f t="shared" si="0"/>
        <v>000C8790</v>
      </c>
      <c r="B29" s="18"/>
      <c r="C29" s="17" t="s">
        <v>50</v>
      </c>
      <c r="D29" s="17"/>
    </row>
    <row r="30" spans="1:4">
      <c r="A30" s="17" t="str">
        <f t="shared" si="0"/>
        <v>000C8794</v>
      </c>
      <c r="B30" s="18"/>
      <c r="C30" s="17" t="s">
        <v>49</v>
      </c>
      <c r="D30" s="17"/>
    </row>
    <row r="31" spans="1:4">
      <c r="A31" s="17" t="str">
        <f t="shared" si="0"/>
        <v>000C8798</v>
      </c>
      <c r="B31" s="18"/>
      <c r="C31" s="17" t="str">
        <f>_xlfn.CONCAT("bls 0x",A62)</f>
        <v>bls 0x000C8814</v>
      </c>
      <c r="D31" s="17" t="s">
        <v>48</v>
      </c>
    </row>
    <row r="32" spans="1:4">
      <c r="A32" s="15" t="str">
        <f t="shared" si="0"/>
        <v>000C879C</v>
      </c>
      <c r="B32" s="16"/>
      <c r="C32" s="15" t="s">
        <v>47</v>
      </c>
      <c r="D32" s="15" t="s">
        <v>46</v>
      </c>
    </row>
    <row r="33" spans="1:4">
      <c r="A33" s="15" t="str">
        <f t="shared" si="0"/>
        <v>000C87A0</v>
      </c>
      <c r="B33" s="16"/>
      <c r="C33" s="15" t="s">
        <v>45</v>
      </c>
      <c r="D33" s="15"/>
    </row>
    <row r="34" spans="1:4">
      <c r="A34" s="15" t="str">
        <f t="shared" si="0"/>
        <v>000C87A4</v>
      </c>
      <c r="B34" s="16"/>
      <c r="C34" s="15" t="s">
        <v>44</v>
      </c>
      <c r="D34" s="15"/>
    </row>
    <row r="35" spans="1:4">
      <c r="A35" s="13" t="str">
        <f t="shared" si="0"/>
        <v>000C87A8</v>
      </c>
      <c r="B35" s="14"/>
      <c r="C35" s="13" t="s">
        <v>43</v>
      </c>
      <c r="D35" s="13" t="s">
        <v>42</v>
      </c>
    </row>
    <row r="36" spans="1:4">
      <c r="A36" s="13" t="str">
        <f t="shared" ref="A36:A63" si="1">DEC2HEX(HEX2DEC(A35)+4,8)</f>
        <v>000C87AC</v>
      </c>
      <c r="B36" s="14"/>
      <c r="C36" s="13" t="s">
        <v>41</v>
      </c>
      <c r="D36" s="13" t="s">
        <v>40</v>
      </c>
    </row>
    <row r="37" spans="1:4">
      <c r="A37" s="13" t="str">
        <f t="shared" si="1"/>
        <v>000C87B0</v>
      </c>
      <c r="B37" s="14"/>
      <c r="C37" s="13" t="str">
        <f>_xlfn.CONCAT("beq 0x",A49)</f>
        <v>beq 0x000C87E0</v>
      </c>
      <c r="D37" s="13" t="s">
        <v>30</v>
      </c>
    </row>
    <row r="38" spans="1:4">
      <c r="A38" s="11" t="str">
        <f t="shared" si="1"/>
        <v>000C87B4</v>
      </c>
      <c r="B38" s="12"/>
      <c r="C38" s="11" t="s">
        <v>39</v>
      </c>
      <c r="D38" s="11" t="s">
        <v>38</v>
      </c>
    </row>
    <row r="39" spans="1:4">
      <c r="A39" s="11" t="str">
        <f t="shared" si="1"/>
        <v>000C87B8</v>
      </c>
      <c r="B39" s="12"/>
      <c r="C39" s="11" t="s">
        <v>37</v>
      </c>
      <c r="D39" s="11"/>
    </row>
    <row r="40" spans="1:4">
      <c r="A40" s="11" t="str">
        <f t="shared" si="1"/>
        <v>000C87BC</v>
      </c>
      <c r="B40" s="12"/>
      <c r="C40" s="11" t="s">
        <v>36</v>
      </c>
      <c r="D40" s="11" t="s">
        <v>35</v>
      </c>
    </row>
    <row r="41" spans="1:4">
      <c r="A41" s="11" t="str">
        <f t="shared" si="1"/>
        <v>000C87C0</v>
      </c>
      <c r="B41" s="12"/>
      <c r="C41" s="11" t="s">
        <v>31</v>
      </c>
      <c r="D41" s="11"/>
    </row>
    <row r="42" spans="1:4">
      <c r="A42" s="11" t="str">
        <f t="shared" si="1"/>
        <v>000C87C4</v>
      </c>
      <c r="B42" s="12"/>
      <c r="C42" s="11" t="s">
        <v>34</v>
      </c>
      <c r="D42" s="11"/>
    </row>
    <row r="43" spans="1:4">
      <c r="A43" s="11" t="str">
        <f t="shared" si="1"/>
        <v>000C87C8</v>
      </c>
      <c r="B43" s="12"/>
      <c r="C43" s="11" t="s">
        <v>33</v>
      </c>
      <c r="D43" s="11" t="s">
        <v>32</v>
      </c>
    </row>
    <row r="44" spans="1:4">
      <c r="A44" s="11" t="str">
        <f t="shared" si="1"/>
        <v>000C87CC</v>
      </c>
      <c r="B44" s="12"/>
      <c r="C44" s="11" t="s">
        <v>31</v>
      </c>
      <c r="D44" s="11"/>
    </row>
    <row r="45" spans="1:4">
      <c r="A45" s="11" t="str">
        <f t="shared" si="1"/>
        <v>000C87D0</v>
      </c>
      <c r="B45" s="12"/>
      <c r="C45" s="11" t="str">
        <f>_xlfn.CONCAT("bne 0x",A49)</f>
        <v>bne 0x000C87E0</v>
      </c>
      <c r="D45" s="11" t="s">
        <v>30</v>
      </c>
    </row>
    <row r="46" spans="1:4">
      <c r="A46" s="9" t="str">
        <f t="shared" si="1"/>
        <v>000C87D4</v>
      </c>
      <c r="B46" s="10"/>
      <c r="C46" s="9" t="s">
        <v>29</v>
      </c>
      <c r="D46" s="9" t="s">
        <v>28</v>
      </c>
    </row>
    <row r="47" spans="1:4">
      <c r="A47" s="9" t="str">
        <f t="shared" si="1"/>
        <v>000C87D8</v>
      </c>
      <c r="B47" s="10"/>
      <c r="C47" s="9" t="s">
        <v>27</v>
      </c>
      <c r="D47" s="9"/>
    </row>
    <row r="48" spans="1:4">
      <c r="A48" s="9" t="str">
        <f t="shared" si="1"/>
        <v>000C87DC</v>
      </c>
      <c r="B48" s="10"/>
      <c r="C48" s="9" t="s">
        <v>26</v>
      </c>
      <c r="D48" s="9" t="s">
        <v>25</v>
      </c>
    </row>
    <row r="49" spans="1:4">
      <c r="A49" s="7" t="str">
        <f t="shared" si="1"/>
        <v>000C87E0</v>
      </c>
      <c r="B49" s="8"/>
      <c r="C49" s="7" t="s">
        <v>24</v>
      </c>
      <c r="D49" s="7" t="s">
        <v>23</v>
      </c>
    </row>
    <row r="50" spans="1:4">
      <c r="A50" s="7" t="str">
        <f t="shared" si="1"/>
        <v>000C87E4</v>
      </c>
      <c r="B50" s="8"/>
      <c r="C50" s="7" t="s">
        <v>22</v>
      </c>
      <c r="D50" s="7" t="s">
        <v>21</v>
      </c>
    </row>
    <row r="51" spans="1:4">
      <c r="A51" s="7" t="str">
        <f t="shared" si="1"/>
        <v>000C87E8</v>
      </c>
      <c r="B51" s="8"/>
      <c r="C51" s="7" t="str">
        <f>_xlfn.CONCAT("bhi 0x",A35)</f>
        <v>bhi 0x000C87A8</v>
      </c>
      <c r="D51" s="7" t="s">
        <v>20</v>
      </c>
    </row>
    <row r="52" spans="1:4">
      <c r="A52" s="5" t="str">
        <f t="shared" si="1"/>
        <v>000C87EC</v>
      </c>
      <c r="B52" s="6"/>
      <c r="C52" s="5" t="s">
        <v>19</v>
      </c>
      <c r="D52" s="5" t="s">
        <v>18</v>
      </c>
    </row>
    <row r="53" spans="1:4">
      <c r="A53" s="5" t="str">
        <f t="shared" si="1"/>
        <v>000C87F0</v>
      </c>
      <c r="B53" s="6"/>
      <c r="C53" s="5" t="str">
        <f>_xlfn.CONCAT("beq 0x",A62)</f>
        <v>beq 0x000C8814</v>
      </c>
      <c r="D53" s="5" t="s">
        <v>17</v>
      </c>
    </row>
    <row r="54" spans="1:4">
      <c r="A54" s="3" t="str">
        <f t="shared" si="1"/>
        <v>000C87F4</v>
      </c>
      <c r="B54" s="4"/>
      <c r="C54" s="3" t="s">
        <v>16</v>
      </c>
      <c r="D54" s="3" t="s">
        <v>15</v>
      </c>
    </row>
    <row r="55" spans="1:4">
      <c r="A55" s="3" t="str">
        <f t="shared" si="1"/>
        <v>000C87F8</v>
      </c>
      <c r="B55" s="4"/>
      <c r="C55" s="3" t="s">
        <v>14</v>
      </c>
      <c r="D55" s="3"/>
    </row>
    <row r="56" spans="1:4">
      <c r="A56" s="3" t="str">
        <f t="shared" si="1"/>
        <v>000C87FC</v>
      </c>
      <c r="B56" s="4"/>
      <c r="C56" s="3" t="s">
        <v>9</v>
      </c>
      <c r="D56" s="3"/>
    </row>
    <row r="57" spans="1:4">
      <c r="A57" s="1" t="str">
        <f t="shared" si="1"/>
        <v>000C8800</v>
      </c>
      <c r="B57" s="2"/>
      <c r="C57" s="1" t="s">
        <v>13</v>
      </c>
      <c r="D57" s="1" t="s">
        <v>12</v>
      </c>
    </row>
    <row r="58" spans="1:4">
      <c r="A58" s="1" t="str">
        <f t="shared" si="1"/>
        <v>000C8804</v>
      </c>
      <c r="B58" s="2"/>
      <c r="C58" s="1" t="s">
        <v>11</v>
      </c>
    </row>
    <row r="59" spans="1:4">
      <c r="A59" s="1" t="str">
        <f t="shared" si="1"/>
        <v>000C8808</v>
      </c>
      <c r="B59" s="2"/>
      <c r="C59" s="1" t="s">
        <v>10</v>
      </c>
    </row>
    <row r="60" spans="1:4">
      <c r="A60" s="1" t="str">
        <f t="shared" si="1"/>
        <v>000C880C</v>
      </c>
      <c r="B60" s="2"/>
      <c r="C60" s="1" t="s">
        <v>9</v>
      </c>
    </row>
    <row r="61" spans="1:4">
      <c r="A61" s="1" t="str">
        <f t="shared" si="1"/>
        <v>000C8810</v>
      </c>
      <c r="B61" s="2"/>
      <c r="C61" s="1" t="s">
        <v>8</v>
      </c>
      <c r="D61" s="1" t="s">
        <v>7</v>
      </c>
    </row>
    <row r="62" spans="1:4">
      <c r="A62" s="1" t="str">
        <f t="shared" si="1"/>
        <v>000C8814</v>
      </c>
      <c r="B62" s="2"/>
      <c r="C62" s="1" t="s">
        <v>6</v>
      </c>
    </row>
    <row r="63" spans="1:4">
      <c r="A63" s="1" t="str">
        <f t="shared" si="1"/>
        <v>000C8818</v>
      </c>
      <c r="B63" s="2"/>
      <c r="C63" s="1" t="str">
        <f>SUBSTITUTE(SUBSTITUTE(C3,"push","pop"),"lr","lr")</f>
        <v>pop {r4, r5, r6, r7, r8, r9, r10, lr}</v>
      </c>
    </row>
    <row r="66" spans="11:13">
      <c r="L66" s="1" t="s">
        <v>5</v>
      </c>
      <c r="M66" s="1" t="s">
        <v>4</v>
      </c>
    </row>
    <row r="67" spans="11:13">
      <c r="K67" s="1" t="s">
        <v>3</v>
      </c>
      <c r="L67" s="1">
        <v>1</v>
      </c>
      <c r="M67" s="1">
        <v>1</v>
      </c>
    </row>
    <row r="68" spans="11:13">
      <c r="K68" s="1" t="s">
        <v>2</v>
      </c>
      <c r="L68" s="1">
        <v>1</v>
      </c>
      <c r="M68" s="1">
        <v>2</v>
      </c>
    </row>
    <row r="69" spans="11:13">
      <c r="K69" s="1" t="s">
        <v>1</v>
      </c>
      <c r="L69" s="1">
        <v>2</v>
      </c>
      <c r="M69" s="1">
        <v>3</v>
      </c>
    </row>
    <row r="70" spans="11:13">
      <c r="K70" s="1" t="s">
        <v>0</v>
      </c>
      <c r="L70" s="1">
        <v>2</v>
      </c>
      <c r="M7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Aimed Punch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2026-06-04T07:09:58Z</dcterms:created>
  <dcterms:modified xsi:type="dcterms:W3CDTF">2026-06-05T01:54:42Z</dcterms:modified>
</cp:coreProperties>
</file>