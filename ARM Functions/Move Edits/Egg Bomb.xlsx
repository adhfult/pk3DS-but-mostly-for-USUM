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01CAD9E7-BA7A-4177-B50F-7AE4DC1464FC}" xr6:coauthVersionLast="47" xr6:coauthVersionMax="47" xr10:uidLastSave="{00000000-0000-0000-0000-000000000000}"/>
  <bookViews>
    <workbookView xWindow="2606" yWindow="2606" windowWidth="24685" windowHeight="13148" xr2:uid="{FFF8744C-F0B4-428F-8CA7-718350CADE02}"/>
  </bookViews>
  <sheets>
    <sheet name="Main" sheetId="6" r:id="rId1"/>
    <sheet name="Table of IDs" sheetId="1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B3" i="6"/>
  <c r="C47" i="6" l="1"/>
  <c r="C49" i="6" s="1"/>
  <c r="C26" i="6"/>
  <c r="C28" i="6" s="1"/>
  <c r="A4" i="6" l="1"/>
  <c r="A5" i="6" s="1"/>
  <c r="A6" i="6" s="1"/>
  <c r="A7" i="6" s="1"/>
  <c r="A28" i="6" l="1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C23" i="6" l="1"/>
  <c r="A31" i="6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C16" i="6"/>
  <c r="A45" i="6" l="1"/>
  <c r="A46" i="6" s="1"/>
  <c r="A47" i="6" s="1"/>
  <c r="A48" i="6" s="1"/>
  <c r="A49" i="6" s="1"/>
  <c r="C37" i="6" l="1"/>
  <c r="C44" i="6"/>
</calcChain>
</file>

<file path=xl/sharedStrings.xml><?xml version="1.0" encoding="utf-8"?>
<sst xmlns="http://schemas.openxmlformats.org/spreadsheetml/2006/main" count="919" uniqueCount="893">
  <si>
    <t>Address</t>
  </si>
  <si>
    <t>Hex</t>
  </si>
  <si>
    <t>instruction</t>
  </si>
  <si>
    <t>notes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</si>
  <si>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</si>
  <si>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</si>
  <si>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</si>
  <si>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</si>
  <si>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</si>
  <si>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</si>
  <si>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</si>
  <si>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</si>
  <si>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</si>
  <si>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</si>
  <si>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</si>
  <si>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</si>
  <si>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</si>
  <si>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</si>
  <si>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</si>
  <si>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</si>
  <si>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</si>
  <si>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</si>
  <si>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</si>
  <si>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</si>
  <si>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</si>
  <si>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</si>
  <si>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</si>
  <si>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</si>
  <si>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</si>
  <si>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</si>
  <si>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</si>
  <si>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</si>
  <si>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</si>
  <si>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</si>
  <si>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</si>
  <si>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</si>
  <si>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</si>
  <si>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</si>
  <si>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</si>
  <si>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</si>
  <si>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</si>
  <si>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</si>
  <si>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</si>
  <si>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</si>
  <si>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</si>
  <si>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</si>
  <si>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</si>
  <si>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</si>
  <si>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</si>
  <si>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</si>
  <si>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</si>
  <si>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</si>
  <si>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</si>
  <si>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</si>
  <si>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</si>
  <si>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</si>
  <si>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</si>
  <si>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</si>
  <si>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</si>
  <si>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</si>
  <si>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</si>
  <si>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</si>
  <si>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</si>
  <si>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</si>
  <si>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</si>
  <si>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</si>
  <si>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</si>
  <si>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</si>
  <si>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</si>
  <si>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</si>
  <si>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</si>
  <si>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</si>
  <si>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</si>
  <si>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</si>
  <si>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</si>
  <si>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</si>
  <si>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</si>
  <si>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</si>
  <si>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</si>
  <si>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</si>
  <si>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</si>
  <si>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</si>
  <si>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</si>
  <si>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</si>
  <si>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</si>
  <si>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</si>
  <si>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</si>
  <si>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</si>
  <si>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</si>
  <si>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</si>
  <si>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</si>
  <si>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</si>
  <si>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</si>
  <si>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</si>
  <si>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</si>
  <si>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</si>
  <si>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</si>
  <si>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</si>
  <si>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</si>
  <si>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</si>
  <si>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</si>
  <si>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</si>
  <si>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</si>
  <si>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</si>
  <si>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</si>
  <si>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</si>
  <si>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</si>
  <si>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</si>
  <si>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</si>
  <si>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</si>
  <si>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</si>
  <si>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</si>
  <si>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</si>
  <si>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</si>
  <si>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</si>
  <si>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</si>
  <si>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</si>
  <si>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</si>
  <si>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</si>
  <si>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</si>
  <si>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</si>
  <si>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</si>
  <si>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</si>
  <si>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</si>
  <si>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</si>
  <si>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</si>
  <si>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</si>
  <si>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</si>
  <si>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</si>
  <si>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</si>
  <si>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</si>
  <si>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</si>
  <si>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</si>
  <si>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</si>
  <si>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</si>
  <si>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</si>
  <si>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</si>
  <si>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</si>
  <si>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</si>
  <si>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</si>
  <si>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</si>
  <si>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</si>
  <si>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</si>
  <si>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</si>
  <si>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</si>
  <si>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</si>
  <si>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</si>
  <si>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</si>
  <si>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</si>
  <si>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</si>
  <si>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</si>
  <si>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</si>
  <si>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</si>
  <si>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</si>
  <si>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</si>
  <si>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</si>
  <si>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</si>
  <si>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</si>
  <si>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</si>
  <si>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</si>
  <si>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</si>
  <si>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</si>
  <si>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</si>
  <si>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</si>
  <si>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</si>
  <si>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</si>
  <si>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</si>
  <si>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</si>
  <si>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</si>
  <si>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</si>
  <si>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</si>
  <si>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</si>
  <si>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</si>
  <si>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</si>
  <si>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</si>
  <si>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</si>
  <si>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</si>
  <si>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</si>
  <si>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</si>
  <si>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</si>
  <si>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</si>
  <si>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</si>
  <si>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</si>
  <si>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</si>
  <si>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</si>
  <si>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</si>
  <si>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</si>
  <si>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</si>
  <si>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</si>
  <si>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</si>
  <si>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</si>
  <si>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</si>
  <si>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</si>
  <si>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</si>
  <si>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</si>
  <si>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</si>
  <si>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</si>
  <si>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</si>
  <si>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</si>
  <si>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</si>
  <si>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</si>
  <si>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</si>
  <si>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</si>
  <si>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</si>
  <si>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</si>
  <si>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</si>
  <si>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</si>
  <si>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</si>
  <si>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</si>
  <si>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</si>
  <si>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</si>
  <si>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</si>
  <si>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</si>
  <si>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</si>
  <si>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</si>
  <si>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</si>
  <si>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</si>
  <si>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</si>
  <si>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</si>
  <si>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</si>
  <si>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</si>
  <si>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</si>
  <si>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</si>
  <si>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</si>
  <si>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</si>
  <si>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</si>
  <si>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</si>
  <si>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</si>
  <si>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</si>
  <si>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</si>
  <si>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</si>
  <si>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</si>
  <si>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</si>
  <si>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</si>
  <si>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</si>
  <si>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</si>
  <si>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</si>
  <si>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</si>
  <si>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</si>
  <si>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</si>
  <si>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</si>
  <si>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</si>
  <si>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</si>
  <si>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</si>
  <si>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</si>
  <si>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</si>
  <si>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</si>
  <si>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</si>
  <si>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</si>
  <si>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</si>
  <si>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</si>
  <si>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</si>
  <si>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</si>
  <si>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</si>
  <si>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</si>
  <si>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</si>
  <si>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</si>
  <si>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</si>
  <si>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</si>
  <si>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</si>
  <si>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</si>
  <si>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</si>
  <si>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</si>
  <si>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</si>
  <si>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</si>
  <si>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</si>
  <si>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</si>
  <si>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</si>
  <si>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</si>
  <si>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</si>
  <si>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</si>
  <si>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</si>
  <si>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</si>
  <si>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</si>
  <si>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</si>
  <si>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</si>
  <si>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</si>
  <si>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</si>
  <si>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</si>
  <si>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</si>
  <si>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</si>
  <si>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</si>
  <si>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</si>
  <si>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</si>
  <si>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</si>
  <si>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</si>
  <si>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</si>
  <si>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</si>
  <si>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</si>
  <si>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</si>
  <si>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</si>
  <si>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</si>
  <si>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</si>
  <si>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</si>
  <si>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</si>
  <si>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</si>
  <si>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</si>
  <si>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</si>
  <si>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</si>
  <si>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</si>
  <si>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</si>
  <si>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</si>
  <si>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</si>
  <si>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</si>
  <si>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</si>
  <si>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</si>
  <si>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</si>
  <si>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</si>
  <si>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</si>
  <si>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</si>
  <si>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</si>
  <si>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</si>
  <si>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</si>
  <si>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</si>
  <si>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</si>
  <si>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</si>
  <si>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</si>
  <si>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</si>
  <si>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</si>
  <si>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</si>
  <si>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</si>
  <si>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</si>
  <si>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</si>
  <si>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</si>
  <si>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</si>
  <si>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</si>
  <si>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</si>
  <si>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</si>
  <si>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</si>
  <si>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</si>
  <si>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</si>
  <si>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</si>
  <si>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</si>
  <si>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</si>
  <si>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</si>
  <si>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</si>
  <si>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</si>
  <si>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</si>
  <si>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</si>
  <si>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</si>
  <si>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</si>
  <si>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</si>
  <si>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</si>
  <si>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</si>
  <si>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</si>
  <si>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</si>
  <si>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</si>
  <si>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</si>
  <si>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</si>
  <si>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</si>
  <si>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</si>
  <si>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</si>
  <si>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</si>
  <si>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</si>
  <si>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</si>
  <si>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</si>
  <si>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</si>
  <si>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</si>
  <si>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</si>
  <si>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</si>
  <si>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</si>
  <si>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</si>
  <si>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</si>
  <si>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</si>
  <si>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</si>
  <si>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</si>
  <si>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</si>
  <si>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</si>
  <si>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</si>
  <si>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</si>
  <si>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</si>
  <si>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</si>
  <si>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</si>
  <si>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</si>
  <si>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</si>
  <si>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</si>
  <si>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</si>
  <si>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</si>
  <si>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</si>
  <si>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</si>
  <si>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</si>
  <si>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</si>
  <si>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</si>
  <si>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</si>
  <si>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</si>
  <si>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</si>
  <si>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</si>
  <si>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</si>
  <si>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</si>
  <si>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</si>
  <si>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</si>
  <si>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</si>
  <si>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</si>
  <si>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</si>
  <si>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</si>
  <si>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</si>
  <si>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</si>
  <si>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</si>
  <si>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</si>
  <si>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</si>
  <si>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</si>
  <si>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</si>
  <si>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</si>
  <si>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</si>
  <si>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</si>
  <si>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</si>
  <si>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</si>
  <si>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</si>
  <si>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</si>
  <si>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</si>
  <si>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</si>
  <si>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</si>
  <si>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</si>
  <si>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</si>
  <si>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</si>
  <si>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</si>
  <si>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</si>
  <si>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</si>
  <si>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</si>
  <si>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</si>
  <si>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</si>
  <si>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</si>
  <si>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</si>
  <si>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</si>
  <si>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</si>
  <si>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</si>
  <si>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</si>
  <si>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</si>
  <si>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</si>
  <si>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</si>
  <si>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</si>
  <si>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</si>
  <si>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</si>
  <si>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</si>
  <si>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</si>
  <si>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</si>
  <si>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</si>
  <si>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</si>
  <si>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</si>
  <si>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</si>
  <si>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</si>
  <si>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</si>
  <si>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</si>
  <si>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</si>
  <si>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</si>
  <si>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</si>
  <si>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</si>
  <si>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</si>
  <si>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</si>
  <si>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</si>
  <si>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</si>
  <si>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</si>
  <si>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</si>
  <si>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</si>
  <si>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</si>
  <si>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</si>
  <si>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</si>
  <si>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</si>
  <si>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</si>
  <si>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</si>
  <si>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</si>
  <si>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</si>
  <si>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</si>
  <si>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</si>
  <si>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</si>
  <si>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</si>
  <si>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</si>
  <si>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</si>
  <si>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</si>
  <si>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</si>
  <si>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</si>
  <si>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</si>
  <si>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</si>
  <si>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</si>
  <si>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</si>
  <si>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</si>
  <si>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</si>
  <si>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</si>
  <si>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</si>
  <si>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</si>
  <si>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</si>
  <si>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</si>
  <si>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</si>
  <si>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</si>
  <si>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</si>
  <si>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</si>
  <si>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</si>
  <si>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</si>
  <si>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</si>
  <si>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</si>
  <si>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</si>
  <si>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</si>
  <si>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</si>
  <si>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</si>
  <si>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</si>
  <si>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</si>
  <si>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</si>
  <si>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</si>
  <si>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</si>
  <si>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</si>
  <si>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</si>
  <si>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</si>
  <si>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</si>
  <si>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</si>
  <si>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</si>
  <si>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</si>
  <si>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</si>
  <si>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</si>
  <si>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</si>
  <si>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</si>
  <si>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</si>
  <si>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</si>
  <si>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</si>
  <si>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</si>
  <si>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</si>
  <si>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</si>
  <si>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</si>
  <si>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</si>
  <si>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</si>
  <si>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</si>
  <si>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</si>
  <si>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</si>
  <si>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</si>
  <si>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</si>
  <si>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</si>
  <si>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</si>
  <si>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</si>
  <si>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</si>
  <si>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</si>
  <si>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</si>
  <si>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</si>
  <si>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</si>
  <si>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</si>
  <si>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</si>
  <si>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</si>
  <si>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</si>
  <si>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</si>
  <si>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</si>
  <si>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</si>
  <si>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</si>
  <si>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</si>
  <si>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</si>
  <si>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</si>
  <si>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</si>
  <si>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</si>
  <si>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</si>
  <si>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</si>
  <si>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</si>
  <si>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</si>
  <si>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</si>
  <si>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</si>
  <si>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</si>
  <si>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</si>
  <si>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</si>
  <si>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</si>
  <si>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</si>
  <si>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</si>
  <si>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</si>
  <si>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</si>
  <si>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</si>
  <si>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</si>
  <si>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</si>
  <si>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</si>
  <si>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</si>
  <si>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</si>
  <si>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</si>
  <si>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</si>
  <si>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</si>
  <si>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</si>
  <si>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</si>
  <si>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</si>
  <si>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</si>
  <si>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</si>
  <si>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</si>
  <si>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</si>
  <si>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</si>
  <si>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</si>
  <si>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</si>
  <si>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</si>
  <si>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</si>
  <si>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</si>
  <si>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</si>
  <si>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</si>
  <si>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</si>
  <si>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</si>
  <si>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</si>
  <si>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</si>
  <si>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</si>
  <si>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</si>
  <si>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</si>
  <si>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</si>
  <si>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</si>
  <si>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</si>
  <si>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</si>
  <si>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</si>
  <si>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</si>
  <si>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</si>
  <si>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</si>
  <si>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</si>
  <si>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</si>
  <si>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</si>
  <si>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</si>
  <si>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</si>
  <si>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</si>
  <si>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</si>
  <si>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</si>
  <si>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</si>
  <si>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</si>
  <si>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</si>
  <si>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</si>
  <si>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</si>
  <si>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</si>
  <si>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</si>
  <si>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</si>
  <si>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</si>
  <si>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</si>
  <si>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</si>
  <si>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</si>
  <si>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</si>
  <si>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</si>
  <si>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</si>
  <si>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</si>
  <si>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</si>
  <si>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</si>
  <si>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</si>
  <si>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</si>
  <si>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</si>
  <si>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</si>
  <si>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</si>
  <si>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</si>
  <si>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</si>
  <si>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</si>
  <si>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</si>
  <si>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</si>
  <si>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</si>
  <si>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</si>
  <si>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</si>
  <si>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</si>
  <si>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</si>
  <si>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</si>
  <si>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</si>
  <si>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</si>
  <si>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</si>
  <si>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</si>
  <si>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</si>
  <si>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</si>
  <si>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</si>
  <si>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</si>
  <si>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</si>
  <si>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</si>
  <si>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</si>
  <si>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</si>
  <si>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</si>
  <si>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</si>
  <si>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</si>
  <si>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</si>
  <si>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</si>
  <si>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</si>
  <si>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</si>
  <si>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</si>
  <si>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</si>
  <si>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</si>
  <si>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</si>
  <si>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</si>
  <si>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</si>
  <si>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</si>
  <si>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</si>
  <si>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</si>
  <si>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</si>
  <si>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</si>
  <si>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</si>
  <si>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</si>
  <si>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</si>
  <si>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</si>
  <si>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</si>
  <si>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</si>
  <si>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</si>
  <si>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</si>
  <si>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</si>
  <si>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</si>
  <si>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</si>
  <si>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</si>
  <si>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</si>
  <si>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</si>
  <si>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</si>
  <si>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</si>
  <si>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</si>
  <si>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</si>
  <si>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</si>
  <si>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</si>
  <si>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</si>
  <si>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</si>
  <si>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</si>
  <si>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</si>
  <si>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</si>
  <si>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</si>
  <si>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</si>
  <si>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</si>
  <si>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</si>
  <si>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</si>
  <si>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</si>
  <si>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</si>
  <si>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</si>
  <si>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</si>
  <si>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</si>
  <si>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</si>
  <si>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</si>
  <si>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</si>
  <si>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</si>
  <si>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</si>
  <si>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</si>
  <si>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</si>
  <si>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</si>
  <si>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</si>
  <si>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</si>
  <si>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</si>
  <si>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</si>
  <si>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</si>
  <si>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</si>
  <si>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</si>
  <si>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</si>
  <si>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</si>
  <si>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</si>
  <si>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</si>
  <si>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</si>
  <si>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</si>
  <si>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</si>
  <si>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</si>
  <si>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</si>
  <si>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</si>
  <si>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</si>
  <si>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</si>
  <si>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</si>
  <si>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</si>
  <si>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</si>
  <si>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</si>
  <si>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</si>
  <si>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</si>
  <si>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</si>
  <si>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</si>
  <si>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</si>
  <si>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</si>
  <si>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</si>
  <si>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</si>
  <si>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</si>
  <si>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</si>
  <si>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</si>
  <si>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</si>
  <si>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</si>
  <si>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</si>
  <si>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</si>
  <si>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</si>
  <si>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</si>
  <si>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</si>
  <si>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</si>
  <si>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</si>
  <si>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</si>
  <si>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</si>
  <si>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</si>
  <si>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</si>
  <si>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</si>
  <si>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</si>
  <si>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</si>
  <si>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</si>
  <si>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</si>
  <si>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</si>
  <si>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</si>
  <si>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</si>
  <si>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</si>
  <si>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</si>
  <si>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</si>
  <si>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</si>
  <si>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</si>
  <si>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</si>
  <si>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</si>
  <si>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</si>
  <si>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</si>
  <si>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</si>
  <si>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</si>
  <si>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</si>
  <si>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</si>
  <si>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</si>
  <si>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</si>
  <si>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</si>
  <si>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</si>
  <si>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</si>
  <si>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</si>
  <si>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</si>
  <si>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</si>
  <si>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</si>
  <si>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</si>
  <si>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</si>
  <si>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</si>
  <si>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</si>
  <si>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</si>
  <si>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</si>
  <si>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</si>
  <si>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</si>
  <si>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</si>
  <si>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</si>
  <si>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</si>
  <si>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</si>
  <si>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</si>
  <si>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</si>
  <si>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</si>
  <si>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</si>
  <si>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</si>
  <si>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</si>
  <si>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</si>
  <si>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</si>
  <si>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</si>
  <si>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</si>
  <si>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</si>
  <si>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</si>
  <si>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</si>
  <si>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</si>
  <si>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</si>
  <si>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</si>
  <si>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</si>
  <si>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</si>
  <si>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</si>
  <si>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</si>
  <si>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</si>
  <si>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</si>
  <si>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</si>
  <si>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</si>
  <si>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</si>
  <si>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</si>
  <si>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</si>
  <si>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</si>
  <si>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</si>
  <si>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</si>
  <si>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</si>
  <si>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</si>
  <si>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</si>
  <si>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</si>
  <si>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</si>
  <si>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</si>
  <si>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r0, 0x3</t>
  </si>
  <si>
    <t>mov r0, 0x39</t>
  </si>
  <si>
    <t>b 0x00082D44</t>
  </si>
  <si>
    <t>0300A0E3</t>
  </si>
  <si>
    <t>3900A0E3</t>
  </si>
  <si>
    <t>push {r4, r5, r6, lr}</t>
  </si>
  <si>
    <t>70402DE9</t>
  </si>
  <si>
    <t>0A00001A</t>
  </si>
  <si>
    <t>7040BDE8</t>
  </si>
  <si>
    <t>mov r5, r2</t>
  </si>
  <si>
    <t>mov r0, 0x2</t>
  </si>
  <si>
    <t>bl 0x00087B58</t>
  </si>
  <si>
    <t>cmp r0, r5</t>
  </si>
  <si>
    <t>mov r6, r1</t>
  </si>
  <si>
    <t>Check self</t>
  </si>
  <si>
    <t>mov r0, r6</t>
  </si>
  <si>
    <t>mov r1, r5</t>
  </si>
  <si>
    <t>bl 0x00092298</t>
  </si>
  <si>
    <t>Pokemon pointer to r6</t>
  </si>
  <si>
    <t>mov r1, 0xB</t>
  </si>
  <si>
    <t>mov r0, 0x19</t>
  </si>
  <si>
    <t>Check self attacker</t>
  </si>
  <si>
    <t>0250A0E1</t>
  </si>
  <si>
    <t>0160A0E1</t>
  </si>
  <si>
    <t>0200A0E3</t>
  </si>
  <si>
    <t>050050E1</t>
  </si>
  <si>
    <t>0600A0E1</t>
  </si>
  <si>
    <t>0510A0E1</t>
  </si>
  <si>
    <t>0B10A0E3</t>
  </si>
  <si>
    <t>1900A0E3</t>
  </si>
  <si>
    <t>7080BDE8</t>
  </si>
  <si>
    <t>Egg Bomb Call Function</t>
  </si>
  <si>
    <t>mov r1, 0x2</t>
  </si>
  <si>
    <t>ldr r0, [r0, 0xC]</t>
  </si>
  <si>
    <t>Get ID</t>
  </si>
  <si>
    <t>cmp r0, 0x66</t>
  </si>
  <si>
    <t>cmpne r0, 0x67</t>
  </si>
  <si>
    <t>Become Grass</t>
  </si>
  <si>
    <t>Half recovery if Exegg 0xA9</t>
  </si>
  <si>
    <t>mov r1, 0x800</t>
  </si>
  <si>
    <t>b 0x00083108</t>
  </si>
  <si>
    <t>Become Grass for Exegg 0x2D</t>
  </si>
  <si>
    <t>000FCAA8</t>
  </si>
  <si>
    <t>0010017C</t>
  </si>
  <si>
    <t>711EFEEB</t>
  </si>
  <si>
    <t>3C48FEEB</t>
  </si>
  <si>
    <t>0C0090E5</t>
  </si>
  <si>
    <t>660050E3</t>
  </si>
  <si>
    <t>67005013</t>
  </si>
  <si>
    <t>0300001A</t>
  </si>
  <si>
    <t>DF0AFEEA</t>
  </si>
  <si>
    <t>5E1EFEEB</t>
  </si>
  <si>
    <t>2948FEEB</t>
  </si>
  <si>
    <t>021BA0E3</t>
  </si>
  <si>
    <t>BD0BFEEA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</si>
</sst>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3" fillId="0" borderId="0" xfId="0" quotePrefix="1" applyFont="1"/>
    <xf numFmtId="0" fontId="3" fillId="0" borderId="0" xfId="2" applyNumberFormat="1" applyFont="1" applyAlignment="1">
      <alignment horizontal="left"/>
    </xf>
    <xf numFmtId="49" fontId="3" fillId="0" borderId="0" xfId="0" quotePrefix="1" applyNumberFormat="1" applyFont="1"/>
    <xf numFmtId="49" fontId="3" fillId="0" borderId="0" xfId="0" applyNumberFormat="1" applyFont="1"/>
    <xf numFmtId="49" fontId="4" fillId="0" borderId="0" xfId="0" quotePrefix="1" applyNumberFormat="1" applyFont="1"/>
    <xf numFmtId="49" fontId="3" fillId="3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49" fontId="3" fillId="3" borderId="0" xfId="0" quotePrefix="1" applyNumberFormat="1" applyFont="1" applyFill="1"/>
    <xf numFmtId="49" fontId="4" fillId="3" borderId="0" xfId="0" quotePrefix="1" applyNumberFormat="1" applyFont="1" applyFill="1"/>
    <xf numFmtId="49" fontId="4" fillId="2" borderId="0" xfId="0" quotePrefix="1" applyNumberFormat="1" applyFont="1" applyFill="1"/>
    <xf numFmtId="0" fontId="3" fillId="2" borderId="0" xfId="0" applyFont="1" applyFill="1"/>
    <xf numFmtId="0" fontId="4" fillId="2" borderId="0" xfId="0" applyFont="1" applyFill="1"/>
    <xf numFmtId="49" fontId="4" fillId="4" borderId="0" xfId="0" quotePrefix="1" applyNumberFormat="1" applyFont="1" applyFill="1"/>
    <xf numFmtId="0" fontId="4" fillId="4" borderId="0" xfId="0" applyFont="1" applyFill="1"/>
    <xf numFmtId="0" fontId="3" fillId="4" borderId="0" xfId="0" applyFont="1" applyFill="1"/>
    <xf numFmtId="0" fontId="4" fillId="0" borderId="0" xfId="0" applyFont="1"/>
    <xf numFmtId="10" fontId="3" fillId="0" borderId="0" xfId="1" applyNumberFormat="1" applyFont="1" applyFill="1"/>
    <xf numFmtId="49" fontId="4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I61"/>
  <sheetViews>
    <sheetView tabSelected="1" zoomScaleNormal="100" workbookViewId="0">
      <pane ySplit="1" topLeftCell="A3" activePane="bottomLeft" state="frozen"/>
      <selection pane="bottomLeft" activeCell="A9" sqref="A9:D28"/>
    </sheetView>
  </sheetViews>
  <sheetFormatPr defaultRowHeight="15.9"/>
  <cols>
    <col min="1" max="1" width="11.5" style="3" customWidth="1"/>
    <col min="2" max="2" width="8.92578125" style="7" customWidth="1"/>
    <col min="3" max="3" width="19.78515625" style="3" customWidth="1"/>
    <col min="4" max="4" width="47.28515625" style="3" customWidth="1"/>
    <col min="5" max="5" width="3.5703125" style="3" customWidth="1"/>
    <col min="6" max="6" width="12.7109375" style="3" customWidth="1"/>
    <col min="7" max="7" width="13.5703125" style="3" customWidth="1"/>
    <col min="8" max="11" width="9.140625" style="3"/>
    <col min="12" max="12" width="9.7109375" style="3" bestFit="1" customWidth="1"/>
    <col min="13" max="16384" width="9.140625" style="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" t="s">
        <v>869</v>
      </c>
      <c r="B2" s="2"/>
      <c r="C2" s="1"/>
      <c r="D2" s="1"/>
    </row>
    <row r="3" spans="1:4">
      <c r="A3" s="4" t="s">
        <v>880</v>
      </c>
      <c r="B3" s="5" t="str">
        <f>_xlfn.CONCAT("0",RIGHT(C3,1),"10A0E3")</f>
        <v>0210A0E3</v>
      </c>
      <c r="C3" s="3" t="s">
        <v>870</v>
      </c>
      <c r="D3" s="1"/>
    </row>
    <row r="4" spans="1:4">
      <c r="A4" s="3" t="str">
        <f t="shared" ref="A4:A7" si="0">DEC2HEX(HEX2DEC(A3)+4,8)</f>
        <v>000FCAAC</v>
      </c>
      <c r="B4" s="6" t="s">
        <v>831</v>
      </c>
      <c r="C4" s="3" t="s">
        <v>832</v>
      </c>
      <c r="D4" s="1"/>
    </row>
    <row r="5" spans="1:4">
      <c r="A5" s="3" t="str">
        <f t="shared" si="0"/>
        <v>000FCAB0</v>
      </c>
      <c r="B5" s="7" t="s">
        <v>833</v>
      </c>
      <c r="C5" s="3" t="s">
        <v>834</v>
      </c>
      <c r="D5" s="1"/>
    </row>
    <row r="6" spans="1:4">
      <c r="A6" s="3" t="str">
        <f t="shared" si="0"/>
        <v>000FCAB4</v>
      </c>
      <c r="B6" s="7" t="s">
        <v>835</v>
      </c>
      <c r="C6" s="3" t="s">
        <v>836</v>
      </c>
    </row>
    <row r="7" spans="1:4">
      <c r="A7" s="3" t="str">
        <f t="shared" si="0"/>
        <v>000FCAB8</v>
      </c>
      <c r="B7" s="6" t="s">
        <v>830</v>
      </c>
      <c r="C7" s="3" t="s">
        <v>837</v>
      </c>
    </row>
    <row r="8" spans="1:4">
      <c r="B8" s="2"/>
      <c r="C8" s="1"/>
      <c r="D8" s="1"/>
    </row>
    <row r="9" spans="1:4">
      <c r="A9" s="1" t="s">
        <v>879</v>
      </c>
    </row>
    <row r="10" spans="1:4">
      <c r="A10" s="3" t="s">
        <v>881</v>
      </c>
      <c r="B10" s="7" t="s">
        <v>844</v>
      </c>
      <c r="C10" s="3" t="s">
        <v>843</v>
      </c>
    </row>
    <row r="11" spans="1:4">
      <c r="A11" s="3" t="str">
        <f t="shared" ref="A11:A28" si="1">DEC2HEX(HEX2DEC(A10)+4,8)</f>
        <v>00100180</v>
      </c>
      <c r="B11" s="6" t="s">
        <v>860</v>
      </c>
      <c r="C11" s="3" t="s">
        <v>847</v>
      </c>
    </row>
    <row r="12" spans="1:4">
      <c r="A12" s="3" t="str">
        <f t="shared" si="1"/>
        <v>00100184</v>
      </c>
      <c r="B12" s="8" t="s">
        <v>861</v>
      </c>
      <c r="C12" s="3" t="s">
        <v>851</v>
      </c>
    </row>
    <row r="13" spans="1:4">
      <c r="A13" s="3" t="str">
        <f t="shared" si="1"/>
        <v>00100188</v>
      </c>
      <c r="B13" s="9" t="s">
        <v>862</v>
      </c>
      <c r="C13" s="10" t="s">
        <v>848</v>
      </c>
      <c r="D13" s="10" t="s">
        <v>852</v>
      </c>
    </row>
    <row r="14" spans="1:4">
      <c r="A14" s="3" t="str">
        <f t="shared" si="1"/>
        <v>0010018C</v>
      </c>
      <c r="B14" s="9" t="s">
        <v>882</v>
      </c>
      <c r="C14" s="11" t="s">
        <v>849</v>
      </c>
      <c r="D14" s="10"/>
    </row>
    <row r="15" spans="1:4">
      <c r="A15" s="3" t="str">
        <f t="shared" si="1"/>
        <v>00100190</v>
      </c>
      <c r="B15" s="12" t="s">
        <v>863</v>
      </c>
      <c r="C15" s="10" t="s">
        <v>850</v>
      </c>
      <c r="D15" s="10"/>
    </row>
    <row r="16" spans="1:4">
      <c r="A16" s="3" t="str">
        <f t="shared" si="1"/>
        <v>00100194</v>
      </c>
      <c r="B16" s="13" t="s">
        <v>845</v>
      </c>
      <c r="C16" s="11" t="str">
        <f>_xlfn.CONCAT("bne 0x",A$28)</f>
        <v>bne 0x001001C4</v>
      </c>
      <c r="D16" s="10"/>
    </row>
    <row r="17" spans="1:9">
      <c r="A17" s="3" t="str">
        <f t="shared" si="1"/>
        <v>00100198</v>
      </c>
      <c r="B17" s="14" t="s">
        <v>864</v>
      </c>
      <c r="C17" s="15" t="s">
        <v>853</v>
      </c>
      <c r="D17" s="15" t="s">
        <v>856</v>
      </c>
    </row>
    <row r="18" spans="1:9">
      <c r="A18" s="3" t="str">
        <f t="shared" si="1"/>
        <v>0010019C</v>
      </c>
      <c r="B18" s="14" t="s">
        <v>865</v>
      </c>
      <c r="C18" s="16" t="s">
        <v>854</v>
      </c>
      <c r="D18" s="15"/>
    </row>
    <row r="19" spans="1:9">
      <c r="A19" s="3" t="str">
        <f t="shared" si="1"/>
        <v>001001A0</v>
      </c>
      <c r="B19" s="14" t="s">
        <v>883</v>
      </c>
      <c r="C19" s="16" t="s">
        <v>855</v>
      </c>
      <c r="D19" s="15"/>
    </row>
    <row r="20" spans="1:9">
      <c r="A20" s="3" t="str">
        <f t="shared" si="1"/>
        <v>001001A4</v>
      </c>
      <c r="B20" s="17" t="s">
        <v>884</v>
      </c>
      <c r="C20" s="18" t="s">
        <v>871</v>
      </c>
      <c r="D20" s="19" t="s">
        <v>872</v>
      </c>
    </row>
    <row r="21" spans="1:9">
      <c r="A21" s="3" t="str">
        <f t="shared" si="1"/>
        <v>001001A8</v>
      </c>
      <c r="B21" s="17" t="s">
        <v>885</v>
      </c>
      <c r="C21" s="18" t="s">
        <v>873</v>
      </c>
      <c r="D21" s="19"/>
    </row>
    <row r="22" spans="1:9">
      <c r="A22" s="3" t="str">
        <f t="shared" si="1"/>
        <v>001001AC</v>
      </c>
      <c r="B22" s="17" t="s">
        <v>886</v>
      </c>
      <c r="C22" s="18" t="s">
        <v>874</v>
      </c>
      <c r="D22" s="19"/>
    </row>
    <row r="23" spans="1:9">
      <c r="A23" s="3" t="str">
        <f t="shared" si="1"/>
        <v>001001B0</v>
      </c>
      <c r="B23" s="17" t="s">
        <v>887</v>
      </c>
      <c r="C23" s="18" t="str">
        <f>_xlfn.CONCAT("bne 0x",A$28)</f>
        <v>bne 0x001001C4</v>
      </c>
      <c r="D23" s="19"/>
    </row>
    <row r="24" spans="1:9">
      <c r="A24" s="3" t="str">
        <f t="shared" si="1"/>
        <v>001001B4</v>
      </c>
      <c r="B24" s="8" t="s">
        <v>866</v>
      </c>
      <c r="C24" s="20" t="s">
        <v>857</v>
      </c>
      <c r="D24" s="3" t="s">
        <v>875</v>
      </c>
    </row>
    <row r="25" spans="1:9">
      <c r="A25" s="3" t="str">
        <f t="shared" si="1"/>
        <v>001001B8</v>
      </c>
      <c r="B25" s="8" t="s">
        <v>867</v>
      </c>
      <c r="C25" s="3" t="s">
        <v>858</v>
      </c>
    </row>
    <row r="26" spans="1:9">
      <c r="A26" s="3" t="str">
        <f t="shared" si="1"/>
        <v>001001BC</v>
      </c>
      <c r="B26" s="8" t="s">
        <v>846</v>
      </c>
      <c r="C26" s="3" t="str">
        <f>SUBSTITUTE(C10,"push","pop")</f>
        <v>pop {r4, r5, r6, lr}</v>
      </c>
    </row>
    <row r="27" spans="1:9">
      <c r="A27" s="3" t="str">
        <f t="shared" si="1"/>
        <v>001001C0</v>
      </c>
      <c r="B27" s="8" t="s">
        <v>888</v>
      </c>
      <c r="C27" s="3" t="s">
        <v>840</v>
      </c>
      <c r="I27" s="21"/>
    </row>
    <row r="28" spans="1:9">
      <c r="A28" s="3" t="str">
        <f t="shared" si="1"/>
        <v>001001C4</v>
      </c>
      <c r="B28" s="22" t="s">
        <v>868</v>
      </c>
      <c r="C28" s="3" t="str">
        <f>SUBSTITUTE(C26,"lr","pc")</f>
        <v>pop {r4, r5, r6, pc}</v>
      </c>
      <c r="I28" s="21"/>
    </row>
    <row r="29" spans="1:9">
      <c r="B29" s="22"/>
      <c r="D29" s="20"/>
    </row>
    <row r="30" spans="1:9">
      <c r="A30" s="1" t="s">
        <v>876</v>
      </c>
      <c r="B30" s="22"/>
      <c r="D30" s="20"/>
    </row>
    <row r="31" spans="1:9">
      <c r="A31" s="3" t="str">
        <f>DEC2HEX(HEX2DEC(A28)+4,8)</f>
        <v>001001C8</v>
      </c>
      <c r="B31" s="22" t="s">
        <v>844</v>
      </c>
      <c r="C31" s="3" t="s">
        <v>843</v>
      </c>
      <c r="D31" s="20"/>
    </row>
    <row r="32" spans="1:9">
      <c r="A32" s="3" t="str">
        <f t="shared" ref="A32:A44" si="2">DEC2HEX(HEX2DEC(A31)+4,8)</f>
        <v>001001CC</v>
      </c>
      <c r="B32" s="6" t="s">
        <v>860</v>
      </c>
      <c r="C32" s="3" t="s">
        <v>847</v>
      </c>
    </row>
    <row r="33" spans="1:4">
      <c r="A33" s="3" t="str">
        <f t="shared" si="2"/>
        <v>001001D0</v>
      </c>
      <c r="B33" s="8" t="s">
        <v>861</v>
      </c>
      <c r="C33" s="3" t="s">
        <v>851</v>
      </c>
    </row>
    <row r="34" spans="1:4">
      <c r="A34" s="3" t="str">
        <f t="shared" si="2"/>
        <v>001001D4</v>
      </c>
      <c r="B34" s="9" t="s">
        <v>841</v>
      </c>
      <c r="C34" s="10" t="s">
        <v>838</v>
      </c>
      <c r="D34" s="10" t="s">
        <v>859</v>
      </c>
    </row>
    <row r="35" spans="1:4">
      <c r="A35" s="3" t="str">
        <f t="shared" si="2"/>
        <v>001001D8</v>
      </c>
      <c r="B35" s="9" t="s">
        <v>889</v>
      </c>
      <c r="C35" s="11" t="s">
        <v>849</v>
      </c>
      <c r="D35" s="10"/>
    </row>
    <row r="36" spans="1:4">
      <c r="A36" s="3" t="str">
        <f t="shared" si="2"/>
        <v>001001DC</v>
      </c>
      <c r="B36" s="12" t="s">
        <v>863</v>
      </c>
      <c r="C36" s="10" t="s">
        <v>850</v>
      </c>
      <c r="D36" s="10"/>
    </row>
    <row r="37" spans="1:4">
      <c r="A37" s="3" t="str">
        <f t="shared" si="2"/>
        <v>001001E0</v>
      </c>
      <c r="B37" s="13" t="s">
        <v>845</v>
      </c>
      <c r="C37" s="11" t="str">
        <f>_xlfn.CONCAT("bne 0x",A$49)</f>
        <v>bne 0x00100210</v>
      </c>
      <c r="D37" s="10"/>
    </row>
    <row r="38" spans="1:4">
      <c r="A38" s="3" t="str">
        <f t="shared" si="2"/>
        <v>001001E4</v>
      </c>
      <c r="B38" s="14" t="s">
        <v>864</v>
      </c>
      <c r="C38" s="15" t="s">
        <v>853</v>
      </c>
      <c r="D38" s="15" t="s">
        <v>856</v>
      </c>
    </row>
    <row r="39" spans="1:4">
      <c r="A39" s="3" t="str">
        <f t="shared" si="2"/>
        <v>001001E8</v>
      </c>
      <c r="B39" s="14" t="s">
        <v>865</v>
      </c>
      <c r="C39" s="16" t="s">
        <v>854</v>
      </c>
      <c r="D39" s="15"/>
    </row>
    <row r="40" spans="1:4">
      <c r="A40" s="3" t="str">
        <f t="shared" si="2"/>
        <v>001001EC</v>
      </c>
      <c r="B40" s="14" t="s">
        <v>890</v>
      </c>
      <c r="C40" s="16" t="s">
        <v>855</v>
      </c>
      <c r="D40" s="15"/>
    </row>
    <row r="41" spans="1:4">
      <c r="A41" s="3" t="str">
        <f t="shared" si="2"/>
        <v>001001F0</v>
      </c>
      <c r="B41" s="17" t="s">
        <v>884</v>
      </c>
      <c r="C41" s="18" t="s">
        <v>871</v>
      </c>
      <c r="D41" s="19" t="s">
        <v>872</v>
      </c>
    </row>
    <row r="42" spans="1:4">
      <c r="A42" s="3" t="str">
        <f t="shared" si="2"/>
        <v>001001F4</v>
      </c>
      <c r="B42" s="17" t="s">
        <v>885</v>
      </c>
      <c r="C42" s="18" t="s">
        <v>873</v>
      </c>
      <c r="D42" s="19"/>
    </row>
    <row r="43" spans="1:4">
      <c r="A43" s="3" t="str">
        <f t="shared" si="2"/>
        <v>001001F8</v>
      </c>
      <c r="B43" s="17" t="s">
        <v>886</v>
      </c>
      <c r="C43" s="18" t="s">
        <v>874</v>
      </c>
      <c r="D43" s="19"/>
    </row>
    <row r="44" spans="1:4">
      <c r="A44" s="3" t="str">
        <f t="shared" si="2"/>
        <v>001001FC</v>
      </c>
      <c r="B44" s="17" t="s">
        <v>887</v>
      </c>
      <c r="C44" s="18" t="str">
        <f>_xlfn.CONCAT("bne 0x",A$49)</f>
        <v>bne 0x00100210</v>
      </c>
      <c r="D44" s="19"/>
    </row>
    <row r="45" spans="1:4">
      <c r="A45" s="3" t="str">
        <f t="shared" ref="A45:A49" si="3">DEC2HEX(HEX2DEC(A44)+4,8)</f>
        <v>00100200</v>
      </c>
      <c r="B45" s="8" t="s">
        <v>891</v>
      </c>
      <c r="C45" s="20" t="s">
        <v>877</v>
      </c>
    </row>
    <row r="46" spans="1:4">
      <c r="A46" s="3" t="str">
        <f t="shared" si="3"/>
        <v>00100204</v>
      </c>
      <c r="B46" s="8" t="s">
        <v>842</v>
      </c>
      <c r="C46" s="20" t="s">
        <v>839</v>
      </c>
    </row>
    <row r="47" spans="1:4">
      <c r="A47" s="3" t="str">
        <f t="shared" si="3"/>
        <v>00100208</v>
      </c>
      <c r="B47" s="8" t="s">
        <v>846</v>
      </c>
      <c r="C47" s="3" t="str">
        <f>SUBSTITUTE(C31,"push","pop")</f>
        <v>pop {r4, r5, r6, lr}</v>
      </c>
    </row>
    <row r="48" spans="1:4">
      <c r="A48" s="3" t="str">
        <f t="shared" si="3"/>
        <v>0010020C</v>
      </c>
      <c r="B48" s="8" t="s">
        <v>892</v>
      </c>
      <c r="C48" s="20" t="s">
        <v>878</v>
      </c>
    </row>
    <row r="49" spans="1:3">
      <c r="A49" s="3" t="str">
        <f t="shared" si="3"/>
        <v>00100210</v>
      </c>
      <c r="B49" s="8" t="s">
        <v>868</v>
      </c>
      <c r="C49" s="3" t="str">
        <f>SUBSTITUTE(C47,"lr","pc")</f>
        <v>pop {r4, r5, r6, pc}</v>
      </c>
    </row>
    <row r="56" spans="1:3">
      <c r="B56" s="6"/>
    </row>
    <row r="61" spans="1:3">
      <c r="B6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E18" sqref="E18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2026-06-07T22:51:56Z</dcterms:modified>
</cp:coreProperties>
</file>