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Move Edits\"/>
    </mc:Choice>
  </mc:AlternateContent>
  <xr:revisionPtr revIDLastSave="0" documentId="13_ncr:1_{E4510AF6-8A3E-44E2-A2CC-6F1FB42924D0}" xr6:coauthVersionLast="47" xr6:coauthVersionMax="47" xr10:uidLastSave="{00000000-0000-0000-0000-000000000000}"/>
  <bookViews>
    <workbookView xWindow="-16457" yWindow="0" windowWidth="16457" windowHeight="17914" xr2:uid="{FFF8744C-F0B4-428F-8CA7-718350CADE02}"/>
  </bookViews>
  <sheets>
    <sheet name="code" sheetId="12" r:id="rId1"/>
  </sheets>
  <calcPr calcId="191029" iterate="1" iterateCount="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2" l="1"/>
  <c r="C37" i="12" s="1"/>
  <c r="A14" i="12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l="1"/>
  <c r="A34" i="12" s="1"/>
  <c r="A35" i="12" s="1"/>
  <c r="A36" i="12" s="1"/>
  <c r="A37" i="12" s="1"/>
  <c r="B3" i="12"/>
  <c r="C23" i="12" l="1"/>
  <c r="C19" i="12"/>
  <c r="A4" i="12"/>
  <c r="A5" i="12" s="1"/>
  <c r="A6" i="12" s="1"/>
  <c r="A7" i="12" s="1"/>
</calcChain>
</file>

<file path=xl/sharedStrings.xml><?xml version="1.0" encoding="utf-8"?>
<sst xmlns="http://schemas.openxmlformats.org/spreadsheetml/2006/main" count="70" uniqueCount="70">
  <si>
    <t>Address</t>
  </si>
  <si>
    <t>Hex</t>
  </si>
  <si>
    <t>instruction</t>
  </si>
  <si>
    <t>notes</t>
  </si>
  <si>
    <t>00000000</t>
  </si>
  <si>
    <t>001080E5</t>
  </si>
  <si>
    <t>str r1, [r0]</t>
  </si>
  <si>
    <t>00009FE5</t>
  </si>
  <si>
    <t>ldr r0, [pc]</t>
  </si>
  <si>
    <t>1EFF2FE1</t>
  </si>
  <si>
    <t>bx lr</t>
  </si>
  <si>
    <t>mov r4, r2</t>
  </si>
  <si>
    <t>mov r0, 0x3</t>
  </si>
  <si>
    <t>b 0x00082D44</t>
  </si>
  <si>
    <t>0240A0E1</t>
  </si>
  <si>
    <t>0300A0E3</t>
  </si>
  <si>
    <t>mov r5, r1</t>
  </si>
  <si>
    <t>0150A0E1</t>
  </si>
  <si>
    <t>cmp r0, r4</t>
  </si>
  <si>
    <t>040050E1</t>
  </si>
  <si>
    <t>mov r1, r4</t>
  </si>
  <si>
    <t>0410A0E1</t>
  </si>
  <si>
    <t>bl 0x00087B58</t>
  </si>
  <si>
    <t>0500A0E1</t>
  </si>
  <si>
    <t>mov r0, r5</t>
  </si>
  <si>
    <t>bl 0x00092298</t>
  </si>
  <si>
    <t>get pointer to self</t>
  </si>
  <si>
    <t xml:space="preserve">bl 0x00087B58 </t>
  </si>
  <si>
    <t>Check self attacker</t>
  </si>
  <si>
    <t>010050E3</t>
  </si>
  <si>
    <t>cmp r0, 0x1</t>
  </si>
  <si>
    <t>bl 0x000D6F98</t>
  </si>
  <si>
    <t>check if is Mega or Ultra</t>
  </si>
  <si>
    <t>push {r4, r5, lr}</t>
  </si>
  <si>
    <t>1800A0E3</t>
  </si>
  <si>
    <t>mov r0, 0x18</t>
  </si>
  <si>
    <t>get current Type (1/2 from phase 4E/4F)</t>
  </si>
  <si>
    <t>mov r1, 0x1</t>
  </si>
  <si>
    <t>mov r0, 0x50</t>
  </si>
  <si>
    <t>ignore immunity</t>
  </si>
  <si>
    <t>30402DE9</t>
  </si>
  <si>
    <t>3040BDE8</t>
  </si>
  <si>
    <t>3080BDE8</t>
  </si>
  <si>
    <t>0110A0E3</t>
  </si>
  <si>
    <t>5000A0E3</t>
  </si>
  <si>
    <t>Psystrike Call Function</t>
  </si>
  <si>
    <t>Use target Physical Defense 0x49</t>
  </si>
  <si>
    <t>000C8C8C</t>
  </si>
  <si>
    <t>check is Dark</t>
  </si>
  <si>
    <t>cmp r0, 0x10</t>
  </si>
  <si>
    <t>bl 0x00082D44</t>
  </si>
  <si>
    <t>moveq r1, 0x8</t>
  </si>
  <si>
    <t>movne r1, 0x7</t>
  </si>
  <si>
    <t>mov r0, 0x3D</t>
  </si>
  <si>
    <t>001013D8</t>
  </si>
  <si>
    <t>mov r1, 0x3</t>
  </si>
  <si>
    <t>00102638</t>
  </si>
  <si>
    <t>Neutral on Dark, SE if self Mega/Ultra 0x4E/0x4F</t>
  </si>
  <si>
    <t>4215FEEB</t>
  </si>
  <si>
    <t>1000001A</t>
  </si>
  <si>
    <t>3E15FEEB</t>
  </si>
  <si>
    <t>100050E3</t>
  </si>
  <si>
    <t>0C00001A</t>
  </si>
  <si>
    <t>093FFEEB</t>
  </si>
  <si>
    <t>B101FEEB</t>
  </si>
  <si>
    <t>4552FFEB</t>
  </si>
  <si>
    <t>0810A003</t>
  </si>
  <si>
    <t>0710A013</t>
  </si>
  <si>
    <t>3D00A0E3</t>
  </si>
  <si>
    <t>AA01FEEA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</si>
</sst>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3" fillId="3" borderId="0" xfId="0" applyFont="1" applyFill="1"/>
    <xf numFmtId="0" fontId="2" fillId="5" borderId="0" xfId="0" applyFont="1" applyFill="1"/>
    <xf numFmtId="0" fontId="2" fillId="4" borderId="0" xfId="0" applyFont="1" applyFill="1"/>
    <xf numFmtId="0" fontId="2" fillId="4" borderId="0" xfId="0" quotePrefix="1" applyFont="1" applyFill="1"/>
    <xf numFmtId="0" fontId="2" fillId="3" borderId="0" xfId="0" quotePrefix="1" applyFont="1" applyFill="1"/>
    <xf numFmtId="49" fontId="3" fillId="0" borderId="0" xfId="0" applyNumberFormat="1" applyFont="1"/>
    <xf numFmtId="0" fontId="0" fillId="6" borderId="0" xfId="0" applyFill="1"/>
    <xf numFmtId="0" fontId="0" fillId="6" borderId="0" xfId="0" quotePrefix="1" applyFill="1"/>
    <xf numFmtId="0" fontId="4" fillId="6" borderId="0" xfId="0" quotePrefix="1" applyFont="1" applyFill="1"/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47EB-EDD1-4FB4-BA08-1D454B2F7DD3}">
  <dimension ref="A1:D37"/>
  <sheetViews>
    <sheetView tabSelected="1" zoomScale="85" zoomScaleNormal="85" workbookViewId="0">
      <pane ySplit="1" topLeftCell="A2" activePane="bottomLeft" state="frozen"/>
      <selection pane="bottomLeft" activeCell="B13" sqref="B13:B37"/>
    </sheetView>
  </sheetViews>
  <sheetFormatPr defaultColWidth="9.2109375" defaultRowHeight="15.9"/>
  <cols>
    <col min="1" max="1" width="12.2109375" style="2" customWidth="1"/>
    <col min="2" max="2" width="10.640625" style="2" bestFit="1" customWidth="1"/>
    <col min="3" max="3" width="19.640625" style="2" bestFit="1" customWidth="1"/>
    <col min="4" max="4" width="87.7109375" style="2" bestFit="1" customWidth="1"/>
    <col min="5" max="5" width="3.640625" style="2" customWidth="1"/>
    <col min="6" max="6" width="12.7109375" style="2" customWidth="1"/>
    <col min="7" max="7" width="13.640625" style="2" customWidth="1"/>
    <col min="8" max="11" width="9.2109375" style="2"/>
    <col min="12" max="12" width="9.7109375" style="2" bestFit="1" customWidth="1"/>
    <col min="13" max="16384" width="9.210937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45</v>
      </c>
      <c r="B2" s="1"/>
      <c r="C2" s="1"/>
      <c r="D2" s="1"/>
    </row>
    <row r="3" spans="1:4">
      <c r="A3" s="2" t="s">
        <v>54</v>
      </c>
      <c r="B3" s="2" t="str">
        <f>_xlfn.CONCAT("0",RIGHT(C3,1),"10A0E3")</f>
        <v>0310A0E3</v>
      </c>
      <c r="C3" s="2" t="s">
        <v>55</v>
      </c>
      <c r="D3" s="1"/>
    </row>
    <row r="4" spans="1:4">
      <c r="A4" s="2" t="str">
        <f t="shared" ref="A4:A7" si="0">DEC2HEX(HEX2DEC(A3)+4,8)</f>
        <v>001013DC</v>
      </c>
      <c r="B4" s="3" t="s">
        <v>5</v>
      </c>
      <c r="C4" s="2" t="s">
        <v>6</v>
      </c>
      <c r="D4" s="1"/>
    </row>
    <row r="5" spans="1:4">
      <c r="A5" s="2" t="str">
        <f t="shared" si="0"/>
        <v>001013E0</v>
      </c>
      <c r="B5" s="2" t="s">
        <v>7</v>
      </c>
      <c r="C5" s="2" t="s">
        <v>8</v>
      </c>
      <c r="D5" s="1"/>
    </row>
    <row r="6" spans="1:4">
      <c r="A6" s="2" t="str">
        <f t="shared" si="0"/>
        <v>001013E4</v>
      </c>
      <c r="B6" s="2" t="s">
        <v>9</v>
      </c>
      <c r="C6" s="2" t="s">
        <v>10</v>
      </c>
    </row>
    <row r="7" spans="1:4">
      <c r="A7" s="2" t="str">
        <f t="shared" si="0"/>
        <v>001013E8</v>
      </c>
      <c r="B7" s="3" t="s">
        <v>4</v>
      </c>
    </row>
    <row r="8" spans="1:4">
      <c r="B8" s="3"/>
    </row>
    <row r="9" spans="1:4">
      <c r="A9" s="1" t="s">
        <v>46</v>
      </c>
    </row>
    <row r="10" spans="1:4">
      <c r="A10" s="2" t="s">
        <v>47</v>
      </c>
    </row>
    <row r="12" spans="1:4">
      <c r="A12" s="1" t="s">
        <v>57</v>
      </c>
      <c r="B12" s="12"/>
    </row>
    <row r="13" spans="1:4">
      <c r="A13" s="3" t="s">
        <v>56</v>
      </c>
      <c r="B13" s="2" t="s">
        <v>40</v>
      </c>
      <c r="C13" s="2" t="s">
        <v>33</v>
      </c>
    </row>
    <row r="14" spans="1:4">
      <c r="A14" s="2" t="str">
        <f t="shared" ref="A14:A37" si="1">DEC2HEX(HEX2DEC(A13)+4,8)</f>
        <v>0010263C</v>
      </c>
      <c r="B14" s="2" t="s">
        <v>14</v>
      </c>
      <c r="C14" s="2" t="s">
        <v>11</v>
      </c>
    </row>
    <row r="15" spans="1:4">
      <c r="A15" s="2" t="str">
        <f t="shared" si="1"/>
        <v>00102640</v>
      </c>
      <c r="B15" s="2" t="s">
        <v>17</v>
      </c>
      <c r="C15" s="2" t="s">
        <v>16</v>
      </c>
    </row>
    <row r="16" spans="1:4">
      <c r="A16" s="6" t="str">
        <f t="shared" si="1"/>
        <v>00102644</v>
      </c>
      <c r="B16" s="6" t="s">
        <v>15</v>
      </c>
      <c r="C16" s="6" t="s">
        <v>12</v>
      </c>
      <c r="D16" s="6" t="s">
        <v>28</v>
      </c>
    </row>
    <row r="17" spans="1:4">
      <c r="A17" s="6" t="str">
        <f t="shared" si="1"/>
        <v>00102648</v>
      </c>
      <c r="B17" s="6" t="s">
        <v>58</v>
      </c>
      <c r="C17" s="7" t="s">
        <v>22</v>
      </c>
      <c r="D17" s="6"/>
    </row>
    <row r="18" spans="1:4">
      <c r="A18" s="6" t="str">
        <f t="shared" si="1"/>
        <v>0010264C</v>
      </c>
      <c r="B18" s="11" t="s">
        <v>19</v>
      </c>
      <c r="C18" s="6" t="s">
        <v>18</v>
      </c>
      <c r="D18" s="6"/>
    </row>
    <row r="19" spans="1:4">
      <c r="A19" s="6" t="str">
        <f t="shared" si="1"/>
        <v>00102650</v>
      </c>
      <c r="B19" s="6" t="s">
        <v>59</v>
      </c>
      <c r="C19" s="7" t="str">
        <f>_xlfn.CONCAT("bne 0x",A$37)</f>
        <v>bne 0x00102698</v>
      </c>
      <c r="D19" s="6"/>
    </row>
    <row r="20" spans="1:4">
      <c r="A20" s="13" t="str">
        <f t="shared" si="1"/>
        <v>00102654</v>
      </c>
      <c r="B20" s="13" t="s">
        <v>34</v>
      </c>
      <c r="C20" s="13" t="s">
        <v>35</v>
      </c>
      <c r="D20" s="13" t="s">
        <v>36</v>
      </c>
    </row>
    <row r="21" spans="1:4">
      <c r="A21" s="13" t="str">
        <f t="shared" si="1"/>
        <v>00102658</v>
      </c>
      <c r="B21" s="14" t="s">
        <v>60</v>
      </c>
      <c r="C21" s="13" t="s">
        <v>27</v>
      </c>
      <c r="D21" s="13"/>
    </row>
    <row r="22" spans="1:4">
      <c r="A22" s="13" t="str">
        <f t="shared" si="1"/>
        <v>0010265C</v>
      </c>
      <c r="B22" s="15" t="s">
        <v>61</v>
      </c>
      <c r="C22" s="16" t="s">
        <v>49</v>
      </c>
      <c r="D22" s="13" t="s">
        <v>48</v>
      </c>
    </row>
    <row r="23" spans="1:4">
      <c r="A23" s="13" t="str">
        <f t="shared" si="1"/>
        <v>00102660</v>
      </c>
      <c r="B23" s="15" t="s">
        <v>62</v>
      </c>
      <c r="C23" s="13" t="str">
        <f>_xlfn.CONCAT("bne 0x",A$37)</f>
        <v>bne 0x00102698</v>
      </c>
      <c r="D23" s="13"/>
    </row>
    <row r="24" spans="1:4">
      <c r="A24" s="4" t="str">
        <f t="shared" si="1"/>
        <v>00102664</v>
      </c>
      <c r="B24" s="4" t="s">
        <v>21</v>
      </c>
      <c r="C24" s="4" t="s">
        <v>20</v>
      </c>
      <c r="D24" s="4" t="s">
        <v>26</v>
      </c>
    </row>
    <row r="25" spans="1:4">
      <c r="A25" s="4" t="str">
        <f t="shared" si="1"/>
        <v>00102668</v>
      </c>
      <c r="B25" s="4" t="s">
        <v>23</v>
      </c>
      <c r="C25" s="4" t="s">
        <v>24</v>
      </c>
      <c r="D25" s="4"/>
    </row>
    <row r="26" spans="1:4">
      <c r="A26" s="4" t="str">
        <f t="shared" si="1"/>
        <v>0010266C</v>
      </c>
      <c r="B26" s="5" t="s">
        <v>63</v>
      </c>
      <c r="C26" s="4" t="s">
        <v>25</v>
      </c>
      <c r="D26" s="4"/>
    </row>
    <row r="27" spans="1:4">
      <c r="A27" s="8" t="str">
        <f t="shared" si="1"/>
        <v>00102670</v>
      </c>
      <c r="B27" s="8" t="s">
        <v>43</v>
      </c>
      <c r="C27" s="8" t="s">
        <v>37</v>
      </c>
      <c r="D27" s="8" t="s">
        <v>39</v>
      </c>
    </row>
    <row r="28" spans="1:4">
      <c r="A28" s="8" t="str">
        <f t="shared" si="1"/>
        <v>00102674</v>
      </c>
      <c r="B28" s="8" t="s">
        <v>44</v>
      </c>
      <c r="C28" s="8" t="s">
        <v>38</v>
      </c>
      <c r="D28" s="8"/>
    </row>
    <row r="29" spans="1:4">
      <c r="A29" s="8" t="str">
        <f t="shared" si="1"/>
        <v>00102678</v>
      </c>
      <c r="B29" s="8" t="s">
        <v>64</v>
      </c>
      <c r="C29" s="8" t="s">
        <v>50</v>
      </c>
      <c r="D29" s="8"/>
    </row>
    <row r="30" spans="1:4">
      <c r="A30" s="9" t="str">
        <f t="shared" si="1"/>
        <v>0010267C</v>
      </c>
      <c r="B30" s="9" t="s">
        <v>65</v>
      </c>
      <c r="C30" s="9" t="s">
        <v>31</v>
      </c>
      <c r="D30" s="9" t="s">
        <v>32</v>
      </c>
    </row>
    <row r="31" spans="1:4">
      <c r="A31" s="9" t="str">
        <f t="shared" si="1"/>
        <v>00102680</v>
      </c>
      <c r="B31" s="10" t="s">
        <v>29</v>
      </c>
      <c r="C31" s="9" t="s">
        <v>30</v>
      </c>
      <c r="D31" s="9"/>
    </row>
    <row r="32" spans="1:4">
      <c r="A32" s="9" t="str">
        <f t="shared" si="1"/>
        <v>00102684</v>
      </c>
      <c r="B32" s="9" t="s">
        <v>66</v>
      </c>
      <c r="C32" s="9" t="s">
        <v>51</v>
      </c>
      <c r="D32" s="9"/>
    </row>
    <row r="33" spans="1:4">
      <c r="A33" s="9" t="str">
        <f t="shared" si="1"/>
        <v>00102688</v>
      </c>
      <c r="B33" s="9" t="s">
        <v>67</v>
      </c>
      <c r="C33" s="9" t="s">
        <v>52</v>
      </c>
      <c r="D33" s="9"/>
    </row>
    <row r="34" spans="1:4">
      <c r="A34" s="9" t="str">
        <f t="shared" si="1"/>
        <v>0010268C</v>
      </c>
      <c r="B34" s="9" t="s">
        <v>68</v>
      </c>
      <c r="C34" s="9" t="s">
        <v>53</v>
      </c>
      <c r="D34" s="9"/>
    </row>
    <row r="35" spans="1:4">
      <c r="A35" s="2" t="str">
        <f t="shared" si="1"/>
        <v>00102690</v>
      </c>
      <c r="B35" s="2" t="s">
        <v>41</v>
      </c>
      <c r="C35" s="2" t="str">
        <f>SUBSTITUTE(C13,"push","pop")</f>
        <v>pop {r4, r5, lr}</v>
      </c>
    </row>
    <row r="36" spans="1:4">
      <c r="A36" s="2" t="str">
        <f t="shared" si="1"/>
        <v>00102694</v>
      </c>
      <c r="B36" s="2" t="s">
        <v>69</v>
      </c>
      <c r="C36" s="2" t="s">
        <v>13</v>
      </c>
    </row>
    <row r="37" spans="1:4">
      <c r="A37" s="2" t="str">
        <f t="shared" si="1"/>
        <v>00102698</v>
      </c>
      <c r="B37" s="2" t="s">
        <v>42</v>
      </c>
      <c r="C37" s="2" t="str">
        <f>SUBSTITUTE(C35,"lr","pc")</f>
        <v>pop {r4, r5, pc}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2026-05-03T19:48:40Z</dcterms:modified>
</cp:coreProperties>
</file>