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B502070A-A72B-42EA-ABD5-99454A2FB84F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34" i="1"/>
  <c r="C39" i="1"/>
  <c r="C22" i="1"/>
  <c r="C41" i="1"/>
  <c r="C43" i="1" s="1"/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l="1"/>
  <c r="A41" i="1" s="1"/>
  <c r="A42" i="1" s="1"/>
  <c r="A43" i="1" s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<sst xmlns="http://schemas.openxmlformats.org/spreadsheetml/2006/main" count="80" uniqueCount="70">
  <si>
    <t>7080BDE8</t>
  </si>
  <si>
    <t>push {r4, r5, r6, lr}</t>
  </si>
  <si>
    <t>70402DE9</t>
  </si>
  <si>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</si>
  <si>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</si>
  <si>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</si>
  <si>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</si>
  <si>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</si>
  <si>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</si>
  <si>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</si>
  <si>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</si>
  <si>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</si>
  <si>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</si>
  <si>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</si>
  <si>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</si>
  <si>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</si>
  <si>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ldrh r0, [r0, 0xC]</t>
  </si>
  <si>
    <t>check species</t>
  </si>
  <si>
    <t>BC00D0E1</t>
  </si>
  <si>
    <t>7040BDE8</t>
  </si>
  <si>
    <t>Get pointer to self</t>
  </si>
  <si>
    <t>mov r0, r1</t>
  </si>
  <si>
    <t>mov r1, r2</t>
  </si>
  <si>
    <t>mov r5, r2</t>
  </si>
  <si>
    <t>mov r4, r0</t>
  </si>
  <si>
    <t>mov r0, r4</t>
  </si>
  <si>
    <t>bl 0x00088874</t>
  </si>
  <si>
    <t>cmp r0, 0x1</t>
  </si>
  <si>
    <t>mov r1, 0x10</t>
  </si>
  <si>
    <t>Check Dark</t>
  </si>
  <si>
    <t>0100A0E1</t>
  </si>
  <si>
    <t>0210A0E1</t>
  </si>
  <si>
    <t>0250A0E1</t>
  </si>
  <si>
    <t>0040A0E1</t>
  </si>
  <si>
    <t>0400A0E1</t>
  </si>
  <si>
    <t>010050E3</t>
  </si>
  <si>
    <t>1010A0E3</t>
  </si>
  <si>
    <t>Check Dragon</t>
  </si>
  <si>
    <t>mov r1, 0xF</t>
  </si>
  <si>
    <t>Check Flying</t>
  </si>
  <si>
    <t>mov r1, 0x2</t>
  </si>
  <si>
    <t>Salamence</t>
  </si>
  <si>
    <t>sub r0, r0, 0x100</t>
  </si>
  <si>
    <t>subs r0, r0, 0x75</t>
  </si>
  <si>
    <t>000D6FE8</t>
  </si>
  <si>
    <t>010C40E2</t>
  </si>
  <si>
    <t>750050E2</t>
  </si>
  <si>
    <t>00102948</t>
  </si>
  <si>
    <t>4E3EFEEB</t>
  </si>
  <si>
    <t>0F10A0E3</t>
  </si>
  <si>
    <t>BD17FEEB</t>
  </si>
  <si>
    <t>B717FEEB</t>
  </si>
  <si>
    <t>0210A0E3</t>
  </si>
  <si>
    <t>B117FEEB</t>
  </si>
  <si>
    <t>00102848</t>
  </si>
  <si>
    <t>Immune to Psychic if Mega/Ultra/Primal 0x3A</t>
  </si>
  <si>
    <t>mov r0, 0x2</t>
  </si>
  <si>
    <t>movne r6, 0x10</t>
  </si>
  <si>
    <t>movne r0, 0xF</t>
  </si>
  <si>
    <t>1300001A</t>
  </si>
  <si>
    <t>0F00A013</t>
  </si>
  <si>
    <t>0B00001A</t>
  </si>
  <si>
    <t>1060A013</t>
  </si>
  <si>
    <t>0500001A</t>
  </si>
  <si>
    <t>0200000A</t>
  </si>
  <si>
    <t>0200A0E3</t>
  </si>
  <si>
    <t>b 0x00103208</t>
  </si>
  <si>
    <t>110200EA</t>
  </si>
  <si>
    <t>mov r1, 0x7</t>
  </si>
  <si>
    <t>Add Dragon/Dark/Flying 0x4E/0x4F/0x54/0x6A/0x6D/0xA7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</si>
</sst>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3" borderId="0" xfId="0" quotePrefix="1" applyFont="1" applyFill="1"/>
    <xf numFmtId="0" fontId="2" fillId="2" borderId="0" xfId="0" applyFont="1" applyFill="1"/>
    <xf numFmtId="0" fontId="2" fillId="2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6" borderId="0" xfId="0" applyFont="1" applyFill="1"/>
    <xf numFmtId="0" fontId="2" fillId="5" borderId="0" xfId="0" quotePrefix="1" applyFont="1" applyFill="1"/>
    <xf numFmtId="0" fontId="2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43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8.42578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6</v>
      </c>
      <c r="B1" s="1" t="s">
        <v>5</v>
      </c>
      <c r="C1" s="1" t="s">
        <v>4</v>
      </c>
      <c r="D1" s="1" t="s">
        <v>3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Salamencite Call Function</v>
      </c>
      <c r="B2" s="1"/>
      <c r="C2" s="1"/>
      <c r="D2" s="1"/>
    </row>
    <row r="3" spans="1:4">
      <c r="A3" s="3" t="s">
        <v>44</v>
      </c>
      <c r="B3" s="2" t="str">
        <f>_xlfn.CONCAT("0",RIGHT(C3,1),"10A0E3")</f>
        <v>0710A0E3</v>
      </c>
      <c r="C3" s="2" t="s">
        <v>68</v>
      </c>
      <c r="D3" s="1"/>
    </row>
    <row r="4" spans="1:4">
      <c r="A4" s="2" t="str">
        <f t="shared" ref="A4:A6" si="0">DEC2HEX(HEX2DEC(A3)+4,8)</f>
        <v>000D6FEC</v>
      </c>
      <c r="B4" s="3" t="s">
        <v>7</v>
      </c>
      <c r="C4" s="2" t="s">
        <v>8</v>
      </c>
      <c r="D4" s="1"/>
    </row>
    <row r="5" spans="1:4">
      <c r="A5" s="2" t="str">
        <f t="shared" si="0"/>
        <v>000D6FF0</v>
      </c>
      <c r="B5" s="2" t="s">
        <v>9</v>
      </c>
      <c r="C5" s="2" t="s">
        <v>10</v>
      </c>
      <c r="D5" s="1"/>
    </row>
    <row r="6" spans="1:4">
      <c r="A6" s="2" t="str">
        <f t="shared" si="0"/>
        <v>000D6FF4</v>
      </c>
      <c r="B6" s="2" t="s">
        <v>11</v>
      </c>
      <c r="C6" s="2" t="s">
        <v>12</v>
      </c>
      <c r="D6" s="1"/>
    </row>
    <row r="7" spans="1:4">
      <c r="A7" s="2" t="str">
        <f>DEC2HEX(HEX2DEC(A6)+4,8)</f>
        <v>000D6FF8</v>
      </c>
      <c r="B7" s="3" t="s">
        <v>13</v>
      </c>
      <c r="C7" s="2" t="s">
        <v>14</v>
      </c>
      <c r="D7" s="1"/>
    </row>
    <row r="9" spans="1:4">
      <c r="A9" s="1" t="s">
        <v>55</v>
      </c>
    </row>
    <row r="10" spans="1:4">
      <c r="A10" s="3" t="s">
        <v>54</v>
      </c>
    </row>
    <row r="12" spans="1:4">
      <c r="A12" s="1" t="s">
        <v>69</v>
      </c>
    </row>
    <row r="13" spans="1:4">
      <c r="A13" s="2" t="s">
        <v>47</v>
      </c>
      <c r="B13" s="2" t="s">
        <v>2</v>
      </c>
      <c r="C13" s="2" t="s">
        <v>1</v>
      </c>
    </row>
    <row r="14" spans="1:4">
      <c r="A14" s="2" t="str">
        <f t="shared" ref="A14:A43" si="1">DEC2HEX(HEX2DEC(A13)+4,8)</f>
        <v>0010294C</v>
      </c>
      <c r="B14" s="2" t="s">
        <v>32</v>
      </c>
      <c r="C14" s="2" t="s">
        <v>23</v>
      </c>
    </row>
    <row r="15" spans="1:4">
      <c r="A15" s="6" t="str">
        <f t="shared" si="1"/>
        <v>00102950</v>
      </c>
      <c r="B15" s="6" t="s">
        <v>30</v>
      </c>
      <c r="C15" s="6" t="s">
        <v>21</v>
      </c>
      <c r="D15" s="6" t="s">
        <v>20</v>
      </c>
    </row>
    <row r="16" spans="1:4">
      <c r="A16" s="6" t="str">
        <f t="shared" si="1"/>
        <v>00102954</v>
      </c>
      <c r="B16" s="6" t="s">
        <v>31</v>
      </c>
      <c r="C16" s="6" t="s">
        <v>22</v>
      </c>
      <c r="D16" s="6"/>
    </row>
    <row r="17" spans="1:4">
      <c r="A17" s="6" t="str">
        <f t="shared" si="1"/>
        <v>00102958</v>
      </c>
      <c r="B17" s="7" t="s">
        <v>48</v>
      </c>
      <c r="C17" s="6" t="s">
        <v>15</v>
      </c>
      <c r="D17" s="6"/>
    </row>
    <row r="18" spans="1:4">
      <c r="A18" s="6" t="str">
        <f t="shared" si="1"/>
        <v>0010295C</v>
      </c>
      <c r="B18" s="6" t="s">
        <v>33</v>
      </c>
      <c r="C18" s="6" t="s">
        <v>24</v>
      </c>
      <c r="D18" s="6"/>
    </row>
    <row r="19" spans="1:4">
      <c r="A19" s="4" t="str">
        <f t="shared" si="1"/>
        <v>00102960</v>
      </c>
      <c r="B19" s="4" t="s">
        <v>18</v>
      </c>
      <c r="C19" s="4" t="s">
        <v>16</v>
      </c>
      <c r="D19" s="4" t="s">
        <v>17</v>
      </c>
    </row>
    <row r="20" spans="1:4">
      <c r="A20" s="4" t="str">
        <f t="shared" si="1"/>
        <v>00102964</v>
      </c>
      <c r="B20" s="5" t="s">
        <v>45</v>
      </c>
      <c r="C20" s="4" t="s">
        <v>42</v>
      </c>
      <c r="D20" s="4" t="s">
        <v>41</v>
      </c>
    </row>
    <row r="21" spans="1:4">
      <c r="A21" s="4" t="str">
        <f t="shared" si="1"/>
        <v>00102968</v>
      </c>
      <c r="B21" s="5" t="s">
        <v>46</v>
      </c>
      <c r="C21" s="4" t="s">
        <v>43</v>
      </c>
      <c r="D21" s="4"/>
    </row>
    <row r="22" spans="1:4">
      <c r="A22" s="4" t="str">
        <f t="shared" si="1"/>
        <v>0010296C</v>
      </c>
      <c r="B22" s="5" t="s">
        <v>59</v>
      </c>
      <c r="C22" s="4" t="str">
        <f>_xlfn.CONCAT("bne 0x",A43)</f>
        <v>bne 0x001029C0</v>
      </c>
      <c r="D22" s="4"/>
    </row>
    <row r="23" spans="1:4">
      <c r="A23" s="8" t="str">
        <f t="shared" si="1"/>
        <v>00102970</v>
      </c>
      <c r="B23" s="9" t="s">
        <v>34</v>
      </c>
      <c r="C23" s="8" t="s">
        <v>25</v>
      </c>
      <c r="D23" s="8" t="s">
        <v>37</v>
      </c>
    </row>
    <row r="24" spans="1:4">
      <c r="A24" s="8" t="str">
        <f t="shared" si="1"/>
        <v>00102974</v>
      </c>
      <c r="B24" s="8" t="s">
        <v>49</v>
      </c>
      <c r="C24" s="8" t="s">
        <v>38</v>
      </c>
      <c r="D24" s="8"/>
    </row>
    <row r="25" spans="1:4">
      <c r="A25" s="8" t="str">
        <f t="shared" si="1"/>
        <v>00102978</v>
      </c>
      <c r="B25" s="8" t="s">
        <v>50</v>
      </c>
      <c r="C25" s="8" t="s">
        <v>26</v>
      </c>
      <c r="D25" s="8"/>
    </row>
    <row r="26" spans="1:4">
      <c r="A26" s="8" t="str">
        <f t="shared" si="1"/>
        <v>0010297C</v>
      </c>
      <c r="B26" s="9" t="s">
        <v>35</v>
      </c>
      <c r="C26" s="8" t="s">
        <v>27</v>
      </c>
      <c r="D26" s="8"/>
    </row>
    <row r="27" spans="1:4">
      <c r="A27" s="8" t="str">
        <f t="shared" si="1"/>
        <v>00102980</v>
      </c>
      <c r="B27" s="8" t="s">
        <v>60</v>
      </c>
      <c r="C27" s="8" t="s">
        <v>58</v>
      </c>
      <c r="D27" s="8"/>
    </row>
    <row r="28" spans="1:4">
      <c r="A28" s="8" t="str">
        <f t="shared" si="1"/>
        <v>00102984</v>
      </c>
      <c r="B28" s="8" t="s">
        <v>61</v>
      </c>
      <c r="C28" s="8" t="str">
        <f>_xlfn.CONCAT("bne 0x",A41)</f>
        <v>bne 0x001029B8</v>
      </c>
      <c r="D28" s="8"/>
    </row>
    <row r="29" spans="1:4">
      <c r="A29" s="10" t="str">
        <f t="shared" si="1"/>
        <v>00102988</v>
      </c>
      <c r="B29" s="10" t="s">
        <v>34</v>
      </c>
      <c r="C29" s="10" t="s">
        <v>25</v>
      </c>
      <c r="D29" s="10" t="s">
        <v>29</v>
      </c>
    </row>
    <row r="30" spans="1:4">
      <c r="A30" s="10" t="str">
        <f t="shared" si="1"/>
        <v>0010298C</v>
      </c>
      <c r="B30" s="10" t="s">
        <v>36</v>
      </c>
      <c r="C30" s="10" t="s">
        <v>28</v>
      </c>
      <c r="D30" s="10"/>
    </row>
    <row r="31" spans="1:4">
      <c r="A31" s="10" t="str">
        <f t="shared" si="1"/>
        <v>00102990</v>
      </c>
      <c r="B31" s="10" t="s">
        <v>51</v>
      </c>
      <c r="C31" s="10" t="s">
        <v>26</v>
      </c>
      <c r="D31" s="10"/>
    </row>
    <row r="32" spans="1:4">
      <c r="A32" s="10" t="str">
        <f t="shared" si="1"/>
        <v>00102994</v>
      </c>
      <c r="B32" s="12" t="s">
        <v>35</v>
      </c>
      <c r="C32" s="10" t="s">
        <v>27</v>
      </c>
      <c r="D32" s="10"/>
    </row>
    <row r="33" spans="1:4">
      <c r="A33" s="10" t="str">
        <f t="shared" si="1"/>
        <v>00102998</v>
      </c>
      <c r="B33" s="10" t="s">
        <v>62</v>
      </c>
      <c r="C33" s="10" t="s">
        <v>57</v>
      </c>
      <c r="D33" s="10"/>
    </row>
    <row r="34" spans="1:4">
      <c r="A34" s="10" t="str">
        <f t="shared" si="1"/>
        <v>0010299C</v>
      </c>
      <c r="B34" s="10" t="s">
        <v>63</v>
      </c>
      <c r="C34" s="10" t="str">
        <f>_xlfn.CONCAT("bne 0x",A41)</f>
        <v>bne 0x001029B8</v>
      </c>
      <c r="D34" s="10"/>
    </row>
    <row r="35" spans="1:4">
      <c r="A35" s="11" t="str">
        <f t="shared" si="1"/>
        <v>001029A0</v>
      </c>
      <c r="B35" s="11" t="s">
        <v>34</v>
      </c>
      <c r="C35" s="11" t="s">
        <v>25</v>
      </c>
      <c r="D35" s="11" t="s">
        <v>39</v>
      </c>
    </row>
    <row r="36" spans="1:4">
      <c r="A36" s="11" t="str">
        <f t="shared" si="1"/>
        <v>001029A4</v>
      </c>
      <c r="B36" s="11" t="s">
        <v>52</v>
      </c>
      <c r="C36" s="11" t="s">
        <v>40</v>
      </c>
      <c r="D36" s="11"/>
    </row>
    <row r="37" spans="1:4">
      <c r="A37" s="11" t="str">
        <f t="shared" si="1"/>
        <v>001029A8</v>
      </c>
      <c r="B37" s="11" t="s">
        <v>53</v>
      </c>
      <c r="C37" s="11" t="s">
        <v>26</v>
      </c>
      <c r="D37" s="11"/>
    </row>
    <row r="38" spans="1:4">
      <c r="A38" s="11" t="str">
        <f t="shared" si="1"/>
        <v>001029AC</v>
      </c>
      <c r="B38" s="13" t="s">
        <v>35</v>
      </c>
      <c r="C38" s="11" t="s">
        <v>27</v>
      </c>
      <c r="D38" s="11"/>
    </row>
    <row r="39" spans="1:4">
      <c r="A39" s="11" t="str">
        <f t="shared" si="1"/>
        <v>001029B0</v>
      </c>
      <c r="B39" s="11" t="s">
        <v>64</v>
      </c>
      <c r="C39" s="11" t="str">
        <f>_xlfn.CONCAT("beq 0x",A43)</f>
        <v>beq 0x001029C0</v>
      </c>
      <c r="D39" s="11"/>
    </row>
    <row r="40" spans="1:4">
      <c r="A40" s="11" t="str">
        <f t="shared" si="1"/>
        <v>001029B4</v>
      </c>
      <c r="B40" s="11" t="s">
        <v>65</v>
      </c>
      <c r="C40" s="11" t="s">
        <v>56</v>
      </c>
      <c r="D40" s="11"/>
    </row>
    <row r="41" spans="1:4">
      <c r="A41" s="2" t="str">
        <f t="shared" si="1"/>
        <v>001029B8</v>
      </c>
      <c r="B41" s="2" t="s">
        <v>19</v>
      </c>
      <c r="C41" s="2" t="str">
        <f>SUBSTITUTE(C13,"push","pop")</f>
        <v>pop {r4, r5, r6, lr}</v>
      </c>
    </row>
    <row r="42" spans="1:4">
      <c r="A42" s="2" t="str">
        <f t="shared" si="1"/>
        <v>001029BC</v>
      </c>
      <c r="B42" s="2" t="s">
        <v>67</v>
      </c>
      <c r="C42" s="2" t="s">
        <v>66</v>
      </c>
    </row>
    <row r="43" spans="1:4">
      <c r="A43" s="2" t="str">
        <f t="shared" si="1"/>
        <v>001029C0</v>
      </c>
      <c r="B43" s="2" t="s">
        <v>0</v>
      </c>
      <c r="C43" s="2" t="str">
        <f>SUBSTITUTE(C41,"lr","pc")</f>
        <v>pop {r4, r5, r6,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2026-05-17T07:23:54Z</dcterms:modified>
</cp:coreProperties>
</file>