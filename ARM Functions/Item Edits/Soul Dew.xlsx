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C981FCB6-C314-41A7-B22B-5A24A1E62246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6" l="1"/>
  <c r="C31" i="6"/>
  <c r="C29" i="6"/>
  <c r="C26" i="6" s="1"/>
  <c r="A35" i="6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4" i="6"/>
  <c r="A5" i="6" s="1"/>
  <c r="A6" i="6" s="1"/>
  <c r="A7" i="6" s="1"/>
  <c r="B3" i="6"/>
  <c r="A2" i="6" a="1"/>
  <c r="A2" i="6" s="1"/>
  <c r="A36" i="6" l="1"/>
  <c r="A37" i="6" s="1"/>
  <c r="A38" i="6" s="1"/>
  <c r="A39" i="6" s="1"/>
  <c r="A40" i="6" s="1"/>
  <c r="A41" i="6" s="1"/>
  <c r="A42" i="6" s="1"/>
  <c r="A43" i="6" s="1"/>
  <c r="A44" i="6" s="1"/>
  <c r="C21" i="6"/>
  <c r="A22" i="6"/>
  <c r="A23" i="6" s="1"/>
  <c r="A24" i="6" s="1"/>
  <c r="A25" i="6" s="1"/>
  <c r="A26" i="6" s="1"/>
  <c r="A27" i="6" s="1"/>
  <c r="A28" i="6" s="1"/>
  <c r="A29" i="6" s="1"/>
  <c r="A30" i="6" s="1"/>
  <c r="A31" i="6" s="1"/>
  <c r="C17" i="6" l="1"/>
  <c r="C2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<sst xmlns="http://schemas.openxmlformats.org/spreadsheetml/2006/main" count="90" uniqueCount="84">
  <si>
    <t>Address</t>
  </si>
  <si>
    <t>Hex</t>
  </si>
  <si>
    <t>instruction</t>
  </si>
  <si>
    <t>notes</t>
  </si>
  <si>
    <t>bx lr</t>
  </si>
  <si>
    <t>1EFF2FE1</t>
  </si>
  <si>
    <t>andeq r0, r0, r0</t>
  </si>
  <si>
    <t>00000000</t>
  </si>
  <si>
    <t>001080E5</t>
  </si>
  <si>
    <t>str r1, [r0]</t>
  </si>
  <si>
    <t>00009FE5</t>
  </si>
  <si>
    <t>ldr r0, [pc]</t>
  </si>
  <si>
    <t>0100A0E1</t>
  </si>
  <si>
    <t>mov r0, r1</t>
  </si>
  <si>
    <t>Get pointer to self</t>
  </si>
  <si>
    <t>0210A0E1</t>
  </si>
  <si>
    <t>mov r1, r2</t>
  </si>
  <si>
    <t>bl 0x00092298</t>
  </si>
  <si>
    <t>bl 0x000D6F98</t>
  </si>
  <si>
    <t>Mega gets Shell Bell</t>
  </si>
  <si>
    <t>push {r0, r1, r2, r4, lr}</t>
  </si>
  <si>
    <t>mov r4, r0</t>
  </si>
  <si>
    <t>cmp r1, 0x1</t>
  </si>
  <si>
    <t>is Mega</t>
  </si>
  <si>
    <t>cmp r9, 0xA0</t>
  </si>
  <si>
    <t>beq 0x000BB14C</t>
  </si>
  <si>
    <t>otherwise not mega, effect depends on species</t>
  </si>
  <si>
    <t>ldrb r1, [r4, 0xC]</t>
  </si>
  <si>
    <t>sub r1, r1, 0x100</t>
  </si>
  <si>
    <t>subs r1, r1, 0x7C</t>
  </si>
  <si>
    <t>Latias</t>
  </si>
  <si>
    <t>Latios</t>
  </si>
  <si>
    <t>b 0x000CAE34</t>
  </si>
  <si>
    <t>cmpeq r9, 0x4B</t>
  </si>
  <si>
    <t>if no valid match or matched Latios and wrong timing, exit</t>
  </si>
  <si>
    <t>mov r1, 0x7</t>
  </si>
  <si>
    <t>000BE3C0</t>
  </si>
  <si>
    <t>If Shell Bell Timing, do that</t>
  </si>
  <si>
    <t>cmp r9, 0x5F</t>
  </si>
  <si>
    <t>cmp r9, 0x67</t>
  </si>
  <si>
    <t>0x5F</t>
  </si>
  <si>
    <t>0x67</t>
  </si>
  <si>
    <t>beq 0x000D7E90</t>
  </si>
  <si>
    <t>cmp r9, 0x84</t>
  </si>
  <si>
    <t>0x7B</t>
  </si>
  <si>
    <t>0x84</t>
  </si>
  <si>
    <t>0x9D</t>
  </si>
  <si>
    <t>beq 0x000D9420</t>
  </si>
  <si>
    <t>Covert Cloak handling 0x5F/0x67/0x7B/0x84/0x9D</t>
  </si>
  <si>
    <t>Switch Marvelous Cloak, Shell Bell, 0x4B/0xA0, Covert Cloak 0x5F/0x67/0x7B/0x84/0x9D</t>
  </si>
  <si>
    <t>beq 0x000D8948</t>
  </si>
  <si>
    <t>cmp r9, 0x7B</t>
  </si>
  <si>
    <t>beq 0x000D7ECC</t>
  </si>
  <si>
    <t>cmp r9, 0x9D</t>
  </si>
  <si>
    <t>beq 0x000DC718</t>
  </si>
  <si>
    <t>00090B28</t>
  </si>
  <si>
    <t>17402DE9</t>
  </si>
  <si>
    <t>D70500EB</t>
  </si>
  <si>
    <t>0040A0E1</t>
  </si>
  <si>
    <t>151901EB</t>
  </si>
  <si>
    <t>010051E3</t>
  </si>
  <si>
    <t>0900000A</t>
  </si>
  <si>
    <t>0C10D4E5</t>
  </si>
  <si>
    <t>011C41E2</t>
  </si>
  <si>
    <t>7C1051E2</t>
  </si>
  <si>
    <t>1740BD08</t>
  </si>
  <si>
    <t>4B005903</t>
  </si>
  <si>
    <t>0400001A</t>
  </si>
  <si>
    <t>B0E800EA</t>
  </si>
  <si>
    <t>A00059E3</t>
  </si>
  <si>
    <t>73A9000A</t>
  </si>
  <si>
    <t>1780BDE8</t>
  </si>
  <si>
    <t>000B2984</t>
  </si>
  <si>
    <t>8987000A</t>
  </si>
  <si>
    <t>5F0059E3</t>
  </si>
  <si>
    <t>EE97000A</t>
  </si>
  <si>
    <t>670059E3</t>
  </si>
  <si>
    <t>3E95000A</t>
  </si>
  <si>
    <t>7B0059E3</t>
  </si>
  <si>
    <t>4B95000A</t>
  </si>
  <si>
    <t>840059E3</t>
  </si>
  <si>
    <t>9E9A000A</t>
  </si>
  <si>
    <t>9D0059E3</t>
  </si>
  <si>
    <t>5AA7000A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</si>
</sst>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0" borderId="0" xfId="0" applyFont="1" applyFill="1"/>
    <xf numFmtId="0" fontId="2" fillId="0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Fill="1"/>
    <xf numFmtId="11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K68"/>
  <sheetViews>
    <sheetView tabSelected="1" zoomScaleNormal="100" workbookViewId="0">
      <pane ySplit="1" topLeftCell="A8" activePane="bottomLeft" state="frozen"/>
      <selection pane="bottomLeft" activeCell="D15" sqref="D15"/>
    </sheetView>
  </sheetViews>
  <sheetFormatPr defaultRowHeight="15.9"/>
  <cols>
    <col min="1" max="1" width="9.140625" style="8"/>
    <col min="2" max="2" width="9.35546875" style="8" bestFit="1" customWidth="1"/>
    <col min="3" max="3" width="28.92578125" style="8" bestFit="1" customWidth="1"/>
    <col min="4" max="4" width="63.85546875" style="8" bestFit="1" customWidth="1"/>
    <col min="5" max="16384" width="9.140625" style="8"/>
  </cols>
  <sheetData>
    <row r="1" spans="1:6" s="3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6" s="3" customFormat="1">
      <c r="A2" s="1" t="str" cm="1">
        <f t="array" aca="1" ref="A2" ca="1">SUBSTITUTE(MID(CELL("filename"),SEARCH("[",CELL("filename"))+1,SEARCH("]",CELL("filename"))-SEARCH("[",CELL("filename"))-1),".xlsx","")&amp;" Call Function"</f>
        <v>Soul Dew Call Function</v>
      </c>
      <c r="B2" s="1"/>
      <c r="C2" s="1"/>
      <c r="D2" s="1"/>
    </row>
    <row r="3" spans="1:6" s="3" customFormat="1">
      <c r="A3" s="2" t="s">
        <v>36</v>
      </c>
      <c r="B3" s="3" t="str">
        <f>_xlfn.CONCAT("0",RIGHT(C3,1),"10A0E3")</f>
        <v>0710A0E3</v>
      </c>
      <c r="C3" s="3" t="s">
        <v>35</v>
      </c>
      <c r="D3" s="1"/>
    </row>
    <row r="4" spans="1:6" s="3" customFormat="1">
      <c r="A4" s="3" t="str">
        <f t="shared" ref="A4:A6" si="0">DEC2HEX(HEX2DEC(A3)+4,8)</f>
        <v>000BE3C4</v>
      </c>
      <c r="B4" s="2" t="s">
        <v>8</v>
      </c>
      <c r="C4" s="3" t="s">
        <v>9</v>
      </c>
      <c r="D4" s="1"/>
    </row>
    <row r="5" spans="1:6" s="3" customFormat="1">
      <c r="A5" s="3" t="str">
        <f t="shared" si="0"/>
        <v>000BE3C8</v>
      </c>
      <c r="B5" s="3" t="s">
        <v>10</v>
      </c>
      <c r="C5" s="3" t="s">
        <v>11</v>
      </c>
      <c r="D5" s="1"/>
    </row>
    <row r="6" spans="1:6" s="3" customFormat="1">
      <c r="A6" s="3" t="str">
        <f t="shared" si="0"/>
        <v>000BE3CC</v>
      </c>
      <c r="B6" s="3" t="s">
        <v>5</v>
      </c>
      <c r="C6" s="3" t="s">
        <v>4</v>
      </c>
      <c r="D6" s="1"/>
    </row>
    <row r="7" spans="1:6" s="3" customFormat="1">
      <c r="A7" s="3" t="str">
        <f>DEC2HEX(HEX2DEC(A6)+4,8)</f>
        <v>000BE3D0</v>
      </c>
      <c r="B7" s="2" t="s">
        <v>7</v>
      </c>
      <c r="C7" s="3" t="s">
        <v>6</v>
      </c>
      <c r="D7" s="1"/>
      <c r="E7" s="16"/>
      <c r="F7" s="16"/>
    </row>
    <row r="8" spans="1:6" s="3" customFormat="1">
      <c r="E8" s="16"/>
      <c r="F8" s="16"/>
    </row>
    <row r="9" spans="1:6" s="3" customFormat="1">
      <c r="A9" s="1" t="s">
        <v>49</v>
      </c>
      <c r="E9" s="16"/>
      <c r="F9" s="16"/>
    </row>
    <row r="10" spans="1:6" s="3" customFormat="1">
      <c r="A10" s="2" t="s">
        <v>55</v>
      </c>
      <c r="B10" s="3" t="s">
        <v>56</v>
      </c>
      <c r="C10" s="3" t="s">
        <v>20</v>
      </c>
      <c r="E10" s="16"/>
      <c r="F10" s="16"/>
    </row>
    <row r="11" spans="1:6" s="3" customFormat="1">
      <c r="A11" s="4" t="str">
        <f t="shared" ref="A11:A31" si="1">DEC2HEX(HEX2DEC(A10)+4,8)</f>
        <v>00090B2C</v>
      </c>
      <c r="B11" s="4" t="s">
        <v>12</v>
      </c>
      <c r="C11" s="4" t="s">
        <v>13</v>
      </c>
      <c r="D11" s="4" t="s">
        <v>14</v>
      </c>
      <c r="F11" s="16"/>
    </row>
    <row r="12" spans="1:6" s="3" customFormat="1">
      <c r="A12" s="4" t="str">
        <f t="shared" si="1"/>
        <v>00090B30</v>
      </c>
      <c r="B12" s="4" t="s">
        <v>15</v>
      </c>
      <c r="C12" s="4" t="s">
        <v>16</v>
      </c>
      <c r="D12" s="4"/>
      <c r="E12" s="16"/>
      <c r="F12" s="16"/>
    </row>
    <row r="13" spans="1:6" s="3" customFormat="1">
      <c r="A13" s="4" t="str">
        <f t="shared" si="1"/>
        <v>00090B34</v>
      </c>
      <c r="B13" s="5" t="s">
        <v>57</v>
      </c>
      <c r="C13" s="4" t="s">
        <v>17</v>
      </c>
      <c r="D13" s="4"/>
    </row>
    <row r="14" spans="1:6" s="3" customFormat="1">
      <c r="A14" s="4" t="str">
        <f t="shared" si="1"/>
        <v>00090B38</v>
      </c>
      <c r="B14" s="5" t="s">
        <v>58</v>
      </c>
      <c r="C14" s="4" t="s">
        <v>21</v>
      </c>
      <c r="D14" s="4"/>
    </row>
    <row r="15" spans="1:6" s="3" customFormat="1">
      <c r="A15" s="10" t="str">
        <f t="shared" si="1"/>
        <v>00090B3C</v>
      </c>
      <c r="B15" s="11" t="s">
        <v>59</v>
      </c>
      <c r="C15" s="10" t="s">
        <v>18</v>
      </c>
      <c r="D15" s="10" t="s">
        <v>23</v>
      </c>
    </row>
    <row r="16" spans="1:6" s="3" customFormat="1">
      <c r="A16" s="10" t="str">
        <f t="shared" si="1"/>
        <v>00090B40</v>
      </c>
      <c r="B16" s="11" t="s">
        <v>60</v>
      </c>
      <c r="C16" s="10" t="s">
        <v>22</v>
      </c>
      <c r="D16" s="10" t="s">
        <v>19</v>
      </c>
    </row>
    <row r="17" spans="1:6" s="3" customFormat="1">
      <c r="A17" s="12" t="str">
        <f t="shared" si="1"/>
        <v>00090B44</v>
      </c>
      <c r="B17" s="13" t="s">
        <v>61</v>
      </c>
      <c r="C17" s="12" t="str">
        <f>_xlfn.CONCAT("beq 0x",A28)</f>
        <v>beq 0x00090B70</v>
      </c>
      <c r="D17" s="12"/>
    </row>
    <row r="18" spans="1:6" s="3" customFormat="1">
      <c r="A18" s="8" t="str">
        <f t="shared" si="1"/>
        <v>00090B48</v>
      </c>
      <c r="B18" s="9" t="s">
        <v>62</v>
      </c>
      <c r="C18" s="8" t="s">
        <v>27</v>
      </c>
      <c r="D18" s="8" t="s">
        <v>26</v>
      </c>
    </row>
    <row r="19" spans="1:6" s="3" customFormat="1">
      <c r="A19" s="8" t="str">
        <f t="shared" si="1"/>
        <v>00090B4C</v>
      </c>
      <c r="B19" s="9" t="s">
        <v>63</v>
      </c>
      <c r="C19" s="8" t="s">
        <v>28</v>
      </c>
      <c r="D19" s="8"/>
    </row>
    <row r="20" spans="1:6" s="3" customFormat="1">
      <c r="A20" s="8" t="str">
        <f t="shared" si="1"/>
        <v>00090B50</v>
      </c>
      <c r="B20" s="9" t="s">
        <v>64</v>
      </c>
      <c r="C20" s="8" t="s">
        <v>29</v>
      </c>
      <c r="D20" s="8"/>
    </row>
    <row r="21" spans="1:6" s="3" customFormat="1">
      <c r="A21" s="14" t="str">
        <f t="shared" si="1"/>
        <v>00090B54</v>
      </c>
      <c r="B21" s="15" t="s">
        <v>65</v>
      </c>
      <c r="C21" s="14" t="str">
        <f>C29</f>
        <v>popeq {r0, r1, r2, r4, lr}</v>
      </c>
      <c r="D21" s="14" t="s">
        <v>30</v>
      </c>
    </row>
    <row r="22" spans="1:6" s="3" customFormat="1">
      <c r="A22" s="14" t="str">
        <f t="shared" si="1"/>
        <v>00090B58</v>
      </c>
      <c r="B22" s="15" t="s">
        <v>73</v>
      </c>
      <c r="C22" s="14" t="str">
        <f>_xlfn.CONCAT("beq 0x",A34)</f>
        <v>beq 0x000B2984</v>
      </c>
      <c r="D22" s="14"/>
    </row>
    <row r="23" spans="1:6" s="3" customFormat="1">
      <c r="A23" s="6" t="str">
        <f t="shared" si="1"/>
        <v>00090B5C</v>
      </c>
      <c r="B23" s="7" t="s">
        <v>60</v>
      </c>
      <c r="C23" s="6" t="s">
        <v>22</v>
      </c>
      <c r="D23" s="6" t="s">
        <v>31</v>
      </c>
    </row>
    <row r="24" spans="1:6" s="3" customFormat="1">
      <c r="A24" s="6" t="str">
        <f t="shared" si="1"/>
        <v>00090B60</v>
      </c>
      <c r="B24" s="7" t="s">
        <v>66</v>
      </c>
      <c r="C24" s="6" t="s">
        <v>33</v>
      </c>
      <c r="D24" s="6"/>
    </row>
    <row r="25" spans="1:6" s="3" customFormat="1">
      <c r="A25" s="6" t="str">
        <f t="shared" si="1"/>
        <v>00090B64</v>
      </c>
      <c r="B25" s="7" t="s">
        <v>67</v>
      </c>
      <c r="C25" s="6" t="str">
        <f>_xlfn.CONCAT("bne 0x",A31)</f>
        <v>bne 0x00090B7C</v>
      </c>
      <c r="D25" s="6" t="s">
        <v>34</v>
      </c>
      <c r="E25" s="17"/>
    </row>
    <row r="26" spans="1:6" s="3" customFormat="1">
      <c r="A26" s="6" t="str">
        <f t="shared" si="1"/>
        <v>00090B68</v>
      </c>
      <c r="B26" s="7" t="s">
        <v>65</v>
      </c>
      <c r="C26" s="6" t="str">
        <f>C29</f>
        <v>popeq {r0, r1, r2, r4, lr}</v>
      </c>
      <c r="D26" s="6"/>
      <c r="E26" s="17"/>
      <c r="F26" s="17"/>
    </row>
    <row r="27" spans="1:6" s="3" customFormat="1">
      <c r="A27" s="6" t="str">
        <f t="shared" si="1"/>
        <v>00090B6C</v>
      </c>
      <c r="B27" s="7" t="s">
        <v>68</v>
      </c>
      <c r="C27" s="6" t="s">
        <v>32</v>
      </c>
      <c r="D27" s="6"/>
      <c r="E27" s="17"/>
      <c r="F27" s="17"/>
    </row>
    <row r="28" spans="1:6" s="3" customFormat="1">
      <c r="A28" s="12" t="str">
        <f t="shared" si="1"/>
        <v>00090B70</v>
      </c>
      <c r="B28" s="13" t="s">
        <v>69</v>
      </c>
      <c r="C28" s="12" t="s">
        <v>24</v>
      </c>
      <c r="D28" s="12" t="s">
        <v>37</v>
      </c>
    </row>
    <row r="29" spans="1:6" s="3" customFormat="1">
      <c r="A29" s="12" t="str">
        <f t="shared" si="1"/>
        <v>00090B74</v>
      </c>
      <c r="B29" s="12" t="s">
        <v>65</v>
      </c>
      <c r="C29" s="12" t="str">
        <f>SUBSTITUTE(C10,"push","popeq")</f>
        <v>popeq {r0, r1, r2, r4, lr}</v>
      </c>
      <c r="D29" s="12"/>
      <c r="F29" s="17"/>
    </row>
    <row r="30" spans="1:6" s="3" customFormat="1">
      <c r="A30" s="12" t="str">
        <f t="shared" si="1"/>
        <v>00090B78</v>
      </c>
      <c r="B30" s="12" t="s">
        <v>70</v>
      </c>
      <c r="C30" s="12" t="s">
        <v>25</v>
      </c>
      <c r="D30" s="12"/>
    </row>
    <row r="31" spans="1:6" s="3" customFormat="1">
      <c r="A31" s="8" t="str">
        <f t="shared" si="1"/>
        <v>00090B7C</v>
      </c>
      <c r="B31" s="3" t="s">
        <v>71</v>
      </c>
      <c r="C31" s="3" t="str">
        <f>SUBSTITUTE(SUBSTITUTE(C10,"push","pop"),"lr","pc")</f>
        <v>pop {r0, r1, r2, r4, pc}</v>
      </c>
    </row>
    <row r="32" spans="1:6">
      <c r="A32" s="3"/>
      <c r="B32" s="3"/>
      <c r="C32" s="3"/>
      <c r="D32" s="3"/>
    </row>
    <row r="33" spans="1:4">
      <c r="A33" s="1" t="s">
        <v>48</v>
      </c>
      <c r="B33" s="3"/>
      <c r="C33" s="3"/>
      <c r="D33" s="3"/>
    </row>
    <row r="34" spans="1:4">
      <c r="A34" s="9" t="s">
        <v>72</v>
      </c>
      <c r="B34" s="8" t="s">
        <v>74</v>
      </c>
      <c r="C34" s="8" t="s">
        <v>38</v>
      </c>
    </row>
    <row r="35" spans="1:4">
      <c r="A35" s="8" t="str">
        <f t="shared" ref="A35:A44" si="2">DEC2HEX(HEX2DEC(A34)+4,8)</f>
        <v>000B2988</v>
      </c>
      <c r="B35" s="8" t="s">
        <v>75</v>
      </c>
      <c r="C35" s="8" t="s">
        <v>50</v>
      </c>
      <c r="D35" s="8" t="s">
        <v>40</v>
      </c>
    </row>
    <row r="36" spans="1:4">
      <c r="A36" s="8" t="str">
        <f t="shared" si="2"/>
        <v>000B298C</v>
      </c>
      <c r="B36" s="9" t="s">
        <v>76</v>
      </c>
      <c r="C36" s="8" t="s">
        <v>39</v>
      </c>
    </row>
    <row r="37" spans="1:4">
      <c r="A37" s="8" t="str">
        <f t="shared" si="2"/>
        <v>000B2990</v>
      </c>
      <c r="B37" s="20" t="s">
        <v>77</v>
      </c>
      <c r="C37" s="8" t="s">
        <v>42</v>
      </c>
      <c r="D37" s="8" t="s">
        <v>41</v>
      </c>
    </row>
    <row r="38" spans="1:4">
      <c r="A38" s="8" t="str">
        <f t="shared" si="2"/>
        <v>000B2994</v>
      </c>
      <c r="B38" s="9" t="s">
        <v>78</v>
      </c>
      <c r="C38" s="8" t="s">
        <v>51</v>
      </c>
    </row>
    <row r="39" spans="1:4">
      <c r="A39" s="8" t="str">
        <f t="shared" si="2"/>
        <v>000B2998</v>
      </c>
      <c r="B39" s="9" t="s">
        <v>79</v>
      </c>
      <c r="C39" s="8" t="s">
        <v>52</v>
      </c>
      <c r="D39" s="8" t="s">
        <v>44</v>
      </c>
    </row>
    <row r="40" spans="1:4">
      <c r="A40" s="8" t="str">
        <f t="shared" si="2"/>
        <v>000B299C</v>
      </c>
      <c r="B40" s="9" t="s">
        <v>80</v>
      </c>
      <c r="C40" s="8" t="s">
        <v>43</v>
      </c>
    </row>
    <row r="41" spans="1:4">
      <c r="A41" s="8" t="str">
        <f t="shared" si="2"/>
        <v>000B29A0</v>
      </c>
      <c r="B41" s="9" t="s">
        <v>81</v>
      </c>
      <c r="C41" s="8" t="s">
        <v>47</v>
      </c>
      <c r="D41" s="8" t="s">
        <v>45</v>
      </c>
    </row>
    <row r="42" spans="1:4">
      <c r="A42" s="8" t="str">
        <f t="shared" si="2"/>
        <v>000B29A4</v>
      </c>
      <c r="B42" s="9" t="s">
        <v>82</v>
      </c>
      <c r="C42" s="8" t="s">
        <v>53</v>
      </c>
    </row>
    <row r="43" spans="1:4">
      <c r="A43" s="8" t="str">
        <f t="shared" si="2"/>
        <v>000B29A8</v>
      </c>
      <c r="B43" s="9" t="s">
        <v>83</v>
      </c>
      <c r="C43" s="8" t="s">
        <v>54</v>
      </c>
      <c r="D43" s="8" t="s">
        <v>46</v>
      </c>
    </row>
    <row r="44" spans="1:4">
      <c r="A44" s="8" t="str">
        <f t="shared" si="2"/>
        <v>000B29AC</v>
      </c>
      <c r="B44" s="9" t="s">
        <v>5</v>
      </c>
      <c r="C44" s="8" t="s">
        <v>4</v>
      </c>
    </row>
    <row r="45" spans="1:4">
      <c r="B45" s="9"/>
    </row>
    <row r="46" spans="1:4">
      <c r="B46" s="9"/>
    </row>
    <row r="47" spans="1:4">
      <c r="B47" s="9"/>
    </row>
    <row r="48" spans="1:4">
      <c r="B48" s="9"/>
    </row>
    <row r="49" spans="2:11">
      <c r="B49" s="9"/>
    </row>
    <row r="50" spans="2:11">
      <c r="B50" s="9"/>
    </row>
    <row r="51" spans="2:11">
      <c r="B51" s="9"/>
    </row>
    <row r="52" spans="2:11">
      <c r="B52" s="9"/>
    </row>
    <row r="53" spans="2:11">
      <c r="B53" s="9"/>
    </row>
    <row r="54" spans="2:11">
      <c r="B54" s="9"/>
    </row>
    <row r="55" spans="2:11">
      <c r="B55" s="9"/>
    </row>
    <row r="56" spans="2:11">
      <c r="B56" s="9"/>
    </row>
    <row r="57" spans="2:11">
      <c r="B57" s="9"/>
    </row>
    <row r="58" spans="2:11">
      <c r="B58" s="9"/>
    </row>
    <row r="59" spans="2:11">
      <c r="B59" s="9"/>
    </row>
    <row r="60" spans="2:11">
      <c r="B60" s="9"/>
    </row>
    <row r="61" spans="2:11">
      <c r="B61" s="9"/>
      <c r="E61" s="18"/>
    </row>
    <row r="62" spans="2:11">
      <c r="K62" s="18"/>
    </row>
    <row r="65" spans="6:6">
      <c r="F65" s="19"/>
    </row>
    <row r="66" spans="6:6">
      <c r="F66" s="19"/>
    </row>
    <row r="67" spans="6:6">
      <c r="F67" s="19"/>
    </row>
    <row r="68" spans="6:6">
      <c r="F68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2026-05-11T18:08:24Z</dcterms:modified>
</cp:coreProperties>
</file>