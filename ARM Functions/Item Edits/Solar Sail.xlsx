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CA3CD1F-1D4F-4294-8C37-B902CB641600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code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2" l="1"/>
  <c r="A54" i="12" s="1"/>
  <c r="A55" i="12" s="1"/>
  <c r="A56" i="12" s="1"/>
  <c r="C91" i="12" l="1"/>
  <c r="C93" i="12" s="1"/>
  <c r="C63" i="12"/>
  <c r="C65" i="12" s="1"/>
  <c r="B3" i="12" l="1"/>
  <c r="A4" i="12" l="1"/>
  <c r="A5" i="12" s="1"/>
  <c r="A6" i="12" s="1"/>
  <c r="A7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l="1"/>
  <c r="A32" i="12" s="1"/>
  <c r="A33" i="12" s="1"/>
  <c r="A34" i="12" s="1"/>
  <c r="A35" i="12" s="1"/>
  <c r="A36" i="12" s="1"/>
  <c r="A37" i="12" s="1"/>
  <c r="C21" i="12"/>
  <c r="A38" i="12" l="1"/>
  <c r="A39" i="12" s="1"/>
  <c r="A40" i="12" s="1"/>
  <c r="A41" i="12" l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C35" i="12"/>
  <c r="C16" i="12" l="1"/>
  <c r="C39" i="12"/>
  <c r="C44" i="12"/>
  <c r="C31" i="12"/>
  <c r="A69" i="12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C80" i="12" l="1"/>
  <c r="A90" i="12"/>
  <c r="A91" i="12" s="1"/>
  <c r="A92" i="12" s="1"/>
  <c r="A93" i="12" s="1"/>
  <c r="C75" i="12" l="1"/>
  <c r="C88" i="12"/>
</calcChain>
</file>

<file path=xl/sharedStrings.xml><?xml version="1.0" encoding="utf-8"?>
<sst xmlns="http://schemas.openxmlformats.org/spreadsheetml/2006/main" count="196" uniqueCount="156">
  <si>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</si>
  <si>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</si>
  <si>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</si>
  <si>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</si>
  <si>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</si>
  <si>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</si>
  <si>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</si>
  <si>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</si>
  <si>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</si>
  <si>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</si>
  <si>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</si>
  <si>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bl 0x00087B58</t>
  </si>
  <si>
    <t>bl 0x00092298</t>
  </si>
  <si>
    <t>mov r4, r2</t>
  </si>
  <si>
    <t>cmp r0, r4</t>
  </si>
  <si>
    <t>bl 0x000876F8</t>
  </si>
  <si>
    <t>mov r1, 0x2</t>
  </si>
  <si>
    <t>mov r1, r4</t>
  </si>
  <si>
    <t>0240A0E1</t>
  </si>
  <si>
    <t>040050E1</t>
  </si>
  <si>
    <t>0410A0E1</t>
  </si>
  <si>
    <t>mov r5, r1</t>
  </si>
  <si>
    <t>mov r0, r5</t>
  </si>
  <si>
    <t>b 0x0007CCF4</t>
  </si>
  <si>
    <t>0150A0E1</t>
  </si>
  <si>
    <t>0500A0E1</t>
  </si>
  <si>
    <t>Solar Sail Call Function</t>
  </si>
  <si>
    <t>Check self</t>
  </si>
  <si>
    <t>mov r0, 0x2</t>
  </si>
  <si>
    <t>mov r1, 0x1</t>
  </si>
  <si>
    <t>mov r0, 0x57</t>
  </si>
  <si>
    <t>b 0x00082D44</t>
  </si>
  <si>
    <t>push {r4, r5, lr}</t>
  </si>
  <si>
    <t>bl 0x00084D1C</t>
  </si>
  <si>
    <t>get weather</t>
  </si>
  <si>
    <t>bl 0x0007FA64</t>
  </si>
  <si>
    <t>is sunny</t>
  </si>
  <si>
    <t>cmp r0, 0x1</t>
  </si>
  <si>
    <t>if is sunny, activated</t>
  </si>
  <si>
    <t>get pointer</t>
  </si>
  <si>
    <t>mov r1, 0x11</t>
  </si>
  <si>
    <t>bl 0x00092628</t>
  </si>
  <si>
    <t>Get Ability</t>
  </si>
  <si>
    <t>cmp r0, 0xC1</t>
  </si>
  <si>
    <t>nop</t>
  </si>
  <si>
    <t>check Mega Sol</t>
  </si>
  <si>
    <t>neither sun nor mega sol, exit</t>
  </si>
  <si>
    <t>Set Self Ungrounded in sun 0x12</t>
  </si>
  <si>
    <t>mov r6, r1</t>
  </si>
  <si>
    <t>mov r0, r6</t>
  </si>
  <si>
    <t>if is sunny, activate</t>
  </si>
  <si>
    <t>Table of what the previous state was</t>
  </si>
  <si>
    <t>neither sun nor mega sol, possibly unset</t>
  </si>
  <si>
    <t>get offset of table of states</t>
  </si>
  <si>
    <t>cmp r9, 0x6D</t>
  </si>
  <si>
    <t>push {r4, r5, r6, r7, lr}</t>
  </si>
  <si>
    <t>movne r7, 0x0</t>
  </si>
  <si>
    <t>moveq r7, 0x1</t>
  </si>
  <si>
    <t>r7 now has the possibly new state</t>
  </si>
  <si>
    <t>get byte for this Pokemon</t>
  </si>
  <si>
    <t>cmp r2, r7</t>
  </si>
  <si>
    <t>set new value if different</t>
  </si>
  <si>
    <t>if different, print text</t>
  </si>
  <si>
    <t>otherwise do nothing</t>
  </si>
  <si>
    <t>Print text</t>
  </si>
  <si>
    <t>check for Gravity</t>
  </si>
  <si>
    <t>bl 0x0007B8DC</t>
  </si>
  <si>
    <t>cmp r0, 0x0</t>
  </si>
  <si>
    <t>mov r2, r5</t>
  </si>
  <si>
    <t>mov r1, 0x3</t>
  </si>
  <si>
    <t>mov r4, r0</t>
  </si>
  <si>
    <t>mov r2, 0x810</t>
  </si>
  <si>
    <t>0x814, Activation</t>
  </si>
  <si>
    <t>0x818, Deactivation</t>
  </si>
  <si>
    <t>add r0, r0, 0x4</t>
  </si>
  <si>
    <t>bl 0x00089C6C</t>
  </si>
  <si>
    <t>mov r1, r5</t>
  </si>
  <si>
    <t>mov r5, r2</t>
  </si>
  <si>
    <t>cmp r0, r5</t>
  </si>
  <si>
    <t>ldrb r2, [r1, r5]</t>
  </si>
  <si>
    <t>strbne r7, [r1, r5]</t>
  </si>
  <si>
    <t>add r0, r4, 0x4</t>
  </si>
  <si>
    <t>bl 0x0007F804</t>
  </si>
  <si>
    <t>00102308</t>
  </si>
  <si>
    <t>Print Solar Sail activation/deactivation text 0x6d, 96, 81, 91, 02, 90, A6, A7</t>
  </si>
  <si>
    <t>mov r1, 0x9</t>
  </si>
  <si>
    <t>F0402DE9</t>
  </si>
  <si>
    <t>0250A0E1</t>
  </si>
  <si>
    <t>0160A0E1</t>
  </si>
  <si>
    <t>0200A0E3</t>
  </si>
  <si>
    <t>0916FEEB</t>
  </si>
  <si>
    <t>050050E1</t>
  </si>
  <si>
    <t>0600A0E1</t>
  </si>
  <si>
    <t>760AFEEB</t>
  </si>
  <si>
    <t>C7F5FDEB</t>
  </si>
  <si>
    <t>010050E3</t>
  </si>
  <si>
    <t>0700000A</t>
  </si>
  <si>
    <t>0510A0E1</t>
  </si>
  <si>
    <t>CF3FFEEB</t>
  </si>
  <si>
    <t>1110A0E3</t>
  </si>
  <si>
    <t>B140FEEB</t>
  </si>
  <si>
    <t>C10050E3</t>
  </si>
  <si>
    <t>00F020E3</t>
  </si>
  <si>
    <t>0070A013</t>
  </si>
  <si>
    <t>0170A003</t>
  </si>
  <si>
    <t>84109FE5</t>
  </si>
  <si>
    <t>0520D1E7</t>
  </si>
  <si>
    <t>070052E1</t>
  </si>
  <si>
    <t>0570C117</t>
  </si>
  <si>
    <t>6D0059E3</t>
  </si>
  <si>
    <t>0210A0E3</t>
  </si>
  <si>
    <t>000050E3</t>
  </si>
  <si>
    <t>0520A0E1</t>
  </si>
  <si>
    <t>0310A0E3</t>
  </si>
  <si>
    <t>0040A0E1</t>
  </si>
  <si>
    <t>812EA0E3</t>
  </si>
  <si>
    <t>040080E2</t>
  </si>
  <si>
    <t>040084E2</t>
  </si>
  <si>
    <t>F040BDE8</t>
  </si>
  <si>
    <t>F080BDE8</t>
  </si>
  <si>
    <t>30402DE9</t>
  </si>
  <si>
    <t>1000001A</t>
  </si>
  <si>
    <t>0300001A</t>
  </si>
  <si>
    <t>0110A0E3</t>
  </si>
  <si>
    <t>5700A0E3</t>
  </si>
  <si>
    <t>3040BDE8</t>
  </si>
  <si>
    <t>3080BDE8</t>
  </si>
  <si>
    <t>If entered</t>
  </si>
  <si>
    <t>cmpeq r7, 0x0</t>
  </si>
  <si>
    <t xml:space="preserve">and flying not set </t>
  </si>
  <si>
    <t>mov r7, 0x2</t>
  </si>
  <si>
    <t>cmp r7, 0x1</t>
  </si>
  <si>
    <t>addeq r2, r2, 0x4</t>
  </si>
  <si>
    <t>addlo r2, r2, 0x8</t>
  </si>
  <si>
    <t>addhi r2, r2, 0xC</t>
  </si>
  <si>
    <t>0x81C, Enter with no activation</t>
  </si>
  <si>
    <t>2F00001A</t>
  </si>
  <si>
    <t>00005703</t>
  </si>
  <si>
    <t>0270A0E3</t>
  </si>
  <si>
    <t>1800001A</t>
  </si>
  <si>
    <t>4EE5FDEB</t>
  </si>
  <si>
    <t>1300001A</t>
  </si>
  <si>
    <t>CF14FEEB</t>
  </si>
  <si>
    <t>010057E3</t>
  </si>
  <si>
    <t>04208202</t>
  </si>
  <si>
    <t>08208232</t>
  </si>
  <si>
    <t>0C208282</t>
  </si>
  <si>
    <t>231EFEEB</t>
  </si>
  <si>
    <t>06F5FDEB</t>
  </si>
  <si>
    <t>3EEAFDEA</t>
  </si>
  <si>
    <t>D015FEEB</t>
  </si>
  <si>
    <t>3D0AFEEB</t>
  </si>
  <si>
    <t>8EF5FDEB</t>
  </si>
  <si>
    <t>963FFEEB</t>
  </si>
  <si>
    <t>7840FEEB</t>
  </si>
  <si>
    <t>3802FEEA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</si>
</sst>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49" fontId="2" fillId="0" borderId="0" xfId="0" quotePrefix="1" applyNumberFormat="1" applyFont="1"/>
    <xf numFmtId="49" fontId="2" fillId="0" borderId="0" xfId="0" applyNumberFormat="1" applyFont="1"/>
    <xf numFmtId="49" fontId="2" fillId="2" borderId="0" xfId="0" applyNumberFormat="1" applyFont="1" applyFill="1" applyAlignment="1">
      <alignment horizontal="left"/>
    </xf>
    <xf numFmtId="49" fontId="2" fillId="2" borderId="0" xfId="0" quotePrefix="1" applyNumberFormat="1" applyFont="1" applyFill="1" applyAlignment="1">
      <alignment horizontal="left"/>
    </xf>
    <xf numFmtId="49" fontId="3" fillId="2" borderId="0" xfId="0" quotePrefix="1" applyNumberFormat="1" applyFont="1" applyFill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2" fillId="3" borderId="0" xfId="0" applyFont="1" applyFill="1"/>
    <xf numFmtId="49" fontId="3" fillId="3" borderId="0" xfId="0" quotePrefix="1" applyNumberFormat="1" applyFont="1" applyFill="1" applyAlignment="1">
      <alignment horizontal="left"/>
    </xf>
    <xf numFmtId="0" fontId="3" fillId="3" borderId="0" xfId="0" applyFont="1" applyFill="1"/>
    <xf numFmtId="0" fontId="2" fillId="4" borderId="0" xfId="0" applyFont="1" applyFill="1"/>
    <xf numFmtId="49" fontId="3" fillId="4" borderId="0" xfId="0" quotePrefix="1" applyNumberFormat="1" applyFont="1" applyFill="1" applyAlignment="1">
      <alignment horizontal="left"/>
    </xf>
    <xf numFmtId="0" fontId="3" fillId="4" borderId="0" xfId="0" applyFont="1" applyFill="1"/>
    <xf numFmtId="0" fontId="3" fillId="0" borderId="0" xfId="0" quotePrefix="1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8" borderId="0" xfId="0" quotePrefix="1" applyFont="1" applyFill="1"/>
    <xf numFmtId="0" fontId="2" fillId="5" borderId="0" xfId="0" quotePrefix="1" applyFont="1" applyFill="1"/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104"/>
  <sheetViews>
    <sheetView tabSelected="1" zoomScale="85" zoomScaleNormal="85" workbookViewId="0">
      <pane ySplit="1" topLeftCell="A44" activePane="bottomLeft" state="frozen"/>
      <selection pane="bottomLeft" activeCell="B69" sqref="B69:B9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26</v>
      </c>
      <c r="B2" s="1"/>
      <c r="C2" s="1"/>
      <c r="D2" s="1"/>
    </row>
    <row r="3" spans="1:4">
      <c r="A3" s="2" t="s">
        <v>83</v>
      </c>
      <c r="B3" s="2" t="str">
        <f>_xlfn.CONCAT("0",RIGHT(C3,1),"10A0E3")</f>
        <v>0910A0E3</v>
      </c>
      <c r="C3" s="2" t="s">
        <v>85</v>
      </c>
      <c r="D3" s="1"/>
    </row>
    <row r="4" spans="1:4">
      <c r="A4" s="2" t="str">
        <f t="shared" ref="A4:A7" si="0">DEC2HEX(HEX2DEC(A3)+4,8)</f>
        <v>0010230C</v>
      </c>
      <c r="B4" s="3" t="s">
        <v>5</v>
      </c>
      <c r="C4" s="2" t="s">
        <v>6</v>
      </c>
      <c r="D4" s="1"/>
    </row>
    <row r="5" spans="1:4">
      <c r="A5" s="2" t="str">
        <f t="shared" si="0"/>
        <v>00102310</v>
      </c>
      <c r="B5" s="2" t="s">
        <v>7</v>
      </c>
      <c r="C5" s="2" t="s">
        <v>8</v>
      </c>
      <c r="D5" s="1"/>
    </row>
    <row r="6" spans="1:4">
      <c r="A6" s="2" t="str">
        <f t="shared" si="0"/>
        <v>00102314</v>
      </c>
      <c r="B6" s="2" t="s">
        <v>9</v>
      </c>
      <c r="C6" s="2" t="s">
        <v>10</v>
      </c>
    </row>
    <row r="7" spans="1:4">
      <c r="A7" s="2" t="str">
        <f t="shared" si="0"/>
        <v>00102318</v>
      </c>
      <c r="B7" s="3" t="s">
        <v>4</v>
      </c>
    </row>
    <row r="8" spans="1:4">
      <c r="B8" s="3"/>
    </row>
    <row r="9" spans="1:4">
      <c r="A9" s="1" t="s">
        <v>84</v>
      </c>
    </row>
    <row r="10" spans="1:4">
      <c r="A10" s="2" t="str">
        <f>DEC2HEX(HEX2DEC(A7)+4,8)</f>
        <v>0010231C</v>
      </c>
      <c r="B10" s="2" t="s">
        <v>86</v>
      </c>
      <c r="C10" s="2" t="s">
        <v>55</v>
      </c>
    </row>
    <row r="11" spans="1:4">
      <c r="A11" s="2" t="str">
        <f t="shared" ref="A11:A66" si="1">DEC2HEX(HEX2DEC(A10)+4,8)</f>
        <v>00102320</v>
      </c>
      <c r="B11" s="2" t="s">
        <v>87</v>
      </c>
      <c r="C11" s="2" t="s">
        <v>77</v>
      </c>
    </row>
    <row r="12" spans="1:4">
      <c r="A12" s="2" t="str">
        <f t="shared" si="1"/>
        <v>00102324</v>
      </c>
      <c r="B12" s="3" t="s">
        <v>88</v>
      </c>
      <c r="C12" s="2" t="s">
        <v>48</v>
      </c>
    </row>
    <row r="13" spans="1:4">
      <c r="A13" s="4" t="str">
        <f t="shared" si="1"/>
        <v>00102328</v>
      </c>
      <c r="B13" s="9" t="s">
        <v>89</v>
      </c>
      <c r="C13" s="4" t="s">
        <v>28</v>
      </c>
      <c r="D13" s="4" t="s">
        <v>27</v>
      </c>
    </row>
    <row r="14" spans="1:4">
      <c r="A14" s="4" t="str">
        <f t="shared" si="1"/>
        <v>0010232C</v>
      </c>
      <c r="B14" s="9" t="s">
        <v>90</v>
      </c>
      <c r="C14" s="5" t="s">
        <v>11</v>
      </c>
      <c r="D14" s="4"/>
    </row>
    <row r="15" spans="1:4">
      <c r="A15" s="4" t="str">
        <f t="shared" si="1"/>
        <v>00102330</v>
      </c>
      <c r="B15" s="10" t="s">
        <v>91</v>
      </c>
      <c r="C15" s="4" t="s">
        <v>78</v>
      </c>
      <c r="D15" s="4"/>
    </row>
    <row r="16" spans="1:4">
      <c r="A16" s="4" t="str">
        <f t="shared" si="1"/>
        <v>00102334</v>
      </c>
      <c r="B16" s="11" t="s">
        <v>136</v>
      </c>
      <c r="C16" s="5" t="str">
        <f>_xlfn.CONCAT("bne 0x",A$65)</f>
        <v>bne 0x001023F8</v>
      </c>
      <c r="D16" s="4"/>
    </row>
    <row r="17" spans="1:4">
      <c r="A17" s="13" t="str">
        <f t="shared" si="1"/>
        <v>00102338</v>
      </c>
      <c r="B17" s="14" t="s">
        <v>92</v>
      </c>
      <c r="C17" s="15" t="s">
        <v>49</v>
      </c>
      <c r="D17" s="13" t="s">
        <v>34</v>
      </c>
    </row>
    <row r="18" spans="1:4">
      <c r="A18" s="13" t="str">
        <f t="shared" si="1"/>
        <v>0010233C</v>
      </c>
      <c r="B18" s="14" t="s">
        <v>93</v>
      </c>
      <c r="C18" s="15" t="s">
        <v>33</v>
      </c>
      <c r="D18" s="13"/>
    </row>
    <row r="19" spans="1:4">
      <c r="A19" s="13" t="str">
        <f t="shared" si="1"/>
        <v>00102340</v>
      </c>
      <c r="B19" s="14" t="s">
        <v>94</v>
      </c>
      <c r="C19" s="15" t="s">
        <v>35</v>
      </c>
      <c r="D19" s="13" t="s">
        <v>36</v>
      </c>
    </row>
    <row r="20" spans="1:4">
      <c r="A20" s="13" t="str">
        <f t="shared" si="1"/>
        <v>00102344</v>
      </c>
      <c r="B20" s="14" t="s">
        <v>95</v>
      </c>
      <c r="C20" s="15" t="s">
        <v>37</v>
      </c>
      <c r="D20" s="13"/>
    </row>
    <row r="21" spans="1:4">
      <c r="A21" s="13" t="str">
        <f t="shared" si="1"/>
        <v>00102348</v>
      </c>
      <c r="B21" s="14" t="s">
        <v>96</v>
      </c>
      <c r="C21" s="15" t="str">
        <f>_xlfn.CONCAT("beq 0x",A$30)</f>
        <v>beq 0x0010236C</v>
      </c>
      <c r="D21" s="13" t="s">
        <v>50</v>
      </c>
    </row>
    <row r="22" spans="1:4">
      <c r="A22" s="16" t="str">
        <f t="shared" si="1"/>
        <v>0010234C</v>
      </c>
      <c r="B22" s="17" t="s">
        <v>92</v>
      </c>
      <c r="C22" s="18" t="s">
        <v>49</v>
      </c>
      <c r="D22" s="16" t="s">
        <v>39</v>
      </c>
    </row>
    <row r="23" spans="1:4">
      <c r="A23" s="16" t="str">
        <f t="shared" si="1"/>
        <v>00102350</v>
      </c>
      <c r="B23" s="17" t="s">
        <v>97</v>
      </c>
      <c r="C23" s="18" t="s">
        <v>76</v>
      </c>
      <c r="D23" s="16"/>
    </row>
    <row r="24" spans="1:4">
      <c r="A24" s="16" t="str">
        <f t="shared" si="1"/>
        <v>00102354</v>
      </c>
      <c r="B24" s="17" t="s">
        <v>98</v>
      </c>
      <c r="C24" s="18" t="s">
        <v>12</v>
      </c>
      <c r="D24" s="16"/>
    </row>
    <row r="25" spans="1:4">
      <c r="A25" s="16" t="str">
        <f t="shared" si="1"/>
        <v>00102358</v>
      </c>
      <c r="B25" s="17" t="s">
        <v>99</v>
      </c>
      <c r="C25" s="18" t="s">
        <v>40</v>
      </c>
      <c r="D25" s="16" t="s">
        <v>42</v>
      </c>
    </row>
    <row r="26" spans="1:4">
      <c r="A26" s="16" t="str">
        <f t="shared" si="1"/>
        <v>0010235C</v>
      </c>
      <c r="B26" s="17" t="s">
        <v>100</v>
      </c>
      <c r="C26" s="18" t="s">
        <v>41</v>
      </c>
      <c r="D26" s="16"/>
    </row>
    <row r="27" spans="1:4">
      <c r="A27" s="16" t="str">
        <f t="shared" si="1"/>
        <v>00102360</v>
      </c>
      <c r="B27" s="17" t="s">
        <v>101</v>
      </c>
      <c r="C27" s="18" t="s">
        <v>43</v>
      </c>
      <c r="D27" s="16" t="s">
        <v>45</v>
      </c>
    </row>
    <row r="28" spans="1:4">
      <c r="A28" s="16" t="str">
        <f t="shared" si="1"/>
        <v>00102364</v>
      </c>
      <c r="B28" s="17" t="s">
        <v>102</v>
      </c>
      <c r="C28" s="18" t="s">
        <v>44</v>
      </c>
      <c r="D28" s="16"/>
    </row>
    <row r="29" spans="1:4">
      <c r="A29" s="16" t="str">
        <f t="shared" si="1"/>
        <v>00102368</v>
      </c>
      <c r="B29" s="17" t="s">
        <v>103</v>
      </c>
      <c r="C29" s="18" t="s">
        <v>56</v>
      </c>
      <c r="D29" s="16" t="s">
        <v>52</v>
      </c>
    </row>
    <row r="30" spans="1:4">
      <c r="A30" s="2" t="str">
        <f t="shared" si="1"/>
        <v>0010236C</v>
      </c>
      <c r="B30" s="2" t="s">
        <v>104</v>
      </c>
      <c r="C30" s="2" t="s">
        <v>57</v>
      </c>
      <c r="D30" s="2" t="s">
        <v>58</v>
      </c>
    </row>
    <row r="31" spans="1:4">
      <c r="A31" s="21" t="str">
        <f t="shared" si="1"/>
        <v>00102370</v>
      </c>
      <c r="B31" s="21" t="s">
        <v>105</v>
      </c>
      <c r="C31" s="21" t="str">
        <f>_xlfn.CONCAT("ldr r1, [pc, #",HEX2DEC(A$66)-HEX2DEC(A31)-8,"]")</f>
        <v>ldr r1, [pc, #132]</v>
      </c>
      <c r="D31" s="21" t="s">
        <v>53</v>
      </c>
    </row>
    <row r="32" spans="1:4">
      <c r="A32" s="21" t="str">
        <f t="shared" si="1"/>
        <v>00102374</v>
      </c>
      <c r="B32" s="21" t="s">
        <v>106</v>
      </c>
      <c r="C32" s="21" t="s">
        <v>79</v>
      </c>
      <c r="D32" s="21" t="s">
        <v>59</v>
      </c>
    </row>
    <row r="33" spans="1:4">
      <c r="A33" s="20" t="str">
        <f t="shared" si="1"/>
        <v>00102378</v>
      </c>
      <c r="B33" s="25" t="s">
        <v>107</v>
      </c>
      <c r="C33" s="20" t="s">
        <v>60</v>
      </c>
      <c r="D33" s="20"/>
    </row>
    <row r="34" spans="1:4">
      <c r="A34" s="20" t="str">
        <f t="shared" si="1"/>
        <v>0010237C</v>
      </c>
      <c r="B34" s="20" t="s">
        <v>108</v>
      </c>
      <c r="C34" s="20" t="s">
        <v>80</v>
      </c>
      <c r="D34" s="20" t="s">
        <v>61</v>
      </c>
    </row>
    <row r="35" spans="1:4">
      <c r="A35" s="22" t="str">
        <f t="shared" si="1"/>
        <v>00102380</v>
      </c>
      <c r="B35" s="22" t="s">
        <v>122</v>
      </c>
      <c r="C35" s="22" t="str">
        <f>_xlfn.CONCAT("bne 0x",A40)</f>
        <v>bne 0x00102394</v>
      </c>
      <c r="D35" s="22" t="s">
        <v>62</v>
      </c>
    </row>
    <row r="36" spans="1:4">
      <c r="A36" s="13" t="str">
        <f t="shared" si="1"/>
        <v>00102384</v>
      </c>
      <c r="B36" s="13" t="s">
        <v>109</v>
      </c>
      <c r="C36" s="13" t="s">
        <v>54</v>
      </c>
      <c r="D36" s="13" t="s">
        <v>127</v>
      </c>
    </row>
    <row r="37" spans="1:4">
      <c r="A37" s="13" t="str">
        <f t="shared" si="1"/>
        <v>00102388</v>
      </c>
      <c r="B37" s="26" t="s">
        <v>137</v>
      </c>
      <c r="C37" s="13" t="s">
        <v>128</v>
      </c>
      <c r="D37" s="13" t="s">
        <v>129</v>
      </c>
    </row>
    <row r="38" spans="1:4">
      <c r="A38" s="13" t="str">
        <f t="shared" si="1"/>
        <v>0010238C</v>
      </c>
      <c r="B38" s="26" t="s">
        <v>138</v>
      </c>
      <c r="C38" s="13" t="s">
        <v>130</v>
      </c>
      <c r="D38" s="13"/>
    </row>
    <row r="39" spans="1:4">
      <c r="A39" s="13" t="str">
        <f t="shared" si="1"/>
        <v>00102390</v>
      </c>
      <c r="B39" s="13" t="s">
        <v>139</v>
      </c>
      <c r="C39" s="13" t="str">
        <f>_xlfn.CONCAT("bne 0x",A$65)</f>
        <v>bne 0x001023F8</v>
      </c>
      <c r="D39" s="13" t="s">
        <v>63</v>
      </c>
    </row>
    <row r="40" spans="1:4">
      <c r="A40" s="23" t="str">
        <f t="shared" si="1"/>
        <v>00102394</v>
      </c>
      <c r="B40" s="24" t="s">
        <v>110</v>
      </c>
      <c r="C40" s="23" t="s">
        <v>16</v>
      </c>
      <c r="D40" s="23" t="s">
        <v>65</v>
      </c>
    </row>
    <row r="41" spans="1:4">
      <c r="A41" s="23" t="str">
        <f t="shared" si="1"/>
        <v>00102398</v>
      </c>
      <c r="B41" s="24" t="s">
        <v>92</v>
      </c>
      <c r="C41" s="23" t="s">
        <v>49</v>
      </c>
      <c r="D41" s="23"/>
    </row>
    <row r="42" spans="1:4">
      <c r="A42" s="23" t="str">
        <f t="shared" si="1"/>
        <v>0010239C</v>
      </c>
      <c r="B42" s="24" t="s">
        <v>140</v>
      </c>
      <c r="C42" s="23" t="s">
        <v>66</v>
      </c>
      <c r="D42" s="23"/>
    </row>
    <row r="43" spans="1:4">
      <c r="A43" s="23" t="str">
        <f t="shared" si="1"/>
        <v>001023A0</v>
      </c>
      <c r="B43" s="24" t="s">
        <v>111</v>
      </c>
      <c r="C43" s="23" t="s">
        <v>67</v>
      </c>
      <c r="D43" s="23"/>
    </row>
    <row r="44" spans="1:4">
      <c r="A44" s="23" t="str">
        <f t="shared" si="1"/>
        <v>001023A4</v>
      </c>
      <c r="B44" s="24" t="s">
        <v>141</v>
      </c>
      <c r="C44" s="23" t="str">
        <f>_xlfn.CONCAT("bne 0x",A$65)</f>
        <v>bne 0x001023F8</v>
      </c>
      <c r="D44" s="23"/>
    </row>
    <row r="45" spans="1:4">
      <c r="A45" s="2" t="str">
        <f t="shared" si="1"/>
        <v>001023A8</v>
      </c>
      <c r="B45" s="3" t="s">
        <v>112</v>
      </c>
      <c r="C45" s="2" t="s">
        <v>68</v>
      </c>
      <c r="D45" s="2" t="s">
        <v>64</v>
      </c>
    </row>
    <row r="46" spans="1:4">
      <c r="A46" s="2" t="str">
        <f t="shared" si="1"/>
        <v>001023AC</v>
      </c>
      <c r="B46" s="3" t="s">
        <v>113</v>
      </c>
      <c r="C46" s="2" t="s">
        <v>69</v>
      </c>
    </row>
    <row r="47" spans="1:4">
      <c r="A47" s="2" t="str">
        <f t="shared" si="1"/>
        <v>001023B0</v>
      </c>
      <c r="B47" s="3" t="s">
        <v>92</v>
      </c>
      <c r="C47" s="2" t="s">
        <v>49</v>
      </c>
    </row>
    <row r="48" spans="1:4">
      <c r="A48" s="2" t="str">
        <f t="shared" si="1"/>
        <v>001023B4</v>
      </c>
      <c r="B48" s="3" t="s">
        <v>142</v>
      </c>
      <c r="C48" s="2" t="s">
        <v>15</v>
      </c>
    </row>
    <row r="49" spans="1:4">
      <c r="A49" s="2" t="str">
        <f t="shared" si="1"/>
        <v>001023B8</v>
      </c>
      <c r="B49" s="3" t="s">
        <v>114</v>
      </c>
      <c r="C49" s="2" t="s">
        <v>70</v>
      </c>
    </row>
    <row r="50" spans="1:4">
      <c r="A50" s="2" t="str">
        <f t="shared" si="1"/>
        <v>001023BC</v>
      </c>
      <c r="B50" s="3" t="s">
        <v>143</v>
      </c>
      <c r="C50" s="2" t="s">
        <v>131</v>
      </c>
    </row>
    <row r="51" spans="1:4">
      <c r="A51" s="2" t="str">
        <f t="shared" si="1"/>
        <v>001023C0</v>
      </c>
      <c r="B51" s="3" t="s">
        <v>115</v>
      </c>
      <c r="C51" s="2" t="s">
        <v>71</v>
      </c>
    </row>
    <row r="52" spans="1:4">
      <c r="A52" s="2" t="str">
        <f t="shared" si="1"/>
        <v>001023C4</v>
      </c>
      <c r="B52" s="3" t="s">
        <v>144</v>
      </c>
      <c r="C52" s="2" t="s">
        <v>132</v>
      </c>
      <c r="D52" s="2" t="s">
        <v>72</v>
      </c>
    </row>
    <row r="53" spans="1:4">
      <c r="A53" s="2" t="str">
        <f t="shared" si="1"/>
        <v>001023C8</v>
      </c>
      <c r="B53" s="3" t="s">
        <v>145</v>
      </c>
      <c r="C53" s="2" t="s">
        <v>133</v>
      </c>
      <c r="D53" s="2" t="s">
        <v>73</v>
      </c>
    </row>
    <row r="54" spans="1:4">
      <c r="A54" s="2" t="str">
        <f t="shared" si="1"/>
        <v>001023CC</v>
      </c>
      <c r="B54" s="3" t="s">
        <v>146</v>
      </c>
      <c r="C54" s="2" t="s">
        <v>134</v>
      </c>
      <c r="D54" s="2" t="s">
        <v>135</v>
      </c>
    </row>
    <row r="55" spans="1:4">
      <c r="A55" s="2" t="str">
        <f t="shared" si="1"/>
        <v>001023D0</v>
      </c>
      <c r="B55" s="3" t="s">
        <v>110</v>
      </c>
      <c r="C55" s="2" t="s">
        <v>16</v>
      </c>
    </row>
    <row r="56" spans="1:4">
      <c r="A56" s="2" t="str">
        <f t="shared" si="1"/>
        <v>001023D4</v>
      </c>
      <c r="B56" s="3" t="s">
        <v>116</v>
      </c>
      <c r="C56" s="2" t="s">
        <v>74</v>
      </c>
    </row>
    <row r="57" spans="1:4">
      <c r="A57" s="2" t="str">
        <f t="shared" si="1"/>
        <v>001023D8</v>
      </c>
      <c r="B57" s="3" t="s">
        <v>147</v>
      </c>
      <c r="C57" s="2" t="s">
        <v>75</v>
      </c>
    </row>
    <row r="58" spans="1:4">
      <c r="A58" s="2" t="str">
        <f t="shared" si="1"/>
        <v>001023DC</v>
      </c>
      <c r="B58" s="3" t="s">
        <v>97</v>
      </c>
      <c r="C58" s="2" t="s">
        <v>76</v>
      </c>
    </row>
    <row r="59" spans="1:4">
      <c r="A59" s="2" t="str">
        <f t="shared" si="1"/>
        <v>001023E0</v>
      </c>
      <c r="B59" s="3" t="s">
        <v>117</v>
      </c>
      <c r="C59" s="2" t="s">
        <v>81</v>
      </c>
    </row>
    <row r="60" spans="1:4">
      <c r="A60" s="2" t="str">
        <f t="shared" si="1"/>
        <v>001023E4</v>
      </c>
      <c r="B60" s="3" t="s">
        <v>148</v>
      </c>
      <c r="C60" s="2" t="s">
        <v>82</v>
      </c>
    </row>
    <row r="61" spans="1:4">
      <c r="A61" s="2" t="str">
        <f t="shared" si="1"/>
        <v>001023E8</v>
      </c>
      <c r="B61" s="3" t="s">
        <v>20</v>
      </c>
      <c r="C61" s="2" t="s">
        <v>17</v>
      </c>
    </row>
    <row r="62" spans="1:4">
      <c r="A62" s="2" t="str">
        <f t="shared" si="1"/>
        <v>001023EC</v>
      </c>
      <c r="B62" s="3" t="s">
        <v>92</v>
      </c>
      <c r="C62" s="2" t="s">
        <v>49</v>
      </c>
    </row>
    <row r="63" spans="1:4">
      <c r="A63" s="2" t="str">
        <f t="shared" si="1"/>
        <v>001023F0</v>
      </c>
      <c r="B63" s="3" t="s">
        <v>118</v>
      </c>
      <c r="C63" s="2" t="str">
        <f>SUBSTITUTE(C10,"push","pop")</f>
        <v>pop {r4, r5, r6, r7, lr}</v>
      </c>
    </row>
    <row r="64" spans="1:4">
      <c r="A64" s="2" t="str">
        <f t="shared" si="1"/>
        <v>001023F4</v>
      </c>
      <c r="B64" s="3" t="s">
        <v>149</v>
      </c>
      <c r="C64" s="2" t="s">
        <v>23</v>
      </c>
    </row>
    <row r="65" spans="1:4">
      <c r="A65" s="2" t="str">
        <f t="shared" si="1"/>
        <v>001023F8</v>
      </c>
      <c r="B65" s="2" t="s">
        <v>119</v>
      </c>
      <c r="C65" s="2" t="str">
        <f>SUBSTITUTE(C63,"lr","pc")</f>
        <v>pop {r4, r5, r6, r7, pc}</v>
      </c>
    </row>
    <row r="66" spans="1:4">
      <c r="A66" s="2" t="str">
        <f t="shared" si="1"/>
        <v>001023FC</v>
      </c>
      <c r="B66" s="19" t="s">
        <v>4</v>
      </c>
      <c r="C66" s="2" t="s">
        <v>51</v>
      </c>
      <c r="D66" s="6"/>
    </row>
    <row r="67" spans="1:4">
      <c r="B67" s="6"/>
      <c r="D67" s="6"/>
    </row>
    <row r="68" spans="1:4">
      <c r="A68" s="1" t="s">
        <v>47</v>
      </c>
    </row>
    <row r="69" spans="1:4">
      <c r="A69" s="2" t="str">
        <f>DEC2HEX(HEX2DEC(A66)+4,8)</f>
        <v>00102400</v>
      </c>
      <c r="B69" s="2" t="s">
        <v>120</v>
      </c>
      <c r="C69" s="2" t="s">
        <v>32</v>
      </c>
    </row>
    <row r="70" spans="1:4">
      <c r="A70" s="2" t="str">
        <f t="shared" ref="A70:A93" si="2">DEC2HEX(HEX2DEC(A69)+4,8)</f>
        <v>00102404</v>
      </c>
      <c r="B70" s="2" t="s">
        <v>18</v>
      </c>
      <c r="C70" s="2" t="s">
        <v>13</v>
      </c>
    </row>
    <row r="71" spans="1:4">
      <c r="A71" s="2" t="str">
        <f t="shared" si="2"/>
        <v>00102408</v>
      </c>
      <c r="B71" s="2" t="s">
        <v>24</v>
      </c>
      <c r="C71" s="2" t="s">
        <v>21</v>
      </c>
    </row>
    <row r="72" spans="1:4">
      <c r="A72" s="4" t="str">
        <f t="shared" si="2"/>
        <v>0010240C</v>
      </c>
      <c r="B72" s="9" t="s">
        <v>89</v>
      </c>
      <c r="C72" s="4" t="s">
        <v>28</v>
      </c>
      <c r="D72" s="4" t="s">
        <v>27</v>
      </c>
    </row>
    <row r="73" spans="1:4">
      <c r="A73" s="4" t="str">
        <f t="shared" si="2"/>
        <v>00102410</v>
      </c>
      <c r="B73" s="9" t="s">
        <v>150</v>
      </c>
      <c r="C73" s="5" t="s">
        <v>11</v>
      </c>
      <c r="D73" s="4"/>
    </row>
    <row r="74" spans="1:4">
      <c r="A74" s="4" t="str">
        <f t="shared" si="2"/>
        <v>00102414</v>
      </c>
      <c r="B74" s="10" t="s">
        <v>19</v>
      </c>
      <c r="C74" s="4" t="s">
        <v>14</v>
      </c>
      <c r="D74" s="4"/>
    </row>
    <row r="75" spans="1:4">
      <c r="A75" s="4" t="str">
        <f t="shared" si="2"/>
        <v>00102418</v>
      </c>
      <c r="B75" s="11" t="s">
        <v>121</v>
      </c>
      <c r="C75" s="5" t="str">
        <f>_xlfn.CONCAT("bne 0x",A$93)</f>
        <v>bne 0x00102460</v>
      </c>
      <c r="D75" s="4"/>
    </row>
    <row r="76" spans="1:4">
      <c r="A76" s="13" t="str">
        <f t="shared" si="2"/>
        <v>0010241C</v>
      </c>
      <c r="B76" s="14" t="s">
        <v>25</v>
      </c>
      <c r="C76" s="15" t="s">
        <v>22</v>
      </c>
      <c r="D76" s="13" t="s">
        <v>34</v>
      </c>
    </row>
    <row r="77" spans="1:4">
      <c r="A77" s="13" t="str">
        <f t="shared" si="2"/>
        <v>00102420</v>
      </c>
      <c r="B77" s="14" t="s">
        <v>151</v>
      </c>
      <c r="C77" s="15" t="s">
        <v>33</v>
      </c>
      <c r="D77" s="13"/>
    </row>
    <row r="78" spans="1:4">
      <c r="A78" s="13" t="str">
        <f t="shared" si="2"/>
        <v>00102424</v>
      </c>
      <c r="B78" s="14" t="s">
        <v>152</v>
      </c>
      <c r="C78" s="15" t="s">
        <v>35</v>
      </c>
      <c r="D78" s="13" t="s">
        <v>36</v>
      </c>
    </row>
    <row r="79" spans="1:4">
      <c r="A79" s="13" t="str">
        <f t="shared" si="2"/>
        <v>00102428</v>
      </c>
      <c r="B79" s="14" t="s">
        <v>95</v>
      </c>
      <c r="C79" s="15" t="s">
        <v>37</v>
      </c>
      <c r="D79" s="13"/>
    </row>
    <row r="80" spans="1:4">
      <c r="A80" s="13" t="str">
        <f t="shared" si="2"/>
        <v>0010242C</v>
      </c>
      <c r="B80" s="14" t="s">
        <v>96</v>
      </c>
      <c r="C80" s="15" t="str">
        <f>_xlfn.CONCAT("beq 0x",A$89)</f>
        <v>beq 0x00102450</v>
      </c>
      <c r="D80" s="13" t="s">
        <v>38</v>
      </c>
    </row>
    <row r="81" spans="1:4">
      <c r="A81" s="16" t="str">
        <f t="shared" si="2"/>
        <v>00102430</v>
      </c>
      <c r="B81" s="17" t="s">
        <v>25</v>
      </c>
      <c r="C81" s="18" t="s">
        <v>22</v>
      </c>
      <c r="D81" s="16" t="s">
        <v>39</v>
      </c>
    </row>
    <row r="82" spans="1:4">
      <c r="A82" s="16" t="str">
        <f t="shared" si="2"/>
        <v>00102434</v>
      </c>
      <c r="B82" s="17" t="s">
        <v>20</v>
      </c>
      <c r="C82" s="18" t="s">
        <v>17</v>
      </c>
      <c r="D82" s="16"/>
    </row>
    <row r="83" spans="1:4">
      <c r="A83" s="16" t="str">
        <f t="shared" si="2"/>
        <v>00102438</v>
      </c>
      <c r="B83" s="17" t="s">
        <v>153</v>
      </c>
      <c r="C83" s="18" t="s">
        <v>12</v>
      </c>
      <c r="D83" s="16"/>
    </row>
    <row r="84" spans="1:4">
      <c r="A84" s="16" t="str">
        <f t="shared" si="2"/>
        <v>0010243C</v>
      </c>
      <c r="B84" s="17" t="s">
        <v>99</v>
      </c>
      <c r="C84" s="18" t="s">
        <v>40</v>
      </c>
      <c r="D84" s="16" t="s">
        <v>42</v>
      </c>
    </row>
    <row r="85" spans="1:4">
      <c r="A85" s="16" t="str">
        <f t="shared" si="2"/>
        <v>00102440</v>
      </c>
      <c r="B85" s="17" t="s">
        <v>154</v>
      </c>
      <c r="C85" s="18" t="s">
        <v>41</v>
      </c>
      <c r="D85" s="16"/>
    </row>
    <row r="86" spans="1:4">
      <c r="A86" s="16" t="str">
        <f t="shared" si="2"/>
        <v>00102444</v>
      </c>
      <c r="B86" s="17" t="s">
        <v>101</v>
      </c>
      <c r="C86" s="18" t="s">
        <v>43</v>
      </c>
      <c r="D86" s="16" t="s">
        <v>45</v>
      </c>
    </row>
    <row r="87" spans="1:4">
      <c r="A87" s="16" t="str">
        <f t="shared" si="2"/>
        <v>00102448</v>
      </c>
      <c r="B87" s="17" t="s">
        <v>102</v>
      </c>
      <c r="C87" s="18" t="s">
        <v>44</v>
      </c>
      <c r="D87" s="16"/>
    </row>
    <row r="88" spans="1:4">
      <c r="A88" s="16" t="str">
        <f t="shared" si="2"/>
        <v>0010244C</v>
      </c>
      <c r="B88" s="17" t="s">
        <v>122</v>
      </c>
      <c r="C88" s="18" t="str">
        <f>_xlfn.CONCAT("bne 0x",A$93)</f>
        <v>bne 0x00102460</v>
      </c>
      <c r="D88" s="16" t="s">
        <v>46</v>
      </c>
    </row>
    <row r="89" spans="1:4">
      <c r="A89" s="2" t="str">
        <f t="shared" si="2"/>
        <v>00102450</v>
      </c>
      <c r="B89" s="12" t="s">
        <v>123</v>
      </c>
      <c r="C89" s="6" t="s">
        <v>29</v>
      </c>
    </row>
    <row r="90" spans="1:4">
      <c r="A90" s="2" t="str">
        <f t="shared" si="2"/>
        <v>00102454</v>
      </c>
      <c r="B90" s="3" t="s">
        <v>124</v>
      </c>
      <c r="C90" s="2" t="s">
        <v>30</v>
      </c>
    </row>
    <row r="91" spans="1:4">
      <c r="A91" s="2" t="str">
        <f t="shared" si="2"/>
        <v>00102458</v>
      </c>
      <c r="B91" s="3" t="s">
        <v>125</v>
      </c>
      <c r="C91" s="2" t="str">
        <f>SUBSTITUTE(C69,"push","pop")</f>
        <v>pop {r4, r5, lr}</v>
      </c>
    </row>
    <row r="92" spans="1:4">
      <c r="A92" s="2" t="str">
        <f t="shared" si="2"/>
        <v>0010245C</v>
      </c>
      <c r="B92" s="3" t="s">
        <v>155</v>
      </c>
      <c r="C92" s="2" t="s">
        <v>31</v>
      </c>
    </row>
    <row r="93" spans="1:4">
      <c r="A93" s="2" t="str">
        <f t="shared" si="2"/>
        <v>00102460</v>
      </c>
      <c r="B93" s="2" t="s">
        <v>126</v>
      </c>
      <c r="C93" s="2" t="str">
        <f>SUBSTITUTE(C91,"lr","pc")</f>
        <v>pop {r4, r5, pc}</v>
      </c>
    </row>
    <row r="94" spans="1:4">
      <c r="B94" s="8"/>
    </row>
    <row r="95" spans="1:4">
      <c r="B95" s="8"/>
    </row>
    <row r="96" spans="1:4">
      <c r="B96" s="7"/>
    </row>
    <row r="97" spans="2:2">
      <c r="B97" s="8"/>
    </row>
    <row r="98" spans="2:2">
      <c r="B98" s="8"/>
    </row>
    <row r="99" spans="2:2">
      <c r="B99" s="7"/>
    </row>
    <row r="100" spans="2:2">
      <c r="B100" s="7"/>
    </row>
    <row r="101" spans="2:2">
      <c r="B101" s="7"/>
    </row>
    <row r="102" spans="2:2">
      <c r="B102" s="8"/>
    </row>
    <row r="103" spans="2:2">
      <c r="B103" s="8"/>
    </row>
    <row r="104" spans="2:2">
      <c r="B10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2026-04-27T20:35:37Z</dcterms:modified>
</cp:coreProperties>
</file>