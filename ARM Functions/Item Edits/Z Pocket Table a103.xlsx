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1D3350A-B4B6-4B41-8116-EBFC79D00A35}" xr6:coauthVersionLast="47" xr6:coauthVersionMax="47" xr10:uidLastSave="{00000000-0000-0000-0000-000000000000}"/>
  <bookViews>
    <workbookView xWindow="0" yWindow="0" windowWidth="16466" windowHeight="17914" activeTab="1" xr2:uid="{00000000-000D-0000-FFFF-FFFF00000000}"/>
  </bookViews>
  <sheets>
    <sheet name="Hex" sheetId="1" r:id="rId1"/>
    <sheet name="Edit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2" i="2" l="1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D3" i="2"/>
  <c r="D4" i="2" s="1"/>
  <c r="D5" i="2" s="1"/>
  <c r="D6" i="2" s="1"/>
  <c r="C8" i="1"/>
  <c r="D8" i="1" s="1"/>
  <c r="D9" i="1" s="1"/>
  <c r="E5" i="2" l="1"/>
  <c r="O5" i="2" s="1"/>
  <c r="E2" i="2"/>
  <c r="N2" i="2" s="1"/>
  <c r="E4" i="2"/>
  <c r="P4" i="2" s="1"/>
  <c r="D7" i="2"/>
  <c r="E6" i="2"/>
  <c r="E3" i="2"/>
  <c r="L5" i="2" l="1"/>
  <c r="M5" i="2"/>
  <c r="N5" i="2"/>
  <c r="O2" i="2"/>
  <c r="P5" i="2"/>
  <c r="R5" i="2"/>
  <c r="L4" i="2"/>
  <c r="N4" i="2"/>
  <c r="O4" i="2"/>
  <c r="M4" i="2"/>
  <c r="L2" i="2"/>
  <c r="P2" i="2"/>
  <c r="M2" i="2"/>
  <c r="D8" i="2"/>
  <c r="E7" i="2"/>
  <c r="N3" i="2"/>
  <c r="O3" i="2"/>
  <c r="P3" i="2"/>
  <c r="M3" i="2"/>
  <c r="L3" i="2"/>
  <c r="P6" i="2"/>
  <c r="N6" i="2"/>
  <c r="M6" i="2"/>
  <c r="O6" i="2"/>
  <c r="L6" i="2"/>
  <c r="R6" i="2" l="1"/>
  <c r="R4" i="2"/>
  <c r="R2" i="2"/>
  <c r="R3" i="2"/>
  <c r="P7" i="2"/>
  <c r="N7" i="2"/>
  <c r="L7" i="2"/>
  <c r="M7" i="2"/>
  <c r="O7" i="2"/>
  <c r="D9" i="2"/>
  <c r="E8" i="2"/>
  <c r="D10" i="2" l="1"/>
  <c r="E9" i="2"/>
  <c r="R7" i="2"/>
  <c r="P8" i="2"/>
  <c r="N8" i="2"/>
  <c r="M8" i="2"/>
  <c r="O8" i="2"/>
  <c r="L8" i="2"/>
  <c r="R8" i="2" l="1"/>
  <c r="P9" i="2"/>
  <c r="N9" i="2"/>
  <c r="M9" i="2"/>
  <c r="O9" i="2"/>
  <c r="L9" i="2"/>
  <c r="R9" i="2" s="1"/>
  <c r="D11" i="2"/>
  <c r="E10" i="2"/>
  <c r="P10" i="2" l="1"/>
  <c r="N10" i="2"/>
  <c r="O10" i="2"/>
  <c r="L10" i="2"/>
  <c r="M10" i="2"/>
  <c r="D12" i="2"/>
  <c r="E11" i="2"/>
  <c r="D13" i="2" l="1"/>
  <c r="E12" i="2"/>
  <c r="P11" i="2"/>
  <c r="N11" i="2"/>
  <c r="M11" i="2"/>
  <c r="O11" i="2"/>
  <c r="L11" i="2"/>
  <c r="R10" i="2"/>
  <c r="R11" i="2" l="1"/>
  <c r="P12" i="2"/>
  <c r="N12" i="2"/>
  <c r="L12" i="2"/>
  <c r="M12" i="2"/>
  <c r="O12" i="2"/>
  <c r="D14" i="2"/>
  <c r="E13" i="2"/>
  <c r="P13" i="2" l="1"/>
  <c r="O13" i="2"/>
  <c r="N13" i="2"/>
  <c r="L13" i="2"/>
  <c r="M13" i="2"/>
  <c r="D15" i="2"/>
  <c r="E14" i="2"/>
  <c r="R12" i="2"/>
  <c r="P14" i="2" l="1"/>
  <c r="O14" i="2"/>
  <c r="M14" i="2"/>
  <c r="L14" i="2"/>
  <c r="N14" i="2"/>
  <c r="D16" i="2"/>
  <c r="E15" i="2"/>
  <c r="R13" i="2"/>
  <c r="D17" i="2" l="1"/>
  <c r="E16" i="2"/>
  <c r="P15" i="2"/>
  <c r="O15" i="2"/>
  <c r="M15" i="2"/>
  <c r="L15" i="2"/>
  <c r="N15" i="2"/>
  <c r="R14" i="2"/>
  <c r="P16" i="2" l="1"/>
  <c r="O16" i="2"/>
  <c r="M16" i="2"/>
  <c r="L16" i="2"/>
  <c r="N16" i="2"/>
  <c r="R15" i="2"/>
  <c r="D18" i="2"/>
  <c r="E17" i="2"/>
  <c r="D19" i="2" l="1"/>
  <c r="E18" i="2"/>
  <c r="P17" i="2"/>
  <c r="N17" i="2"/>
  <c r="O17" i="2"/>
  <c r="M17" i="2"/>
  <c r="L17" i="2"/>
  <c r="R17" i="2" s="1"/>
  <c r="R16" i="2"/>
  <c r="N18" i="2" l="1"/>
  <c r="O18" i="2"/>
  <c r="L18" i="2"/>
  <c r="M18" i="2"/>
  <c r="P18" i="2"/>
  <c r="D20" i="2"/>
  <c r="E19" i="2"/>
  <c r="N19" i="2" l="1"/>
  <c r="O19" i="2"/>
  <c r="M19" i="2"/>
  <c r="L19" i="2"/>
  <c r="P19" i="2"/>
  <c r="D21" i="2"/>
  <c r="E20" i="2"/>
  <c r="R18" i="2"/>
  <c r="O20" i="2" l="1"/>
  <c r="N20" i="2"/>
  <c r="L20" i="2"/>
  <c r="P20" i="2"/>
  <c r="M20" i="2"/>
  <c r="D22" i="2"/>
  <c r="E21" i="2"/>
  <c r="R19" i="2"/>
  <c r="D23" i="2" l="1"/>
  <c r="E22" i="2"/>
  <c r="O21" i="2"/>
  <c r="N21" i="2"/>
  <c r="P21" i="2"/>
  <c r="M21" i="2"/>
  <c r="L21" i="2"/>
  <c r="R20" i="2"/>
  <c r="O22" i="2" l="1"/>
  <c r="P22" i="2"/>
  <c r="N22" i="2"/>
  <c r="M22" i="2"/>
  <c r="L22" i="2"/>
  <c r="R21" i="2"/>
  <c r="D24" i="2"/>
  <c r="E23" i="2"/>
  <c r="R22" i="2" l="1"/>
  <c r="N23" i="2"/>
  <c r="O23" i="2"/>
  <c r="P23" i="2"/>
  <c r="M23" i="2"/>
  <c r="L23" i="2"/>
  <c r="D25" i="2"/>
  <c r="E24" i="2"/>
  <c r="R23" i="2" l="1"/>
  <c r="D26" i="2"/>
  <c r="E25" i="2"/>
  <c r="N24" i="2"/>
  <c r="O24" i="2"/>
  <c r="P24" i="2"/>
  <c r="M24" i="2"/>
  <c r="L24" i="2"/>
  <c r="R24" i="2" l="1"/>
  <c r="O25" i="2"/>
  <c r="P25" i="2"/>
  <c r="M25" i="2"/>
  <c r="N25" i="2"/>
  <c r="L25" i="2"/>
  <c r="R25" i="2" s="1"/>
  <c r="D27" i="2"/>
  <c r="E26" i="2"/>
  <c r="O26" i="2" l="1"/>
  <c r="P26" i="2"/>
  <c r="M26" i="2"/>
  <c r="N26" i="2"/>
  <c r="L26" i="2"/>
  <c r="R26" i="2" s="1"/>
  <c r="D28" i="2"/>
  <c r="E27" i="2"/>
  <c r="P27" i="2" l="1"/>
  <c r="L27" i="2"/>
  <c r="M27" i="2"/>
  <c r="N27" i="2"/>
  <c r="O27" i="2"/>
  <c r="D29" i="2"/>
  <c r="E28" i="2"/>
  <c r="P28" i="2" l="1"/>
  <c r="M28" i="2"/>
  <c r="N28" i="2"/>
  <c r="L28" i="2"/>
  <c r="O28" i="2"/>
  <c r="D30" i="2"/>
  <c r="E29" i="2"/>
  <c r="R27" i="2"/>
  <c r="P29" i="2" l="1"/>
  <c r="O29" i="2"/>
  <c r="N29" i="2"/>
  <c r="M29" i="2"/>
  <c r="L29" i="2"/>
  <c r="R29" i="2" s="1"/>
  <c r="D31" i="2"/>
  <c r="E30" i="2"/>
  <c r="R28" i="2"/>
  <c r="P30" i="2" l="1"/>
  <c r="O30" i="2"/>
  <c r="N30" i="2"/>
  <c r="M30" i="2"/>
  <c r="L30" i="2"/>
  <c r="R30" i="2" s="1"/>
  <c r="D32" i="2"/>
  <c r="E31" i="2"/>
  <c r="D33" i="2" l="1"/>
  <c r="E32" i="2"/>
  <c r="P31" i="2"/>
  <c r="O31" i="2"/>
  <c r="M31" i="2"/>
  <c r="N31" i="2"/>
  <c r="L31" i="2"/>
  <c r="R31" i="2" l="1"/>
  <c r="P32" i="2"/>
  <c r="L32" i="2"/>
  <c r="O32" i="2"/>
  <c r="M32" i="2"/>
  <c r="N32" i="2"/>
  <c r="D34" i="2"/>
  <c r="E33" i="2"/>
  <c r="P33" i="2" l="1"/>
  <c r="L33" i="2"/>
  <c r="O33" i="2"/>
  <c r="M33" i="2"/>
  <c r="N33" i="2"/>
  <c r="R32" i="2"/>
  <c r="D35" i="2"/>
  <c r="E34" i="2"/>
  <c r="R33" i="2" l="1"/>
  <c r="D36" i="2"/>
  <c r="E35" i="2"/>
  <c r="P34" i="2"/>
  <c r="O34" i="2"/>
  <c r="M34" i="2"/>
  <c r="L34" i="2"/>
  <c r="N34" i="2"/>
  <c r="R34" i="2" l="1"/>
  <c r="P35" i="2"/>
  <c r="O35" i="2"/>
  <c r="M35" i="2"/>
  <c r="L35" i="2"/>
  <c r="N35" i="2"/>
  <c r="D37" i="2"/>
  <c r="E36" i="2"/>
  <c r="P36" i="2" l="1"/>
  <c r="O36" i="2"/>
  <c r="M36" i="2"/>
  <c r="L36" i="2"/>
  <c r="N36" i="2"/>
  <c r="D38" i="2"/>
  <c r="E37" i="2"/>
  <c r="R35" i="2"/>
  <c r="P37" i="2" l="1"/>
  <c r="N37" i="2"/>
  <c r="M37" i="2"/>
  <c r="L37" i="2"/>
  <c r="O37" i="2"/>
  <c r="D39" i="2"/>
  <c r="E38" i="2"/>
  <c r="R36" i="2"/>
  <c r="N38" i="2" l="1"/>
  <c r="P38" i="2"/>
  <c r="M38" i="2"/>
  <c r="L38" i="2"/>
  <c r="O38" i="2"/>
  <c r="D40" i="2"/>
  <c r="E39" i="2"/>
  <c r="R37" i="2"/>
  <c r="O39" i="2" l="1"/>
  <c r="P39" i="2"/>
  <c r="M39" i="2"/>
  <c r="N39" i="2"/>
  <c r="L39" i="2"/>
  <c r="R39" i="2" s="1"/>
  <c r="D41" i="2"/>
  <c r="E40" i="2"/>
  <c r="R38" i="2"/>
  <c r="O40" i="2" l="1"/>
  <c r="P40" i="2"/>
  <c r="N40" i="2"/>
  <c r="L40" i="2"/>
  <c r="M40" i="2"/>
  <c r="D42" i="2"/>
  <c r="E41" i="2"/>
  <c r="R40" i="2" l="1"/>
  <c r="D43" i="2"/>
  <c r="E42" i="2"/>
  <c r="O41" i="2"/>
  <c r="P41" i="2"/>
  <c r="N41" i="2"/>
  <c r="L41" i="2"/>
  <c r="M41" i="2"/>
  <c r="O42" i="2" l="1"/>
  <c r="P42" i="2"/>
  <c r="N42" i="2"/>
  <c r="L42" i="2"/>
  <c r="M42" i="2"/>
  <c r="R41" i="2"/>
  <c r="D44" i="2"/>
  <c r="E43" i="2"/>
  <c r="D45" i="2" l="1"/>
  <c r="E44" i="2"/>
  <c r="N43" i="2"/>
  <c r="O43" i="2"/>
  <c r="P43" i="2"/>
  <c r="L43" i="2"/>
  <c r="M43" i="2"/>
  <c r="R42" i="2"/>
  <c r="N44" i="2" l="1"/>
  <c r="O44" i="2"/>
  <c r="P44" i="2"/>
  <c r="M44" i="2"/>
  <c r="L44" i="2"/>
  <c r="R43" i="2"/>
  <c r="D46" i="2"/>
  <c r="E45" i="2"/>
  <c r="D47" i="2" l="1"/>
  <c r="E46" i="2"/>
  <c r="O45" i="2"/>
  <c r="P45" i="2"/>
  <c r="N45" i="2"/>
  <c r="M45" i="2"/>
  <c r="L45" i="2"/>
  <c r="R44" i="2"/>
  <c r="R45" i="2" l="1"/>
  <c r="P46" i="2"/>
  <c r="N46" i="2"/>
  <c r="L46" i="2"/>
  <c r="O46" i="2"/>
  <c r="M46" i="2"/>
  <c r="D48" i="2"/>
  <c r="E47" i="2"/>
  <c r="P47" i="2" l="1"/>
  <c r="O47" i="2"/>
  <c r="N47" i="2"/>
  <c r="L47" i="2"/>
  <c r="M47" i="2"/>
  <c r="D49" i="2"/>
  <c r="E48" i="2"/>
  <c r="R46" i="2"/>
  <c r="P48" i="2" l="1"/>
  <c r="O48" i="2"/>
  <c r="N48" i="2"/>
  <c r="L48" i="2"/>
  <c r="M48" i="2"/>
  <c r="D50" i="2"/>
  <c r="E49" i="2"/>
  <c r="R47" i="2"/>
  <c r="O49" i="2" l="1"/>
  <c r="N49" i="2"/>
  <c r="P49" i="2"/>
  <c r="L49" i="2"/>
  <c r="M49" i="2"/>
  <c r="D51" i="2"/>
  <c r="E50" i="2"/>
  <c r="R48" i="2"/>
  <c r="D52" i="2" l="1"/>
  <c r="E51" i="2"/>
  <c r="R49" i="2"/>
  <c r="O50" i="2"/>
  <c r="N50" i="2"/>
  <c r="P50" i="2"/>
  <c r="L50" i="2"/>
  <c r="M50" i="2"/>
  <c r="R50" i="2" l="1"/>
  <c r="P51" i="2"/>
  <c r="O51" i="2"/>
  <c r="N51" i="2"/>
  <c r="M51" i="2"/>
  <c r="L51" i="2"/>
  <c r="D53" i="2"/>
  <c r="E52" i="2"/>
  <c r="P52" i="2" l="1"/>
  <c r="O52" i="2"/>
  <c r="L52" i="2"/>
  <c r="N52" i="2"/>
  <c r="M52" i="2"/>
  <c r="D54" i="2"/>
  <c r="E53" i="2"/>
  <c r="R51" i="2"/>
  <c r="R52" i="2" l="1"/>
  <c r="D55" i="2"/>
  <c r="E54" i="2"/>
  <c r="P53" i="2"/>
  <c r="O53" i="2"/>
  <c r="L53" i="2"/>
  <c r="M53" i="2"/>
  <c r="N53" i="2"/>
  <c r="R53" i="2" l="1"/>
  <c r="P54" i="2"/>
  <c r="M54" i="2"/>
  <c r="N54" i="2"/>
  <c r="O54" i="2"/>
  <c r="L54" i="2"/>
  <c r="D56" i="2"/>
  <c r="E55" i="2"/>
  <c r="R54" i="2" l="1"/>
  <c r="P55" i="2"/>
  <c r="M55" i="2"/>
  <c r="N55" i="2"/>
  <c r="O55" i="2"/>
  <c r="L55" i="2"/>
  <c r="D57" i="2"/>
  <c r="E56" i="2"/>
  <c r="P56" i="2" l="1"/>
  <c r="M56" i="2"/>
  <c r="N56" i="2"/>
  <c r="O56" i="2"/>
  <c r="L56" i="2"/>
  <c r="D58" i="2"/>
  <c r="E57" i="2"/>
  <c r="R55" i="2"/>
  <c r="R56" i="2" l="1"/>
  <c r="P57" i="2"/>
  <c r="M57" i="2"/>
  <c r="N57" i="2"/>
  <c r="O57" i="2"/>
  <c r="L57" i="2"/>
  <c r="D59" i="2"/>
  <c r="E58" i="2"/>
  <c r="D60" i="2" l="1"/>
  <c r="E59" i="2"/>
  <c r="R57" i="2"/>
  <c r="P58" i="2"/>
  <c r="N58" i="2"/>
  <c r="M58" i="2"/>
  <c r="O58" i="2"/>
  <c r="L58" i="2"/>
  <c r="R58" i="2" l="1"/>
  <c r="P59" i="2"/>
  <c r="O59" i="2"/>
  <c r="M59" i="2"/>
  <c r="N59" i="2"/>
  <c r="L59" i="2"/>
  <c r="D61" i="2"/>
  <c r="E60" i="2"/>
  <c r="O60" i="2" l="1"/>
  <c r="M60" i="2"/>
  <c r="P60" i="2"/>
  <c r="L60" i="2"/>
  <c r="N60" i="2"/>
  <c r="R59" i="2"/>
  <c r="D62" i="2"/>
  <c r="E61" i="2"/>
  <c r="O61" i="2" l="1"/>
  <c r="N61" i="2"/>
  <c r="P61" i="2"/>
  <c r="L61" i="2"/>
  <c r="M61" i="2"/>
  <c r="R60" i="2"/>
  <c r="D63" i="2"/>
  <c r="E62" i="2"/>
  <c r="D64" i="2" l="1"/>
  <c r="E63" i="2"/>
  <c r="R61" i="2"/>
  <c r="O62" i="2"/>
  <c r="P62" i="2"/>
  <c r="L62" i="2"/>
  <c r="N62" i="2"/>
  <c r="M62" i="2"/>
  <c r="R62" i="2" l="1"/>
  <c r="N63" i="2"/>
  <c r="O63" i="2"/>
  <c r="P63" i="2"/>
  <c r="L63" i="2"/>
  <c r="M63" i="2"/>
  <c r="D65" i="2"/>
  <c r="E64" i="2"/>
  <c r="N64" i="2" l="1"/>
  <c r="O64" i="2"/>
  <c r="P64" i="2"/>
  <c r="L64" i="2"/>
  <c r="M64" i="2"/>
  <c r="D66" i="2"/>
  <c r="E65" i="2"/>
  <c r="R63" i="2"/>
  <c r="O65" i="2" l="1"/>
  <c r="N65" i="2"/>
  <c r="P65" i="2"/>
  <c r="L65" i="2"/>
  <c r="M65" i="2"/>
  <c r="R64" i="2"/>
  <c r="D67" i="2"/>
  <c r="E66" i="2"/>
  <c r="D68" i="2" l="1"/>
  <c r="E67" i="2"/>
  <c r="R65" i="2"/>
  <c r="L66" i="2"/>
  <c r="O66" i="2"/>
  <c r="M66" i="2"/>
  <c r="N66" i="2"/>
  <c r="P66" i="2"/>
  <c r="R66" i="2" l="1"/>
  <c r="L67" i="2"/>
  <c r="O67" i="2"/>
  <c r="M67" i="2"/>
  <c r="N67" i="2"/>
  <c r="P67" i="2"/>
  <c r="D69" i="2"/>
  <c r="E68" i="2"/>
  <c r="R67" i="2" l="1"/>
  <c r="D70" i="2"/>
  <c r="E69" i="2"/>
  <c r="N68" i="2"/>
  <c r="O68" i="2"/>
  <c r="M68" i="2"/>
  <c r="P68" i="2"/>
  <c r="L68" i="2"/>
  <c r="R68" i="2" l="1"/>
  <c r="P69" i="2"/>
  <c r="N69" i="2"/>
  <c r="O69" i="2"/>
  <c r="M69" i="2"/>
  <c r="L69" i="2"/>
  <c r="D71" i="2"/>
  <c r="E70" i="2"/>
  <c r="D72" i="2" l="1"/>
  <c r="E71" i="2"/>
  <c r="R69" i="2"/>
  <c r="P70" i="2"/>
  <c r="O70" i="2"/>
  <c r="M70" i="2"/>
  <c r="N70" i="2"/>
  <c r="L70" i="2"/>
  <c r="R70" i="2" l="1"/>
  <c r="P71" i="2"/>
  <c r="O71" i="2"/>
  <c r="N71" i="2"/>
  <c r="M71" i="2"/>
  <c r="L71" i="2"/>
  <c r="D73" i="2"/>
  <c r="E72" i="2"/>
  <c r="R71" i="2" l="1"/>
  <c r="P72" i="2"/>
  <c r="L72" i="2"/>
  <c r="O72" i="2"/>
  <c r="N72" i="2"/>
  <c r="M72" i="2"/>
  <c r="D74" i="2"/>
  <c r="E73" i="2"/>
  <c r="R72" i="2" l="1"/>
  <c r="P73" i="2"/>
  <c r="L73" i="2"/>
  <c r="O73" i="2"/>
  <c r="N73" i="2"/>
  <c r="M73" i="2"/>
  <c r="D75" i="2"/>
  <c r="E74" i="2"/>
  <c r="R73" i="2" l="1"/>
  <c r="P74" i="2"/>
  <c r="O74" i="2"/>
  <c r="N74" i="2"/>
  <c r="M74" i="2"/>
  <c r="L74" i="2"/>
  <c r="D76" i="2"/>
  <c r="E75" i="2"/>
  <c r="P75" i="2" l="1"/>
  <c r="O75" i="2"/>
  <c r="N75" i="2"/>
  <c r="M75" i="2"/>
  <c r="L75" i="2"/>
  <c r="R74" i="2"/>
  <c r="D77" i="2"/>
  <c r="E76" i="2"/>
  <c r="D78" i="2" l="1"/>
  <c r="E77" i="2"/>
  <c r="P76" i="2"/>
  <c r="O76" i="2"/>
  <c r="N76" i="2"/>
  <c r="M76" i="2"/>
  <c r="L76" i="2"/>
  <c r="R76" i="2" s="1"/>
  <c r="R75" i="2"/>
  <c r="P77" i="2" l="1"/>
  <c r="O77" i="2"/>
  <c r="N77" i="2"/>
  <c r="M77" i="2"/>
  <c r="L77" i="2"/>
  <c r="D79" i="2"/>
  <c r="E78" i="2"/>
  <c r="R77" i="2" l="1"/>
  <c r="P78" i="2"/>
  <c r="N78" i="2"/>
  <c r="O78" i="2"/>
  <c r="M78" i="2"/>
  <c r="L78" i="2"/>
  <c r="R78" i="2" s="1"/>
  <c r="D80" i="2"/>
  <c r="E79" i="2"/>
  <c r="P79" i="2" l="1"/>
  <c r="O79" i="2"/>
  <c r="M79" i="2"/>
  <c r="N79" i="2"/>
  <c r="L79" i="2"/>
  <c r="R79" i="2" s="1"/>
  <c r="D81" i="2"/>
  <c r="E80" i="2"/>
  <c r="D82" i="2" l="1"/>
  <c r="E81" i="2"/>
  <c r="P80" i="2"/>
  <c r="O80" i="2"/>
  <c r="M80" i="2"/>
  <c r="L80" i="2"/>
  <c r="N80" i="2"/>
  <c r="R80" i="2" l="1"/>
  <c r="P81" i="2"/>
  <c r="O81" i="2"/>
  <c r="M81" i="2"/>
  <c r="L81" i="2"/>
  <c r="N81" i="2"/>
  <c r="D83" i="2"/>
  <c r="E82" i="2"/>
  <c r="R81" i="2" l="1"/>
  <c r="D84" i="2"/>
  <c r="E83" i="2"/>
  <c r="P82" i="2"/>
  <c r="O82" i="2"/>
  <c r="L82" i="2"/>
  <c r="N82" i="2"/>
  <c r="M82" i="2"/>
  <c r="R82" i="2" l="1"/>
  <c r="P83" i="2"/>
  <c r="N83" i="2"/>
  <c r="O83" i="2"/>
  <c r="L83" i="2"/>
  <c r="M83" i="2"/>
  <c r="D85" i="2"/>
  <c r="E84" i="2"/>
  <c r="D86" i="2" l="1"/>
  <c r="E85" i="2"/>
  <c r="R83" i="2"/>
  <c r="P84" i="2"/>
  <c r="N84" i="2"/>
  <c r="O84" i="2"/>
  <c r="L84" i="2"/>
  <c r="M84" i="2"/>
  <c r="R84" i="2" l="1"/>
  <c r="O85" i="2"/>
  <c r="L85" i="2"/>
  <c r="M85" i="2"/>
  <c r="N85" i="2"/>
  <c r="P85" i="2"/>
  <c r="D87" i="2"/>
  <c r="E86" i="2"/>
  <c r="R85" i="2" l="1"/>
  <c r="O86" i="2"/>
  <c r="N86" i="2"/>
  <c r="L86" i="2"/>
  <c r="M86" i="2"/>
  <c r="P86" i="2"/>
  <c r="D88" i="2"/>
  <c r="E87" i="2"/>
  <c r="R86" i="2" l="1"/>
  <c r="D89" i="2"/>
  <c r="E88" i="2"/>
  <c r="O87" i="2"/>
  <c r="P87" i="2"/>
  <c r="L87" i="2"/>
  <c r="N87" i="2"/>
  <c r="M87" i="2"/>
  <c r="R87" i="2" l="1"/>
  <c r="N88" i="2"/>
  <c r="P88" i="2"/>
  <c r="O88" i="2"/>
  <c r="L88" i="2"/>
  <c r="M88" i="2"/>
  <c r="D90" i="2"/>
  <c r="E89" i="2"/>
  <c r="R88" i="2" l="1"/>
  <c r="D91" i="2"/>
  <c r="E90" i="2"/>
  <c r="P89" i="2"/>
  <c r="O89" i="2"/>
  <c r="L89" i="2"/>
  <c r="N89" i="2"/>
  <c r="M89" i="2"/>
  <c r="R89" i="2" l="1"/>
  <c r="P90" i="2"/>
  <c r="O90" i="2"/>
  <c r="L90" i="2"/>
  <c r="N90" i="2"/>
  <c r="M90" i="2"/>
  <c r="D92" i="2"/>
  <c r="E91" i="2"/>
  <c r="R90" i="2" l="1"/>
  <c r="N91" i="2"/>
  <c r="P91" i="2"/>
  <c r="O91" i="2"/>
  <c r="L91" i="2"/>
  <c r="M91" i="2"/>
  <c r="D93" i="2"/>
  <c r="E92" i="2"/>
  <c r="N92" i="2" l="1"/>
  <c r="P92" i="2"/>
  <c r="L92" i="2"/>
  <c r="O92" i="2"/>
  <c r="M92" i="2"/>
  <c r="R91" i="2"/>
  <c r="D94" i="2"/>
  <c r="E93" i="2"/>
  <c r="R92" i="2" l="1"/>
  <c r="D95" i="2"/>
  <c r="E94" i="2"/>
  <c r="P93" i="2"/>
  <c r="L93" i="2"/>
  <c r="O93" i="2"/>
  <c r="N93" i="2"/>
  <c r="M93" i="2"/>
  <c r="R93" i="2" l="1"/>
  <c r="O94" i="2"/>
  <c r="N94" i="2"/>
  <c r="M94" i="2"/>
  <c r="P94" i="2"/>
  <c r="L94" i="2"/>
  <c r="R94" i="2" s="1"/>
  <c r="D96" i="2"/>
  <c r="E95" i="2"/>
  <c r="D97" i="2" l="1"/>
  <c r="E96" i="2"/>
  <c r="P95" i="2"/>
  <c r="M95" i="2"/>
  <c r="N95" i="2"/>
  <c r="L95" i="2"/>
  <c r="O95" i="2"/>
  <c r="R95" i="2" l="1"/>
  <c r="P96" i="2"/>
  <c r="M96" i="2"/>
  <c r="N96" i="2"/>
  <c r="L96" i="2"/>
  <c r="O96" i="2"/>
  <c r="D98" i="2"/>
  <c r="E97" i="2"/>
  <c r="D99" i="2" l="1"/>
  <c r="E98" i="2"/>
  <c r="R96" i="2"/>
  <c r="P97" i="2"/>
  <c r="M97" i="2"/>
  <c r="N97" i="2"/>
  <c r="L97" i="2"/>
  <c r="O97" i="2"/>
  <c r="R97" i="2" l="1"/>
  <c r="P98" i="2"/>
  <c r="N98" i="2"/>
  <c r="M98" i="2"/>
  <c r="L98" i="2"/>
  <c r="O98" i="2"/>
  <c r="D100" i="2"/>
  <c r="E99" i="2"/>
  <c r="P99" i="2" l="1"/>
  <c r="O99" i="2"/>
  <c r="M99" i="2"/>
  <c r="N99" i="2"/>
  <c r="L99" i="2"/>
  <c r="R98" i="2"/>
  <c r="D101" i="2"/>
  <c r="E100" i="2"/>
  <c r="R99" i="2" l="1"/>
  <c r="D102" i="2"/>
  <c r="E101" i="2"/>
  <c r="P100" i="2"/>
  <c r="O100" i="2"/>
  <c r="M100" i="2"/>
  <c r="N100" i="2"/>
  <c r="L100" i="2"/>
  <c r="R100" i="2" l="1"/>
  <c r="P101" i="2"/>
  <c r="O101" i="2"/>
  <c r="M101" i="2"/>
  <c r="N101" i="2"/>
  <c r="L101" i="2"/>
  <c r="D103" i="2"/>
  <c r="E102" i="2"/>
  <c r="R101" i="2" l="1"/>
  <c r="P102" i="2"/>
  <c r="O102" i="2"/>
  <c r="M102" i="2"/>
  <c r="N102" i="2"/>
  <c r="L102" i="2"/>
  <c r="R102" i="2" s="1"/>
  <c r="D104" i="2"/>
  <c r="E103" i="2"/>
  <c r="D105" i="2" l="1"/>
  <c r="E104" i="2"/>
  <c r="P103" i="2"/>
  <c r="N103" i="2"/>
  <c r="O103" i="2"/>
  <c r="M103" i="2"/>
  <c r="L103" i="2"/>
  <c r="R103" i="2" l="1"/>
  <c r="N104" i="2"/>
  <c r="O104" i="2"/>
  <c r="M104" i="2"/>
  <c r="L104" i="2"/>
  <c r="P104" i="2"/>
  <c r="D106" i="2"/>
  <c r="E105" i="2"/>
  <c r="O105" i="2" l="1"/>
  <c r="N105" i="2"/>
  <c r="M105" i="2"/>
  <c r="L105" i="2"/>
  <c r="P105" i="2"/>
  <c r="D107" i="2"/>
  <c r="E106" i="2"/>
  <c r="R104" i="2"/>
  <c r="R105" i="2" l="1"/>
  <c r="N106" i="2"/>
  <c r="M106" i="2"/>
  <c r="L106" i="2"/>
  <c r="P106" i="2"/>
  <c r="O106" i="2"/>
  <c r="D108" i="2"/>
  <c r="E107" i="2"/>
  <c r="R106" i="2" l="1"/>
  <c r="D109" i="2"/>
  <c r="E108" i="2"/>
  <c r="P107" i="2"/>
  <c r="N107" i="2"/>
  <c r="L107" i="2"/>
  <c r="M107" i="2"/>
  <c r="O107" i="2"/>
  <c r="R107" i="2" l="1"/>
  <c r="P108" i="2"/>
  <c r="O108" i="2"/>
  <c r="N108" i="2"/>
  <c r="M108" i="2"/>
  <c r="L108" i="2"/>
  <c r="D110" i="2"/>
  <c r="E109" i="2"/>
  <c r="D111" i="2" l="1"/>
  <c r="E110" i="2"/>
  <c r="R108" i="2"/>
  <c r="P109" i="2"/>
  <c r="O109" i="2"/>
  <c r="N109" i="2"/>
  <c r="M109" i="2"/>
  <c r="L109" i="2"/>
  <c r="R109" i="2" s="1"/>
  <c r="P110" i="2" l="1"/>
  <c r="O110" i="2"/>
  <c r="L110" i="2"/>
  <c r="N110" i="2"/>
  <c r="M110" i="2"/>
  <c r="D112" i="2"/>
  <c r="E111" i="2"/>
  <c r="R110" i="2" l="1"/>
  <c r="D113" i="2"/>
  <c r="E112" i="2"/>
  <c r="P111" i="2"/>
  <c r="O111" i="2"/>
  <c r="N111" i="2"/>
  <c r="L111" i="2"/>
  <c r="M111" i="2"/>
  <c r="R111" i="2" l="1"/>
  <c r="P112" i="2"/>
  <c r="O112" i="2"/>
  <c r="L112" i="2"/>
  <c r="M112" i="2"/>
  <c r="N112" i="2"/>
  <c r="D114" i="2"/>
  <c r="E113" i="2"/>
  <c r="R112" i="2" l="1"/>
  <c r="D115" i="2"/>
  <c r="E114" i="2"/>
  <c r="P113" i="2"/>
  <c r="O113" i="2"/>
  <c r="L113" i="2"/>
  <c r="M113" i="2"/>
  <c r="N113" i="2"/>
  <c r="R113" i="2" l="1"/>
  <c r="O114" i="2"/>
  <c r="N114" i="2"/>
  <c r="L114" i="2"/>
  <c r="P114" i="2"/>
  <c r="M114" i="2"/>
  <c r="D116" i="2"/>
  <c r="E115" i="2"/>
  <c r="D117" i="2" l="1"/>
  <c r="E116" i="2"/>
  <c r="R114" i="2"/>
  <c r="N115" i="2"/>
  <c r="L115" i="2"/>
  <c r="P115" i="2"/>
  <c r="M115" i="2"/>
  <c r="O115" i="2"/>
  <c r="R115" i="2" l="1"/>
  <c r="P116" i="2"/>
  <c r="M116" i="2"/>
  <c r="L116" i="2"/>
  <c r="N116" i="2"/>
  <c r="O116" i="2"/>
  <c r="D118" i="2"/>
  <c r="E117" i="2"/>
  <c r="P117" i="2" l="1"/>
  <c r="M117" i="2"/>
  <c r="L117" i="2"/>
  <c r="O117" i="2"/>
  <c r="N117" i="2"/>
  <c r="R116" i="2"/>
  <c r="D119" i="2"/>
  <c r="E118" i="2"/>
  <c r="R117" i="2" l="1"/>
  <c r="N118" i="2"/>
  <c r="M118" i="2"/>
  <c r="P118" i="2"/>
  <c r="L118" i="2"/>
  <c r="O118" i="2"/>
  <c r="D120" i="2"/>
  <c r="E119" i="2"/>
  <c r="P119" i="2" l="1"/>
  <c r="O119" i="2"/>
  <c r="M119" i="2"/>
  <c r="L119" i="2"/>
  <c r="N119" i="2"/>
  <c r="R118" i="2"/>
  <c r="D121" i="2"/>
  <c r="E120" i="2"/>
  <c r="P120" i="2" l="1"/>
  <c r="O120" i="2"/>
  <c r="M120" i="2"/>
  <c r="L120" i="2"/>
  <c r="N120" i="2"/>
  <c r="R119" i="2"/>
  <c r="D122" i="2"/>
  <c r="E121" i="2"/>
  <c r="R120" i="2" l="1"/>
  <c r="P121" i="2"/>
  <c r="O121" i="2"/>
  <c r="M121" i="2"/>
  <c r="L121" i="2"/>
  <c r="N121" i="2"/>
  <c r="D123" i="2"/>
  <c r="E122" i="2"/>
  <c r="R121" i="2" l="1"/>
  <c r="D124" i="2"/>
  <c r="E123" i="2"/>
  <c r="P122" i="2"/>
  <c r="O122" i="2"/>
  <c r="M122" i="2"/>
  <c r="L122" i="2"/>
  <c r="N122" i="2"/>
  <c r="R122" i="2" l="1"/>
  <c r="P123" i="2"/>
  <c r="N123" i="2"/>
  <c r="O123" i="2"/>
  <c r="M123" i="2"/>
  <c r="L123" i="2"/>
  <c r="R123" i="2" s="1"/>
  <c r="D125" i="2"/>
  <c r="E124" i="2"/>
  <c r="D126" i="2" l="1"/>
  <c r="E125" i="2"/>
  <c r="P124" i="2"/>
  <c r="N124" i="2"/>
  <c r="O124" i="2"/>
  <c r="M124" i="2"/>
  <c r="L124" i="2"/>
  <c r="R124" i="2" l="1"/>
  <c r="P125" i="2"/>
  <c r="O125" i="2"/>
  <c r="M125" i="2"/>
  <c r="L125" i="2"/>
  <c r="N125" i="2"/>
  <c r="D127" i="2"/>
  <c r="E126" i="2"/>
  <c r="P126" i="2" l="1"/>
  <c r="O126" i="2"/>
  <c r="M126" i="2"/>
  <c r="N126" i="2"/>
  <c r="L126" i="2"/>
  <c r="D128" i="2"/>
  <c r="E127" i="2"/>
  <c r="R125" i="2"/>
  <c r="R126" i="2" l="1"/>
  <c r="P127" i="2"/>
  <c r="O127" i="2"/>
  <c r="L127" i="2"/>
  <c r="N127" i="2"/>
  <c r="M127" i="2"/>
  <c r="D129" i="2"/>
  <c r="E128" i="2"/>
  <c r="R127" i="2" l="1"/>
  <c r="P128" i="2"/>
  <c r="O128" i="2"/>
  <c r="N128" i="2"/>
  <c r="M128" i="2"/>
  <c r="L128" i="2"/>
  <c r="D130" i="2"/>
  <c r="E129" i="2"/>
  <c r="R128" i="2" l="1"/>
  <c r="P129" i="2"/>
  <c r="O129" i="2"/>
  <c r="N129" i="2"/>
  <c r="M129" i="2"/>
  <c r="L129" i="2"/>
  <c r="D131" i="2"/>
  <c r="E130" i="2"/>
  <c r="R129" i="2" l="1"/>
  <c r="P130" i="2"/>
  <c r="O130" i="2"/>
  <c r="N130" i="2"/>
  <c r="L130" i="2"/>
  <c r="M130" i="2"/>
  <c r="D132" i="2"/>
  <c r="E131" i="2"/>
  <c r="R130" i="2" l="1"/>
  <c r="P131" i="2"/>
  <c r="O131" i="2"/>
  <c r="N131" i="2"/>
  <c r="L131" i="2"/>
  <c r="M131" i="2"/>
  <c r="D133" i="2"/>
  <c r="E132" i="2"/>
  <c r="P132" i="2" l="1"/>
  <c r="N132" i="2"/>
  <c r="O132" i="2"/>
  <c r="L132" i="2"/>
  <c r="M132" i="2"/>
  <c r="R131" i="2"/>
  <c r="D134" i="2"/>
  <c r="E133" i="2"/>
  <c r="R132" i="2" l="1"/>
  <c r="P133" i="2"/>
  <c r="L133" i="2"/>
  <c r="N133" i="2"/>
  <c r="M133" i="2"/>
  <c r="O133" i="2"/>
  <c r="D135" i="2"/>
  <c r="E134" i="2"/>
  <c r="R133" i="2" l="1"/>
  <c r="P134" i="2"/>
  <c r="N134" i="2"/>
  <c r="M134" i="2"/>
  <c r="L134" i="2"/>
  <c r="O134" i="2"/>
  <c r="D136" i="2"/>
  <c r="E135" i="2"/>
  <c r="P135" i="2" l="1"/>
  <c r="O135" i="2"/>
  <c r="N135" i="2"/>
  <c r="M135" i="2"/>
  <c r="L135" i="2"/>
  <c r="R134" i="2"/>
  <c r="D137" i="2"/>
  <c r="E136" i="2"/>
  <c r="P136" i="2" l="1"/>
  <c r="O136" i="2"/>
  <c r="N136" i="2"/>
  <c r="M136" i="2"/>
  <c r="L136" i="2"/>
  <c r="R135" i="2"/>
  <c r="D138" i="2"/>
  <c r="E137" i="2"/>
  <c r="P137" i="2" l="1"/>
  <c r="N137" i="2"/>
  <c r="O137" i="2"/>
  <c r="M137" i="2"/>
  <c r="L137" i="2"/>
  <c r="R136" i="2"/>
  <c r="D139" i="2"/>
  <c r="E138" i="2"/>
  <c r="P138" i="2" l="1"/>
  <c r="N138" i="2"/>
  <c r="O138" i="2"/>
  <c r="M138" i="2"/>
  <c r="L138" i="2"/>
  <c r="R137" i="2"/>
  <c r="D140" i="2"/>
  <c r="E139" i="2"/>
  <c r="P139" i="2" l="1"/>
  <c r="O139" i="2"/>
  <c r="N139" i="2"/>
  <c r="M139" i="2"/>
  <c r="L139" i="2"/>
  <c r="D141" i="2"/>
  <c r="E140" i="2"/>
  <c r="R138" i="2"/>
  <c r="R139" i="2" l="1"/>
  <c r="P140" i="2"/>
  <c r="O140" i="2"/>
  <c r="M140" i="2"/>
  <c r="N140" i="2"/>
  <c r="L140" i="2"/>
  <c r="R140" i="2" s="1"/>
  <c r="D142" i="2"/>
  <c r="E141" i="2"/>
  <c r="D143" i="2" l="1"/>
  <c r="E142" i="2"/>
  <c r="P141" i="2"/>
  <c r="O141" i="2"/>
  <c r="M141" i="2"/>
  <c r="N141" i="2"/>
  <c r="L141" i="2"/>
  <c r="R141" i="2" s="1"/>
  <c r="P142" i="2" l="1"/>
  <c r="O142" i="2"/>
  <c r="M142" i="2"/>
  <c r="N142" i="2"/>
  <c r="L142" i="2"/>
  <c r="D144" i="2"/>
  <c r="E143" i="2"/>
  <c r="P143" i="2" l="1"/>
  <c r="N143" i="2"/>
  <c r="O143" i="2"/>
  <c r="M143" i="2"/>
  <c r="L143" i="2"/>
  <c r="R142" i="2"/>
  <c r="D145" i="2"/>
  <c r="E144" i="2"/>
  <c r="D146" i="2" l="1"/>
  <c r="E145" i="2"/>
  <c r="R143" i="2"/>
  <c r="P144" i="2"/>
  <c r="N144" i="2"/>
  <c r="O144" i="2"/>
  <c r="M144" i="2"/>
  <c r="L144" i="2"/>
  <c r="R144" i="2" s="1"/>
  <c r="P145" i="2" l="1"/>
  <c r="O145" i="2"/>
  <c r="M145" i="2"/>
  <c r="N145" i="2"/>
  <c r="L145" i="2"/>
  <c r="D147" i="2"/>
  <c r="E146" i="2"/>
  <c r="R145" i="2" l="1"/>
  <c r="D148" i="2"/>
  <c r="E147" i="2"/>
  <c r="P146" i="2"/>
  <c r="O146" i="2"/>
  <c r="N146" i="2"/>
  <c r="L146" i="2"/>
  <c r="M146" i="2"/>
  <c r="R146" i="2" l="1"/>
  <c r="P147" i="2"/>
  <c r="O147" i="2"/>
  <c r="L147" i="2"/>
  <c r="N147" i="2"/>
  <c r="M147" i="2"/>
  <c r="D149" i="2"/>
  <c r="E148" i="2"/>
  <c r="R147" i="2" l="1"/>
  <c r="D150" i="2"/>
  <c r="E149" i="2"/>
  <c r="P148" i="2"/>
  <c r="O148" i="2"/>
  <c r="N148" i="2"/>
  <c r="L148" i="2"/>
  <c r="M148" i="2"/>
  <c r="R148" i="2" l="1"/>
  <c r="P149" i="2"/>
  <c r="N149" i="2"/>
  <c r="L149" i="2"/>
  <c r="O149" i="2"/>
  <c r="M149" i="2"/>
  <c r="D151" i="2"/>
  <c r="E150" i="2"/>
  <c r="D152" i="2" l="1"/>
  <c r="E151" i="2"/>
  <c r="R149" i="2"/>
  <c r="P150" i="2"/>
  <c r="O150" i="2"/>
  <c r="N150" i="2"/>
  <c r="L150" i="2"/>
  <c r="M150" i="2"/>
  <c r="R150" i="2" l="1"/>
  <c r="P151" i="2"/>
  <c r="O151" i="2"/>
  <c r="L151" i="2"/>
  <c r="N151" i="2"/>
  <c r="M151" i="2"/>
  <c r="D153" i="2"/>
  <c r="E152" i="2"/>
  <c r="P152" i="2" l="1"/>
  <c r="L152" i="2"/>
  <c r="O152" i="2"/>
  <c r="N152" i="2"/>
  <c r="M152" i="2"/>
  <c r="R151" i="2"/>
  <c r="D154" i="2"/>
  <c r="E153" i="2"/>
  <c r="R152" i="2" l="1"/>
  <c r="D155" i="2"/>
  <c r="E154" i="2"/>
  <c r="P153" i="2"/>
  <c r="L153" i="2"/>
  <c r="O153" i="2"/>
  <c r="N153" i="2"/>
  <c r="M153" i="2"/>
  <c r="R153" i="2" l="1"/>
  <c r="P154" i="2"/>
  <c r="O154" i="2"/>
  <c r="L154" i="2"/>
  <c r="N154" i="2"/>
  <c r="M154" i="2"/>
  <c r="D156" i="2"/>
  <c r="E155" i="2"/>
  <c r="N155" i="2" l="1"/>
  <c r="O155" i="2"/>
  <c r="L155" i="2"/>
  <c r="M155" i="2"/>
  <c r="P155" i="2"/>
  <c r="D157" i="2"/>
  <c r="E156" i="2"/>
  <c r="R154" i="2"/>
  <c r="R155" i="2" l="1"/>
  <c r="D158" i="2"/>
  <c r="E157" i="2"/>
  <c r="P156" i="2"/>
  <c r="N156" i="2"/>
  <c r="O156" i="2"/>
  <c r="L156" i="2"/>
  <c r="M156" i="2"/>
  <c r="R156" i="2" l="1"/>
  <c r="P157" i="2"/>
  <c r="N157" i="2"/>
  <c r="L157" i="2"/>
  <c r="O157" i="2"/>
  <c r="M157" i="2"/>
  <c r="D159" i="2"/>
  <c r="E158" i="2"/>
  <c r="D160" i="2" l="1"/>
  <c r="E159" i="2"/>
  <c r="R157" i="2"/>
  <c r="N158" i="2"/>
  <c r="M158" i="2"/>
  <c r="L158" i="2"/>
  <c r="P158" i="2"/>
  <c r="O158" i="2"/>
  <c r="R158" i="2" l="1"/>
  <c r="O159" i="2"/>
  <c r="M159" i="2"/>
  <c r="N159" i="2"/>
  <c r="L159" i="2"/>
  <c r="P159" i="2"/>
  <c r="D161" i="2"/>
  <c r="E160" i="2"/>
  <c r="R159" i="2" l="1"/>
  <c r="D162" i="2"/>
  <c r="E161" i="2"/>
  <c r="O160" i="2"/>
  <c r="N160" i="2"/>
  <c r="M160" i="2"/>
  <c r="L160" i="2"/>
  <c r="P160" i="2"/>
  <c r="R160" i="2" l="1"/>
  <c r="O161" i="2"/>
  <c r="N161" i="2"/>
  <c r="M161" i="2"/>
  <c r="L161" i="2"/>
  <c r="P161" i="2"/>
  <c r="D163" i="2"/>
  <c r="E162" i="2"/>
  <c r="R161" i="2" l="1"/>
  <c r="D164" i="2"/>
  <c r="E163" i="2"/>
  <c r="O162" i="2"/>
  <c r="N162" i="2"/>
  <c r="M162" i="2"/>
  <c r="P162" i="2"/>
  <c r="L162" i="2"/>
  <c r="R162" i="2" l="1"/>
  <c r="P163" i="2"/>
  <c r="N163" i="2"/>
  <c r="O163" i="2"/>
  <c r="M163" i="2"/>
  <c r="L163" i="2"/>
  <c r="D165" i="2"/>
  <c r="E164" i="2"/>
  <c r="R163" i="2" l="1"/>
  <c r="D166" i="2"/>
  <c r="E165" i="2"/>
  <c r="P164" i="2"/>
  <c r="N164" i="2"/>
  <c r="O164" i="2"/>
  <c r="M164" i="2"/>
  <c r="L164" i="2"/>
  <c r="R164" i="2" s="1"/>
  <c r="P165" i="2" l="1"/>
  <c r="O165" i="2"/>
  <c r="M165" i="2"/>
  <c r="N165" i="2"/>
  <c r="L165" i="2"/>
  <c r="D167" i="2"/>
  <c r="E166" i="2"/>
  <c r="R165" i="2" l="1"/>
  <c r="D168" i="2"/>
  <c r="E167" i="2"/>
  <c r="P166" i="2"/>
  <c r="N166" i="2"/>
  <c r="O166" i="2"/>
  <c r="M166" i="2"/>
  <c r="L166" i="2"/>
  <c r="R166" i="2" l="1"/>
  <c r="P167" i="2"/>
  <c r="N167" i="2"/>
  <c r="O167" i="2"/>
  <c r="L167" i="2"/>
  <c r="M167" i="2"/>
  <c r="D169" i="2"/>
  <c r="E168" i="2"/>
  <c r="D170" i="2" l="1"/>
  <c r="E169" i="2"/>
  <c r="P168" i="2"/>
  <c r="N168" i="2"/>
  <c r="O168" i="2"/>
  <c r="M168" i="2"/>
  <c r="L168" i="2"/>
  <c r="R167" i="2"/>
  <c r="R168" i="2" l="1"/>
  <c r="P169" i="2"/>
  <c r="O169" i="2"/>
  <c r="N169" i="2"/>
  <c r="M169" i="2"/>
  <c r="L169" i="2"/>
  <c r="D171" i="2"/>
  <c r="E170" i="2"/>
  <c r="D172" i="2" l="1"/>
  <c r="E171" i="2"/>
  <c r="O170" i="2"/>
  <c r="P170" i="2"/>
  <c r="M170" i="2"/>
  <c r="N170" i="2"/>
  <c r="L170" i="2"/>
  <c r="R169" i="2"/>
  <c r="R170" i="2" l="1"/>
  <c r="O171" i="2"/>
  <c r="P171" i="2"/>
  <c r="M171" i="2"/>
  <c r="N171" i="2"/>
  <c r="L171" i="2"/>
  <c r="R171" i="2" s="1"/>
  <c r="D173" i="2"/>
  <c r="E172" i="2"/>
  <c r="D174" i="2" l="1"/>
  <c r="E173" i="2"/>
  <c r="O172" i="2"/>
  <c r="L172" i="2"/>
  <c r="P172" i="2"/>
  <c r="M172" i="2"/>
  <c r="N172" i="2"/>
  <c r="R172" i="2" l="1"/>
  <c r="O173" i="2"/>
  <c r="L173" i="2"/>
  <c r="M173" i="2"/>
  <c r="P173" i="2"/>
  <c r="N173" i="2"/>
  <c r="D175" i="2"/>
  <c r="E174" i="2"/>
  <c r="R173" i="2" l="1"/>
  <c r="D176" i="2"/>
  <c r="E175" i="2"/>
  <c r="P174" i="2"/>
  <c r="O174" i="2"/>
  <c r="M174" i="2"/>
  <c r="L174" i="2"/>
  <c r="N174" i="2"/>
  <c r="R174" i="2" l="1"/>
  <c r="P175" i="2"/>
  <c r="O175" i="2"/>
  <c r="M175" i="2"/>
  <c r="N175" i="2"/>
  <c r="L175" i="2"/>
  <c r="D177" i="2"/>
  <c r="E176" i="2"/>
  <c r="P176" i="2" l="1"/>
  <c r="O176" i="2"/>
  <c r="M176" i="2"/>
  <c r="N176" i="2"/>
  <c r="L176" i="2"/>
  <c r="R175" i="2"/>
  <c r="D178" i="2"/>
  <c r="E177" i="2"/>
  <c r="P177" i="2" l="1"/>
  <c r="O177" i="2"/>
  <c r="M177" i="2"/>
  <c r="L177" i="2"/>
  <c r="N177" i="2"/>
  <c r="R176" i="2"/>
  <c r="D179" i="2"/>
  <c r="E178" i="2"/>
  <c r="R177" i="2" l="1"/>
  <c r="D180" i="2"/>
  <c r="E179" i="2"/>
  <c r="P178" i="2"/>
  <c r="N178" i="2"/>
  <c r="O178" i="2"/>
  <c r="L178" i="2"/>
  <c r="M178" i="2"/>
  <c r="R178" i="2" l="1"/>
  <c r="P179" i="2"/>
  <c r="O179" i="2"/>
  <c r="N179" i="2"/>
  <c r="M179" i="2"/>
  <c r="L179" i="2"/>
  <c r="D181" i="2"/>
  <c r="E180" i="2"/>
  <c r="D182" i="2" l="1"/>
  <c r="E181" i="2"/>
  <c r="R179" i="2"/>
  <c r="P180" i="2"/>
  <c r="O180" i="2"/>
  <c r="N180" i="2"/>
  <c r="M180" i="2"/>
  <c r="L180" i="2"/>
  <c r="R180" i="2" s="1"/>
  <c r="P181" i="2" l="1"/>
  <c r="O181" i="2"/>
  <c r="N181" i="2"/>
  <c r="M181" i="2"/>
  <c r="L181" i="2"/>
  <c r="D183" i="2"/>
  <c r="E182" i="2"/>
  <c r="R181" i="2" l="1"/>
  <c r="D184" i="2"/>
  <c r="E183" i="2"/>
  <c r="P182" i="2"/>
  <c r="O182" i="2"/>
  <c r="N182" i="2"/>
  <c r="M182" i="2"/>
  <c r="L182" i="2"/>
  <c r="R182" i="2" s="1"/>
  <c r="N183" i="2" l="1"/>
  <c r="O183" i="2"/>
  <c r="M183" i="2"/>
  <c r="L183" i="2"/>
  <c r="P183" i="2"/>
  <c r="D185" i="2"/>
  <c r="E184" i="2"/>
  <c r="N184" i="2" l="1"/>
  <c r="O184" i="2"/>
  <c r="M184" i="2"/>
  <c r="L184" i="2"/>
  <c r="P184" i="2"/>
  <c r="R183" i="2"/>
  <c r="D186" i="2"/>
  <c r="E185" i="2"/>
  <c r="P185" i="2" l="1"/>
  <c r="O185" i="2"/>
  <c r="N185" i="2"/>
  <c r="M185" i="2"/>
  <c r="L185" i="2"/>
  <c r="D187" i="2"/>
  <c r="E186" i="2"/>
  <c r="R184" i="2"/>
  <c r="R185" i="2" l="1"/>
  <c r="P186" i="2"/>
  <c r="N186" i="2"/>
  <c r="M186" i="2"/>
  <c r="O186" i="2"/>
  <c r="L186" i="2"/>
  <c r="D188" i="2"/>
  <c r="E187" i="2"/>
  <c r="P187" i="2" l="1"/>
  <c r="N187" i="2"/>
  <c r="O187" i="2"/>
  <c r="L187" i="2"/>
  <c r="M187" i="2"/>
  <c r="R186" i="2"/>
  <c r="D189" i="2"/>
  <c r="E188" i="2"/>
  <c r="P188" i="2" l="1"/>
  <c r="N188" i="2"/>
  <c r="O188" i="2"/>
  <c r="L188" i="2"/>
  <c r="M188" i="2"/>
  <c r="D190" i="2"/>
  <c r="E189" i="2"/>
  <c r="R187" i="2"/>
  <c r="D191" i="2" l="1"/>
  <c r="E190" i="2"/>
  <c r="R188" i="2"/>
  <c r="P189" i="2"/>
  <c r="N189" i="2"/>
  <c r="O189" i="2"/>
  <c r="L189" i="2"/>
  <c r="M189" i="2"/>
  <c r="R189" i="2" l="1"/>
  <c r="P190" i="2"/>
  <c r="N190" i="2"/>
  <c r="O190" i="2"/>
  <c r="L190" i="2"/>
  <c r="M190" i="2"/>
  <c r="D192" i="2"/>
  <c r="E191" i="2"/>
  <c r="P191" i="2" l="1"/>
  <c r="N191" i="2"/>
  <c r="O191" i="2"/>
  <c r="L191" i="2"/>
  <c r="M191" i="2"/>
  <c r="R190" i="2"/>
  <c r="D193" i="2"/>
  <c r="E192" i="2"/>
  <c r="R191" i="2" l="1"/>
  <c r="O192" i="2"/>
  <c r="L192" i="2"/>
  <c r="N192" i="2"/>
  <c r="P192" i="2"/>
  <c r="M192" i="2"/>
  <c r="D194" i="2"/>
  <c r="E193" i="2"/>
  <c r="R192" i="2" l="1"/>
  <c r="P193" i="2"/>
  <c r="L193" i="2"/>
  <c r="N193" i="2"/>
  <c r="O193" i="2"/>
  <c r="M193" i="2"/>
  <c r="D195" i="2"/>
  <c r="E194" i="2"/>
  <c r="P194" i="2" l="1"/>
  <c r="N194" i="2"/>
  <c r="L194" i="2"/>
  <c r="O194" i="2"/>
  <c r="M194" i="2"/>
  <c r="D196" i="2"/>
  <c r="E195" i="2"/>
  <c r="R193" i="2"/>
  <c r="R194" i="2" l="1"/>
  <c r="D197" i="2"/>
  <c r="E196" i="2"/>
  <c r="P195" i="2"/>
  <c r="N195" i="2"/>
  <c r="M195" i="2"/>
  <c r="L195" i="2"/>
  <c r="O195" i="2"/>
  <c r="P196" i="2" l="1"/>
  <c r="N196" i="2"/>
  <c r="M196" i="2"/>
  <c r="L196" i="2"/>
  <c r="O196" i="2"/>
  <c r="R195" i="2"/>
  <c r="D198" i="2"/>
  <c r="E197" i="2"/>
  <c r="P197" i="2" l="1"/>
  <c r="O197" i="2"/>
  <c r="N197" i="2"/>
  <c r="M197" i="2"/>
  <c r="L197" i="2"/>
  <c r="R196" i="2"/>
  <c r="D199" i="2"/>
  <c r="E198" i="2"/>
  <c r="N198" i="2" l="1"/>
  <c r="P198" i="2"/>
  <c r="O198" i="2"/>
  <c r="M198" i="2"/>
  <c r="L198" i="2"/>
  <c r="R197" i="2"/>
  <c r="D200" i="2"/>
  <c r="E199" i="2"/>
  <c r="R198" i="2" l="1"/>
  <c r="P199" i="2"/>
  <c r="O199" i="2"/>
  <c r="M199" i="2"/>
  <c r="N199" i="2"/>
  <c r="L199" i="2"/>
  <c r="D201" i="2"/>
  <c r="E200" i="2"/>
  <c r="R199" i="2" l="1"/>
  <c r="D202" i="2"/>
  <c r="E201" i="2"/>
  <c r="O200" i="2"/>
  <c r="P200" i="2"/>
  <c r="N200" i="2"/>
  <c r="M200" i="2"/>
  <c r="L200" i="2"/>
  <c r="R200" i="2" l="1"/>
  <c r="O201" i="2"/>
  <c r="P201" i="2"/>
  <c r="M201" i="2"/>
  <c r="N201" i="2"/>
  <c r="L201" i="2"/>
  <c r="D203" i="2"/>
  <c r="E202" i="2"/>
  <c r="O202" i="2" l="1"/>
  <c r="N202" i="2"/>
  <c r="M202" i="2"/>
  <c r="P202" i="2"/>
  <c r="L202" i="2"/>
  <c r="D204" i="2"/>
  <c r="E203" i="2"/>
  <c r="R201" i="2"/>
  <c r="N203" i="2" l="1"/>
  <c r="O203" i="2"/>
  <c r="M203" i="2"/>
  <c r="P203" i="2"/>
  <c r="L203" i="2"/>
  <c r="R202" i="2"/>
  <c r="D205" i="2"/>
  <c r="E204" i="2"/>
  <c r="D206" i="2" l="1"/>
  <c r="E205" i="2"/>
  <c r="N204" i="2"/>
  <c r="O204" i="2"/>
  <c r="M204" i="2"/>
  <c r="P204" i="2"/>
  <c r="L204" i="2"/>
  <c r="R203" i="2"/>
  <c r="R204" i="2" l="1"/>
  <c r="O205" i="2"/>
  <c r="P205" i="2"/>
  <c r="N205" i="2"/>
  <c r="M205" i="2"/>
  <c r="L205" i="2"/>
  <c r="D207" i="2"/>
  <c r="E206" i="2"/>
  <c r="O206" i="2" l="1"/>
  <c r="P206" i="2"/>
  <c r="N206" i="2"/>
  <c r="M206" i="2"/>
  <c r="L206" i="2"/>
  <c r="R205" i="2"/>
  <c r="D208" i="2"/>
  <c r="E207" i="2"/>
  <c r="R206" i="2" l="1"/>
  <c r="P207" i="2"/>
  <c r="O207" i="2"/>
  <c r="N207" i="2"/>
  <c r="M207" i="2"/>
  <c r="L207" i="2"/>
  <c r="D209" i="2"/>
  <c r="E208" i="2"/>
  <c r="R207" i="2" l="1"/>
  <c r="P208" i="2"/>
  <c r="O208" i="2"/>
  <c r="N208" i="2"/>
  <c r="L208" i="2"/>
  <c r="M208" i="2"/>
  <c r="D210" i="2"/>
  <c r="E209" i="2"/>
  <c r="P209" i="2" l="1"/>
  <c r="O209" i="2"/>
  <c r="N209" i="2"/>
  <c r="M209" i="2"/>
  <c r="L209" i="2"/>
  <c r="D211" i="2"/>
  <c r="E210" i="2"/>
  <c r="R208" i="2"/>
  <c r="R209" i="2" l="1"/>
  <c r="P210" i="2"/>
  <c r="O210" i="2"/>
  <c r="N210" i="2"/>
  <c r="M210" i="2"/>
  <c r="L210" i="2"/>
  <c r="R210" i="2" s="1"/>
  <c r="D212" i="2"/>
  <c r="E211" i="2"/>
  <c r="D213" i="2" l="1"/>
  <c r="E212" i="2"/>
  <c r="P211" i="2"/>
  <c r="N211" i="2"/>
  <c r="M211" i="2"/>
  <c r="O211" i="2"/>
  <c r="L211" i="2"/>
  <c r="R211" i="2" l="1"/>
  <c r="P212" i="2"/>
  <c r="O212" i="2"/>
  <c r="L212" i="2"/>
  <c r="N212" i="2"/>
  <c r="M212" i="2"/>
  <c r="D214" i="2"/>
  <c r="E213" i="2"/>
  <c r="R212" i="2" l="1"/>
  <c r="D215" i="2"/>
  <c r="E214" i="2"/>
  <c r="P213" i="2"/>
  <c r="L213" i="2"/>
  <c r="M213" i="2"/>
  <c r="N213" i="2"/>
  <c r="O213" i="2"/>
  <c r="R213" i="2" l="1"/>
  <c r="P214" i="2"/>
  <c r="O214" i="2"/>
  <c r="M214" i="2"/>
  <c r="L214" i="2"/>
  <c r="N214" i="2"/>
  <c r="D216" i="2"/>
  <c r="E215" i="2"/>
  <c r="R214" i="2" l="1"/>
  <c r="P215" i="2"/>
  <c r="O215" i="2"/>
  <c r="M215" i="2"/>
  <c r="L215" i="2"/>
  <c r="N215" i="2"/>
  <c r="D217" i="2"/>
  <c r="E216" i="2"/>
  <c r="R215" i="2" l="1"/>
  <c r="D218" i="2"/>
  <c r="E217" i="2"/>
  <c r="P216" i="2"/>
  <c r="O216" i="2"/>
  <c r="M216" i="2"/>
  <c r="N216" i="2"/>
  <c r="L216" i="2"/>
  <c r="R216" i="2" l="1"/>
  <c r="P217" i="2"/>
  <c r="O217" i="2"/>
  <c r="L217" i="2"/>
  <c r="N217" i="2"/>
  <c r="M217" i="2"/>
  <c r="D219" i="2"/>
  <c r="E218" i="2"/>
  <c r="D220" i="2" l="1"/>
  <c r="E219" i="2"/>
  <c r="P218" i="2"/>
  <c r="N218" i="2"/>
  <c r="O218" i="2"/>
  <c r="M218" i="2"/>
  <c r="L218" i="2"/>
  <c r="R217" i="2"/>
  <c r="R218" i="2" l="1"/>
  <c r="P219" i="2"/>
  <c r="M219" i="2"/>
  <c r="O219" i="2"/>
  <c r="L219" i="2"/>
  <c r="N219" i="2"/>
  <c r="D221" i="2"/>
  <c r="E220" i="2"/>
  <c r="D222" i="2" l="1"/>
  <c r="E221" i="2"/>
  <c r="R219" i="2"/>
  <c r="P220" i="2"/>
  <c r="O220" i="2"/>
  <c r="M220" i="2"/>
  <c r="L220" i="2"/>
  <c r="N220" i="2"/>
  <c r="R220" i="2" l="1"/>
  <c r="O221" i="2"/>
  <c r="P221" i="2"/>
  <c r="M221" i="2"/>
  <c r="L221" i="2"/>
  <c r="N221" i="2"/>
  <c r="D223" i="2"/>
  <c r="E222" i="2"/>
  <c r="R221" i="2" l="1"/>
  <c r="O222" i="2"/>
  <c r="P222" i="2"/>
  <c r="M222" i="2"/>
  <c r="L222" i="2"/>
  <c r="N222" i="2"/>
  <c r="D224" i="2"/>
  <c r="E223" i="2"/>
  <c r="N223" i="2" l="1"/>
  <c r="O223" i="2"/>
  <c r="P223" i="2"/>
  <c r="M223" i="2"/>
  <c r="L223" i="2"/>
  <c r="D225" i="2"/>
  <c r="E224" i="2"/>
  <c r="R222" i="2"/>
  <c r="R223" i="2" l="1"/>
  <c r="D226" i="2"/>
  <c r="E225" i="2"/>
  <c r="N224" i="2"/>
  <c r="O224" i="2"/>
  <c r="P224" i="2"/>
  <c r="M224" i="2"/>
  <c r="L224" i="2"/>
  <c r="R224" i="2" l="1"/>
  <c r="O225" i="2"/>
  <c r="M225" i="2"/>
  <c r="L225" i="2"/>
  <c r="N225" i="2"/>
  <c r="P225" i="2"/>
  <c r="D227" i="2"/>
  <c r="E226" i="2"/>
  <c r="O226" i="2" l="1"/>
  <c r="M226" i="2"/>
  <c r="N226" i="2"/>
  <c r="L226" i="2"/>
  <c r="P226" i="2"/>
  <c r="D228" i="2"/>
  <c r="E227" i="2"/>
  <c r="R225" i="2"/>
  <c r="R226" i="2" l="1"/>
  <c r="D229" i="2"/>
  <c r="E228" i="2"/>
  <c r="O227" i="2"/>
  <c r="N227" i="2"/>
  <c r="M227" i="2"/>
  <c r="L227" i="2"/>
  <c r="P227" i="2"/>
  <c r="R227" i="2" l="1"/>
  <c r="N228" i="2"/>
  <c r="M228" i="2"/>
  <c r="O228" i="2"/>
  <c r="L228" i="2"/>
  <c r="P228" i="2"/>
  <c r="D230" i="2"/>
  <c r="E229" i="2"/>
  <c r="R228" i="2" l="1"/>
  <c r="D231" i="2"/>
  <c r="E230" i="2"/>
  <c r="P229" i="2"/>
  <c r="N229" i="2"/>
  <c r="O229" i="2"/>
  <c r="L229" i="2"/>
  <c r="M229" i="2"/>
  <c r="R229" i="2" l="1"/>
  <c r="P230" i="2"/>
  <c r="N230" i="2"/>
  <c r="O230" i="2"/>
  <c r="L230" i="2"/>
  <c r="M230" i="2"/>
  <c r="D232" i="2"/>
  <c r="E231" i="2"/>
  <c r="D233" i="2" l="1"/>
  <c r="E232" i="2"/>
  <c r="R230" i="2"/>
  <c r="P231" i="2"/>
  <c r="N231" i="2"/>
  <c r="L231" i="2"/>
  <c r="O231" i="2"/>
  <c r="M231" i="2"/>
  <c r="R231" i="2" l="1"/>
  <c r="O232" i="2"/>
  <c r="P232" i="2"/>
  <c r="N232" i="2"/>
  <c r="L232" i="2"/>
  <c r="M232" i="2"/>
  <c r="D234" i="2"/>
  <c r="E233" i="2"/>
  <c r="D235" i="2" l="1"/>
  <c r="E234" i="2"/>
  <c r="R232" i="2"/>
  <c r="P233" i="2"/>
  <c r="N233" i="2"/>
  <c r="O233" i="2"/>
  <c r="L233" i="2"/>
  <c r="M233" i="2"/>
  <c r="D236" i="2" l="1"/>
  <c r="E235" i="2"/>
  <c r="R233" i="2"/>
  <c r="P234" i="2"/>
  <c r="O234" i="2"/>
  <c r="N234" i="2"/>
  <c r="M234" i="2"/>
  <c r="L234" i="2"/>
  <c r="P235" i="2" l="1"/>
  <c r="O235" i="2"/>
  <c r="N235" i="2"/>
  <c r="M235" i="2"/>
  <c r="L235" i="2"/>
  <c r="R234" i="2"/>
  <c r="D237" i="2"/>
  <c r="E236" i="2"/>
  <c r="R235" i="2" l="1"/>
  <c r="D238" i="2"/>
  <c r="E237" i="2"/>
  <c r="P236" i="2"/>
  <c r="O236" i="2"/>
  <c r="N236" i="2"/>
  <c r="M236" i="2"/>
  <c r="L236" i="2"/>
  <c r="R236" i="2" l="1"/>
  <c r="P237" i="2"/>
  <c r="O237" i="2"/>
  <c r="N237" i="2"/>
  <c r="M237" i="2"/>
  <c r="L237" i="2"/>
  <c r="D239" i="2"/>
  <c r="E238" i="2"/>
  <c r="D240" i="2" l="1"/>
  <c r="E239" i="2"/>
  <c r="N238" i="2"/>
  <c r="O238" i="2"/>
  <c r="M238" i="2"/>
  <c r="L238" i="2"/>
  <c r="P238" i="2"/>
  <c r="R237" i="2"/>
  <c r="R238" i="2" l="1"/>
  <c r="O239" i="2"/>
  <c r="M239" i="2"/>
  <c r="N239" i="2"/>
  <c r="L239" i="2"/>
  <c r="P239" i="2"/>
  <c r="D241" i="2"/>
  <c r="E240" i="2"/>
  <c r="P240" i="2" l="1"/>
  <c r="N240" i="2"/>
  <c r="O240" i="2"/>
  <c r="L240" i="2"/>
  <c r="M240" i="2"/>
  <c r="R239" i="2"/>
  <c r="D242" i="2"/>
  <c r="E241" i="2"/>
  <c r="D243" i="2" l="1"/>
  <c r="E242" i="2"/>
  <c r="R240" i="2"/>
  <c r="P241" i="2"/>
  <c r="O241" i="2"/>
  <c r="N241" i="2"/>
  <c r="M241" i="2"/>
  <c r="L241" i="2"/>
  <c r="R241" i="2" l="1"/>
  <c r="O242" i="2"/>
  <c r="P242" i="2"/>
  <c r="N242" i="2"/>
  <c r="M242" i="2"/>
  <c r="L242" i="2"/>
  <c r="D244" i="2"/>
  <c r="E243" i="2"/>
  <c r="D245" i="2" l="1"/>
  <c r="E244" i="2"/>
  <c r="N243" i="2"/>
  <c r="O243" i="2"/>
  <c r="P243" i="2"/>
  <c r="M243" i="2"/>
  <c r="L243" i="2"/>
  <c r="R242" i="2"/>
  <c r="R243" i="2" l="1"/>
  <c r="N244" i="2"/>
  <c r="O244" i="2"/>
  <c r="P244" i="2"/>
  <c r="M244" i="2"/>
  <c r="L244" i="2"/>
  <c r="D246" i="2"/>
  <c r="E245" i="2"/>
  <c r="O245" i="2" l="1"/>
  <c r="P245" i="2"/>
  <c r="M245" i="2"/>
  <c r="N245" i="2"/>
  <c r="L245" i="2"/>
  <c r="R244" i="2"/>
  <c r="D247" i="2"/>
  <c r="E246" i="2"/>
  <c r="R245" i="2" l="1"/>
  <c r="O246" i="2"/>
  <c r="P246" i="2"/>
  <c r="M246" i="2"/>
  <c r="N246" i="2"/>
  <c r="L246" i="2"/>
  <c r="D248" i="2"/>
  <c r="E247" i="2"/>
  <c r="D249" i="2" l="1"/>
  <c r="E248" i="2"/>
  <c r="R246" i="2"/>
  <c r="O247" i="2"/>
  <c r="P247" i="2"/>
  <c r="M247" i="2"/>
  <c r="L247" i="2"/>
  <c r="N247" i="2"/>
  <c r="R247" i="2" l="1"/>
  <c r="O248" i="2"/>
  <c r="P248" i="2"/>
  <c r="M248" i="2"/>
  <c r="N248" i="2"/>
  <c r="L248" i="2"/>
  <c r="D250" i="2"/>
  <c r="E249" i="2"/>
  <c r="R248" i="2" l="1"/>
  <c r="P249" i="2"/>
  <c r="M249" i="2"/>
  <c r="O249" i="2"/>
  <c r="N249" i="2"/>
  <c r="L249" i="2"/>
  <c r="D251" i="2"/>
  <c r="E250" i="2"/>
  <c r="P250" i="2" l="1"/>
  <c r="N250" i="2"/>
  <c r="L250" i="2"/>
  <c r="M250" i="2"/>
  <c r="O250" i="2"/>
  <c r="R249" i="2"/>
  <c r="D252" i="2"/>
  <c r="E251" i="2"/>
  <c r="R250" i="2" l="1"/>
  <c r="D253" i="2"/>
  <c r="E252" i="2"/>
  <c r="P251" i="2"/>
  <c r="N251" i="2"/>
  <c r="L251" i="2"/>
  <c r="M251" i="2"/>
  <c r="O251" i="2"/>
  <c r="O252" i="2" l="1"/>
  <c r="P252" i="2"/>
  <c r="N252" i="2"/>
  <c r="L252" i="2"/>
  <c r="M252" i="2"/>
  <c r="R251" i="2"/>
  <c r="D254" i="2"/>
  <c r="E253" i="2"/>
  <c r="D255" i="2" l="1"/>
  <c r="E254" i="2"/>
  <c r="P253" i="2"/>
  <c r="N253" i="2"/>
  <c r="L253" i="2"/>
  <c r="O253" i="2"/>
  <c r="M253" i="2"/>
  <c r="R252" i="2"/>
  <c r="R253" i="2" l="1"/>
  <c r="P254" i="2"/>
  <c r="N254" i="2"/>
  <c r="L254" i="2"/>
  <c r="O254" i="2"/>
  <c r="M254" i="2"/>
  <c r="D256" i="2"/>
  <c r="E255" i="2"/>
  <c r="R254" i="2" l="1"/>
  <c r="D257" i="2"/>
  <c r="E256" i="2"/>
  <c r="P255" i="2"/>
  <c r="N255" i="2"/>
  <c r="L255" i="2"/>
  <c r="O255" i="2"/>
  <c r="M255" i="2"/>
  <c r="R255" i="2" l="1"/>
  <c r="P256" i="2"/>
  <c r="N256" i="2"/>
  <c r="L256" i="2"/>
  <c r="M256" i="2"/>
  <c r="O256" i="2"/>
  <c r="D258" i="2"/>
  <c r="E257" i="2"/>
  <c r="R256" i="2" l="1"/>
  <c r="P257" i="2"/>
  <c r="N257" i="2"/>
  <c r="M257" i="2"/>
  <c r="O257" i="2"/>
  <c r="L257" i="2"/>
  <c r="D259" i="2"/>
  <c r="E258" i="2"/>
  <c r="D260" i="2" l="1"/>
  <c r="E259" i="2"/>
  <c r="P258" i="2"/>
  <c r="N258" i="2"/>
  <c r="O258" i="2"/>
  <c r="M258" i="2"/>
  <c r="L258" i="2"/>
  <c r="R258" i="2" s="1"/>
  <c r="R257" i="2"/>
  <c r="P259" i="2" l="1"/>
  <c r="M259" i="2"/>
  <c r="N259" i="2"/>
  <c r="O259" i="2"/>
  <c r="L259" i="2"/>
  <c r="R259" i="2" s="1"/>
  <c r="D261" i="2"/>
  <c r="E260" i="2"/>
  <c r="D262" i="2" l="1"/>
  <c r="E261" i="2"/>
  <c r="P260" i="2"/>
  <c r="O260" i="2"/>
  <c r="M260" i="2"/>
  <c r="N260" i="2"/>
  <c r="L260" i="2"/>
  <c r="R260" i="2" l="1"/>
  <c r="P261" i="2"/>
  <c r="O261" i="2"/>
  <c r="M261" i="2"/>
  <c r="N261" i="2"/>
  <c r="L261" i="2"/>
  <c r="D263" i="2"/>
  <c r="E262" i="2"/>
  <c r="R261" i="2" l="1"/>
  <c r="P262" i="2"/>
  <c r="O262" i="2"/>
  <c r="M262" i="2"/>
  <c r="L262" i="2"/>
  <c r="N262" i="2"/>
  <c r="D264" i="2"/>
  <c r="E263" i="2"/>
  <c r="N263" i="2" l="1"/>
  <c r="O263" i="2"/>
  <c r="M263" i="2"/>
  <c r="L263" i="2"/>
  <c r="P263" i="2"/>
  <c r="D265" i="2"/>
  <c r="E264" i="2"/>
  <c r="R262" i="2"/>
  <c r="N264" i="2" l="1"/>
  <c r="O264" i="2"/>
  <c r="M264" i="2"/>
  <c r="L264" i="2"/>
  <c r="P264" i="2"/>
  <c r="D266" i="2"/>
  <c r="E265" i="2"/>
  <c r="R263" i="2"/>
  <c r="R264" i="2" l="1"/>
  <c r="D267" i="2"/>
  <c r="E266" i="2"/>
  <c r="O265" i="2"/>
  <c r="M265" i="2"/>
  <c r="L265" i="2"/>
  <c r="P265" i="2"/>
  <c r="N265" i="2"/>
  <c r="R265" i="2" l="1"/>
  <c r="O266" i="2"/>
  <c r="M266" i="2"/>
  <c r="N266" i="2"/>
  <c r="P266" i="2"/>
  <c r="L266" i="2"/>
  <c r="R266" i="2" s="1"/>
  <c r="D268" i="2"/>
  <c r="E267" i="2"/>
  <c r="O267" i="2" l="1"/>
  <c r="M267" i="2"/>
  <c r="N267" i="2"/>
  <c r="L267" i="2"/>
  <c r="P267" i="2"/>
  <c r="D269" i="2"/>
  <c r="E268" i="2"/>
  <c r="O268" i="2" l="1"/>
  <c r="M268" i="2"/>
  <c r="N268" i="2"/>
  <c r="P268" i="2"/>
  <c r="L268" i="2"/>
  <c r="D270" i="2"/>
  <c r="E269" i="2"/>
  <c r="R267" i="2"/>
  <c r="R268" i="2" l="1"/>
  <c r="D271" i="2"/>
  <c r="E270" i="2"/>
  <c r="O269" i="2"/>
  <c r="M269" i="2"/>
  <c r="N269" i="2"/>
  <c r="P269" i="2"/>
  <c r="L269" i="2"/>
  <c r="R269" i="2" l="1"/>
  <c r="O270" i="2"/>
  <c r="M270" i="2"/>
  <c r="N270" i="2"/>
  <c r="P270" i="2"/>
  <c r="L270" i="2"/>
  <c r="D272" i="2"/>
  <c r="E271" i="2"/>
  <c r="R270" i="2" l="1"/>
  <c r="D273" i="2"/>
  <c r="E272" i="2"/>
  <c r="O271" i="2"/>
  <c r="N271" i="2"/>
  <c r="P271" i="2"/>
  <c r="M271" i="2"/>
  <c r="L271" i="2"/>
  <c r="R271" i="2" s="1"/>
  <c r="O272" i="2" l="1"/>
  <c r="P272" i="2"/>
  <c r="N272" i="2"/>
  <c r="L272" i="2"/>
  <c r="M272" i="2"/>
  <c r="D274" i="2"/>
  <c r="E273" i="2"/>
  <c r="O273" i="2" l="1"/>
  <c r="P273" i="2"/>
  <c r="N273" i="2"/>
  <c r="L273" i="2"/>
  <c r="M273" i="2"/>
  <c r="D275" i="2"/>
  <c r="E274" i="2"/>
  <c r="R272" i="2"/>
  <c r="D276" i="2" l="1"/>
  <c r="E275" i="2"/>
  <c r="P274" i="2"/>
  <c r="O274" i="2"/>
  <c r="N274" i="2"/>
  <c r="L274" i="2"/>
  <c r="M274" i="2"/>
  <c r="R273" i="2"/>
  <c r="P275" i="2" l="1"/>
  <c r="O275" i="2"/>
  <c r="N275" i="2"/>
  <c r="L275" i="2"/>
  <c r="M275" i="2"/>
  <c r="R274" i="2"/>
  <c r="D277" i="2"/>
  <c r="E276" i="2"/>
  <c r="R275" i="2" l="1"/>
  <c r="D278" i="2"/>
  <c r="E277" i="2"/>
  <c r="P276" i="2"/>
  <c r="O276" i="2"/>
  <c r="N276" i="2"/>
  <c r="L276" i="2"/>
  <c r="M276" i="2"/>
  <c r="R276" i="2" l="1"/>
  <c r="P277" i="2"/>
  <c r="N277" i="2"/>
  <c r="O277" i="2"/>
  <c r="L277" i="2"/>
  <c r="M277" i="2"/>
  <c r="D279" i="2"/>
  <c r="E278" i="2"/>
  <c r="P278" i="2" l="1"/>
  <c r="N278" i="2"/>
  <c r="O278" i="2"/>
  <c r="L278" i="2"/>
  <c r="M278" i="2"/>
  <c r="D280" i="2"/>
  <c r="E279" i="2"/>
  <c r="R277" i="2"/>
  <c r="D281" i="2" l="1"/>
  <c r="E280" i="2"/>
  <c r="R278" i="2"/>
  <c r="P279" i="2"/>
  <c r="N279" i="2"/>
  <c r="M279" i="2"/>
  <c r="O279" i="2"/>
  <c r="L279" i="2"/>
  <c r="R279" i="2" s="1"/>
  <c r="P280" i="2" l="1"/>
  <c r="N280" i="2"/>
  <c r="O280" i="2"/>
  <c r="M280" i="2"/>
  <c r="L280" i="2"/>
  <c r="D282" i="2"/>
  <c r="E281" i="2"/>
  <c r="R280" i="2" l="1"/>
  <c r="P281" i="2"/>
  <c r="O281" i="2"/>
  <c r="M281" i="2"/>
  <c r="N281" i="2"/>
  <c r="L281" i="2"/>
  <c r="R281" i="2" s="1"/>
  <c r="D283" i="2"/>
  <c r="E282" i="2"/>
  <c r="D284" i="2" l="1"/>
  <c r="E283" i="2"/>
  <c r="P282" i="2"/>
  <c r="O282" i="2"/>
  <c r="L282" i="2"/>
  <c r="M282" i="2"/>
  <c r="N282" i="2"/>
  <c r="R282" i="2" l="1"/>
  <c r="P283" i="2"/>
  <c r="N283" i="2"/>
  <c r="O283" i="2"/>
  <c r="M283" i="2"/>
  <c r="L283" i="2"/>
  <c r="D285" i="2"/>
  <c r="E284" i="2"/>
  <c r="R283" i="2" l="1"/>
  <c r="D286" i="2"/>
  <c r="E285" i="2"/>
  <c r="N284" i="2"/>
  <c r="P284" i="2"/>
  <c r="O284" i="2"/>
  <c r="M284" i="2"/>
  <c r="L284" i="2"/>
  <c r="R284" i="2" l="1"/>
  <c r="P285" i="2"/>
  <c r="O285" i="2"/>
  <c r="M285" i="2"/>
  <c r="L285" i="2"/>
  <c r="N285" i="2"/>
  <c r="D287" i="2"/>
  <c r="E286" i="2"/>
  <c r="P286" i="2" l="1"/>
  <c r="O286" i="2"/>
  <c r="M286" i="2"/>
  <c r="L286" i="2"/>
  <c r="N286" i="2"/>
  <c r="D288" i="2"/>
  <c r="E287" i="2"/>
  <c r="R285" i="2"/>
  <c r="R286" i="2" l="1"/>
  <c r="D289" i="2"/>
  <c r="E288" i="2"/>
  <c r="P287" i="2"/>
  <c r="O287" i="2"/>
  <c r="M287" i="2"/>
  <c r="L287" i="2"/>
  <c r="N287" i="2"/>
  <c r="R287" i="2" l="1"/>
  <c r="P288" i="2"/>
  <c r="O288" i="2"/>
  <c r="M288" i="2"/>
  <c r="L288" i="2"/>
  <c r="N288" i="2"/>
  <c r="D290" i="2"/>
  <c r="E289" i="2"/>
  <c r="R288" i="2" l="1"/>
  <c r="D291" i="2"/>
  <c r="E290" i="2"/>
  <c r="P289" i="2"/>
  <c r="O289" i="2"/>
  <c r="M289" i="2"/>
  <c r="L289" i="2"/>
  <c r="N289" i="2"/>
  <c r="R289" i="2" l="1"/>
  <c r="P290" i="2"/>
  <c r="O290" i="2"/>
  <c r="M290" i="2"/>
  <c r="L290" i="2"/>
  <c r="N290" i="2"/>
  <c r="D292" i="2"/>
  <c r="E291" i="2"/>
  <c r="O291" i="2" l="1"/>
  <c r="M291" i="2"/>
  <c r="P291" i="2"/>
  <c r="N291" i="2"/>
  <c r="L291" i="2"/>
  <c r="R290" i="2"/>
  <c r="D293" i="2"/>
  <c r="E292" i="2"/>
  <c r="O292" i="2" l="1"/>
  <c r="L292" i="2"/>
  <c r="P292" i="2"/>
  <c r="N292" i="2"/>
  <c r="M292" i="2"/>
  <c r="D294" i="2"/>
  <c r="E293" i="2"/>
  <c r="R291" i="2"/>
  <c r="O293" i="2" l="1"/>
  <c r="L293" i="2"/>
  <c r="P293" i="2"/>
  <c r="N293" i="2"/>
  <c r="M293" i="2"/>
  <c r="R292" i="2"/>
  <c r="D295" i="2"/>
  <c r="E294" i="2"/>
  <c r="D296" i="2" l="1"/>
  <c r="E295" i="2"/>
  <c r="P294" i="2"/>
  <c r="N294" i="2"/>
  <c r="O294" i="2"/>
  <c r="L294" i="2"/>
  <c r="M294" i="2"/>
  <c r="R293" i="2"/>
  <c r="R294" i="2" l="1"/>
  <c r="P295" i="2"/>
  <c r="N295" i="2"/>
  <c r="M295" i="2"/>
  <c r="O295" i="2"/>
  <c r="L295" i="2"/>
  <c r="D297" i="2"/>
  <c r="E296" i="2"/>
  <c r="D298" i="2" l="1"/>
  <c r="E297" i="2"/>
  <c r="R295" i="2"/>
  <c r="P296" i="2"/>
  <c r="N296" i="2"/>
  <c r="M296" i="2"/>
  <c r="O296" i="2"/>
  <c r="L296" i="2"/>
  <c r="R296" i="2" l="1"/>
  <c r="P297" i="2"/>
  <c r="N297" i="2"/>
  <c r="M297" i="2"/>
  <c r="O297" i="2"/>
  <c r="L297" i="2"/>
  <c r="D299" i="2"/>
  <c r="E298" i="2"/>
  <c r="R297" i="2" l="1"/>
  <c r="D300" i="2"/>
  <c r="E299" i="2"/>
  <c r="P298" i="2"/>
  <c r="N298" i="2"/>
  <c r="M298" i="2"/>
  <c r="O298" i="2"/>
  <c r="L298" i="2"/>
  <c r="R298" i="2" l="1"/>
  <c r="P299" i="2"/>
  <c r="N299" i="2"/>
  <c r="O299" i="2"/>
  <c r="M299" i="2"/>
  <c r="L299" i="2"/>
  <c r="D301" i="2"/>
  <c r="E300" i="2"/>
  <c r="R299" i="2" l="1"/>
  <c r="D302" i="2"/>
  <c r="E301" i="2"/>
  <c r="P300" i="2"/>
  <c r="N300" i="2"/>
  <c r="O300" i="2"/>
  <c r="M300" i="2"/>
  <c r="L300" i="2"/>
  <c r="R300" i="2" l="1"/>
  <c r="N301" i="2"/>
  <c r="P301" i="2"/>
  <c r="O301" i="2"/>
  <c r="M301" i="2"/>
  <c r="L301" i="2"/>
  <c r="R301" i="2" s="1"/>
  <c r="D303" i="2"/>
  <c r="E302" i="2"/>
  <c r="P302" i="2" l="1"/>
  <c r="N302" i="2"/>
  <c r="O302" i="2"/>
  <c r="M302" i="2"/>
  <c r="L302" i="2"/>
  <c r="D304" i="2"/>
  <c r="E303" i="2"/>
  <c r="R302" i="2" l="1"/>
  <c r="P303" i="2"/>
  <c r="N303" i="2"/>
  <c r="O303" i="2"/>
  <c r="L303" i="2"/>
  <c r="M303" i="2"/>
  <c r="D305" i="2"/>
  <c r="E304" i="2"/>
  <c r="D306" i="2" l="1"/>
  <c r="E305" i="2"/>
  <c r="P304" i="2"/>
  <c r="N304" i="2"/>
  <c r="O304" i="2"/>
  <c r="L304" i="2"/>
  <c r="M304" i="2"/>
  <c r="R303" i="2"/>
  <c r="R304" i="2" l="1"/>
  <c r="P305" i="2"/>
  <c r="O305" i="2"/>
  <c r="N305" i="2"/>
  <c r="L305" i="2"/>
  <c r="M305" i="2"/>
  <c r="D307" i="2"/>
  <c r="E306" i="2"/>
  <c r="P306" i="2" l="1"/>
  <c r="N306" i="2"/>
  <c r="M306" i="2"/>
  <c r="O306" i="2"/>
  <c r="L306" i="2"/>
  <c r="D308" i="2"/>
  <c r="E307" i="2"/>
  <c r="R305" i="2"/>
  <c r="D309" i="2" l="1"/>
  <c r="E308" i="2"/>
  <c r="P307" i="2"/>
  <c r="O307" i="2"/>
  <c r="N307" i="2"/>
  <c r="M307" i="2"/>
  <c r="L307" i="2"/>
  <c r="R306" i="2"/>
  <c r="R307" i="2" l="1"/>
  <c r="P308" i="2"/>
  <c r="O308" i="2"/>
  <c r="N308" i="2"/>
  <c r="M308" i="2"/>
  <c r="L308" i="2"/>
  <c r="D310" i="2"/>
  <c r="E309" i="2"/>
  <c r="R308" i="2" l="1"/>
  <c r="D311" i="2"/>
  <c r="E310" i="2"/>
  <c r="P309" i="2"/>
  <c r="O309" i="2"/>
  <c r="N309" i="2"/>
  <c r="M309" i="2"/>
  <c r="L309" i="2"/>
  <c r="R309" i="2" s="1"/>
  <c r="O310" i="2" l="1"/>
  <c r="P310" i="2"/>
  <c r="N310" i="2"/>
  <c r="M310" i="2"/>
  <c r="L310" i="2"/>
  <c r="D312" i="2"/>
  <c r="E311" i="2"/>
  <c r="O311" i="2" l="1"/>
  <c r="P311" i="2"/>
  <c r="N311" i="2"/>
  <c r="M311" i="2"/>
  <c r="L311" i="2"/>
  <c r="R310" i="2"/>
  <c r="D313" i="2"/>
  <c r="E312" i="2"/>
  <c r="R311" i="2" l="1"/>
  <c r="O312" i="2"/>
  <c r="P312" i="2"/>
  <c r="N312" i="2"/>
  <c r="M312" i="2"/>
  <c r="L312" i="2"/>
  <c r="R312" i="2" s="1"/>
  <c r="D314" i="2"/>
  <c r="E313" i="2"/>
  <c r="O313" i="2" l="1"/>
  <c r="P313" i="2"/>
  <c r="L313" i="2"/>
  <c r="N313" i="2"/>
  <c r="M313" i="2"/>
  <c r="D315" i="2"/>
  <c r="E314" i="2"/>
  <c r="R313" i="2" l="1"/>
  <c r="O314" i="2"/>
  <c r="P314" i="2"/>
  <c r="N314" i="2"/>
  <c r="L314" i="2"/>
  <c r="M314" i="2"/>
  <c r="D316" i="2"/>
  <c r="E315" i="2"/>
  <c r="R314" i="2" l="1"/>
  <c r="O315" i="2"/>
  <c r="N315" i="2"/>
  <c r="P315" i="2"/>
  <c r="M315" i="2"/>
  <c r="L315" i="2"/>
  <c r="D317" i="2"/>
  <c r="E316" i="2"/>
  <c r="R315" i="2" l="1"/>
  <c r="P316" i="2"/>
  <c r="O316" i="2"/>
  <c r="M316" i="2"/>
  <c r="N316" i="2"/>
  <c r="L316" i="2"/>
  <c r="R316" i="2" s="1"/>
  <c r="D318" i="2"/>
  <c r="E317" i="2"/>
  <c r="D319" i="2" l="1"/>
  <c r="E318" i="2"/>
  <c r="P317" i="2"/>
  <c r="O317" i="2"/>
  <c r="M317" i="2"/>
  <c r="N317" i="2"/>
  <c r="L317" i="2"/>
  <c r="R317" i="2" l="1"/>
  <c r="P318" i="2"/>
  <c r="N318" i="2"/>
  <c r="O318" i="2"/>
  <c r="M318" i="2"/>
  <c r="L318" i="2"/>
  <c r="D320" i="2"/>
  <c r="E319" i="2"/>
  <c r="R318" i="2" l="1"/>
  <c r="D321" i="2"/>
  <c r="E320" i="2"/>
  <c r="P319" i="2"/>
  <c r="M319" i="2"/>
  <c r="L319" i="2"/>
  <c r="O319" i="2"/>
  <c r="N319" i="2"/>
  <c r="P320" i="2" l="1"/>
  <c r="N320" i="2"/>
  <c r="L320" i="2"/>
  <c r="M320" i="2"/>
  <c r="O320" i="2"/>
  <c r="R319" i="2"/>
  <c r="D322" i="2"/>
  <c r="E321" i="2"/>
  <c r="P321" i="2" l="1"/>
  <c r="N321" i="2"/>
  <c r="O321" i="2"/>
  <c r="L321" i="2"/>
  <c r="M321" i="2"/>
  <c r="D323" i="2"/>
  <c r="E322" i="2"/>
  <c r="R320" i="2"/>
  <c r="P322" i="2" l="1"/>
  <c r="N322" i="2"/>
  <c r="O322" i="2"/>
  <c r="L322" i="2"/>
  <c r="M322" i="2"/>
  <c r="D324" i="2"/>
  <c r="E323" i="2"/>
  <c r="R321" i="2"/>
  <c r="N323" i="2" l="1"/>
  <c r="P323" i="2"/>
  <c r="O323" i="2"/>
  <c r="L323" i="2"/>
  <c r="M323" i="2"/>
  <c r="D325" i="2"/>
  <c r="E324" i="2"/>
  <c r="R322" i="2"/>
  <c r="N324" i="2" l="1"/>
  <c r="P324" i="2"/>
  <c r="O324" i="2"/>
  <c r="L324" i="2"/>
  <c r="M324" i="2"/>
  <c r="D326" i="2"/>
  <c r="E325" i="2"/>
  <c r="R323" i="2"/>
  <c r="R324" i="2" l="1"/>
  <c r="D327" i="2"/>
  <c r="E326" i="2"/>
  <c r="P325" i="2"/>
  <c r="N325" i="2"/>
  <c r="O325" i="2"/>
  <c r="L325" i="2"/>
  <c r="M325" i="2"/>
  <c r="P326" i="2" l="1"/>
  <c r="N326" i="2"/>
  <c r="O326" i="2"/>
  <c r="M326" i="2"/>
  <c r="L326" i="2"/>
  <c r="R325" i="2"/>
  <c r="D328" i="2"/>
  <c r="E327" i="2"/>
  <c r="R326" i="2" l="1"/>
  <c r="P327" i="2"/>
  <c r="N327" i="2"/>
  <c r="O327" i="2"/>
  <c r="M327" i="2"/>
  <c r="L327" i="2"/>
  <c r="D329" i="2"/>
  <c r="E328" i="2"/>
  <c r="R327" i="2" l="1"/>
  <c r="D330" i="2"/>
  <c r="E329" i="2"/>
  <c r="P328" i="2"/>
  <c r="N328" i="2"/>
  <c r="O328" i="2"/>
  <c r="M328" i="2"/>
  <c r="L328" i="2"/>
  <c r="P329" i="2" l="1"/>
  <c r="O329" i="2"/>
  <c r="M329" i="2"/>
  <c r="N329" i="2"/>
  <c r="L329" i="2"/>
  <c r="R328" i="2"/>
  <c r="D331" i="2"/>
  <c r="E330" i="2"/>
  <c r="R329" i="2" l="1"/>
  <c r="P330" i="2"/>
  <c r="O330" i="2"/>
  <c r="M330" i="2"/>
  <c r="N330" i="2"/>
  <c r="L330" i="2"/>
  <c r="D332" i="2"/>
  <c r="E331" i="2"/>
  <c r="R330" i="2" l="1"/>
  <c r="P331" i="2"/>
  <c r="O331" i="2"/>
  <c r="M331" i="2"/>
  <c r="N331" i="2"/>
  <c r="L331" i="2"/>
  <c r="D333" i="2"/>
  <c r="E332" i="2"/>
  <c r="R331" i="2" l="1"/>
  <c r="D334" i="2"/>
  <c r="E333" i="2"/>
  <c r="O332" i="2"/>
  <c r="P332" i="2"/>
  <c r="M332" i="2"/>
  <c r="L332" i="2"/>
  <c r="N332" i="2"/>
  <c r="R332" i="2" l="1"/>
  <c r="O333" i="2"/>
  <c r="P333" i="2"/>
  <c r="M333" i="2"/>
  <c r="L333" i="2"/>
  <c r="N333" i="2"/>
  <c r="D335" i="2"/>
  <c r="E334" i="2"/>
  <c r="P334" i="2" l="1"/>
  <c r="O334" i="2"/>
  <c r="M334" i="2"/>
  <c r="N334" i="2"/>
  <c r="L334" i="2"/>
  <c r="D336" i="2"/>
  <c r="E335" i="2"/>
  <c r="R333" i="2"/>
  <c r="R334" i="2" l="1"/>
  <c r="O335" i="2"/>
  <c r="P335" i="2"/>
  <c r="M335" i="2"/>
  <c r="L335" i="2"/>
  <c r="N335" i="2"/>
  <c r="D337" i="2"/>
  <c r="E336" i="2"/>
  <c r="O336" i="2" l="1"/>
  <c r="N336" i="2"/>
  <c r="P336" i="2"/>
  <c r="M336" i="2"/>
  <c r="L336" i="2"/>
  <c r="R336" i="2" s="1"/>
  <c r="D338" i="2"/>
  <c r="E337" i="2"/>
  <c r="R335" i="2"/>
  <c r="O337" i="2" l="1"/>
  <c r="N337" i="2"/>
  <c r="M337" i="2"/>
  <c r="L337" i="2"/>
  <c r="P337" i="2"/>
  <c r="D339" i="2"/>
  <c r="E338" i="2"/>
  <c r="R337" i="2" l="1"/>
  <c r="D340" i="2"/>
  <c r="E339" i="2"/>
  <c r="N338" i="2"/>
  <c r="O338" i="2"/>
  <c r="M338" i="2"/>
  <c r="L338" i="2"/>
  <c r="P338" i="2"/>
  <c r="R338" i="2" l="1"/>
  <c r="O339" i="2"/>
  <c r="M339" i="2"/>
  <c r="N339" i="2"/>
  <c r="P339" i="2"/>
  <c r="L339" i="2"/>
  <c r="R339" i="2" s="1"/>
  <c r="D341" i="2"/>
  <c r="E340" i="2"/>
  <c r="P340" i="2" l="1"/>
  <c r="O340" i="2"/>
  <c r="N340" i="2"/>
  <c r="L340" i="2"/>
  <c r="M340" i="2"/>
  <c r="D342" i="2"/>
  <c r="E341" i="2"/>
  <c r="O341" i="2" l="1"/>
  <c r="N341" i="2"/>
  <c r="P341" i="2"/>
  <c r="L341" i="2"/>
  <c r="M341" i="2"/>
  <c r="D343" i="2"/>
  <c r="E342" i="2"/>
  <c r="R340" i="2"/>
  <c r="P342" i="2" l="1"/>
  <c r="O342" i="2"/>
  <c r="N342" i="2"/>
  <c r="L342" i="2"/>
  <c r="M342" i="2"/>
  <c r="D344" i="2"/>
  <c r="E343" i="2"/>
  <c r="R341" i="2"/>
  <c r="P343" i="2" l="1"/>
  <c r="N343" i="2"/>
  <c r="O343" i="2"/>
  <c r="L343" i="2"/>
  <c r="M343" i="2"/>
  <c r="D345" i="2"/>
  <c r="E344" i="2"/>
  <c r="R342" i="2"/>
  <c r="R343" i="2" l="1"/>
  <c r="D346" i="2"/>
  <c r="E345" i="2"/>
  <c r="P344" i="2"/>
  <c r="N344" i="2"/>
  <c r="L344" i="2"/>
  <c r="O344" i="2"/>
  <c r="M344" i="2"/>
  <c r="R344" i="2" l="1"/>
  <c r="P345" i="2"/>
  <c r="N345" i="2"/>
  <c r="L345" i="2"/>
  <c r="O345" i="2"/>
  <c r="M345" i="2"/>
  <c r="D347" i="2"/>
  <c r="E346" i="2"/>
  <c r="N346" i="2" l="1"/>
  <c r="L346" i="2"/>
  <c r="P346" i="2"/>
  <c r="O346" i="2"/>
  <c r="M346" i="2"/>
  <c r="D348" i="2"/>
  <c r="E347" i="2"/>
  <c r="R345" i="2"/>
  <c r="N347" i="2" l="1"/>
  <c r="L347" i="2"/>
  <c r="P347" i="2"/>
  <c r="O347" i="2"/>
  <c r="M347" i="2"/>
  <c r="D349" i="2"/>
  <c r="E348" i="2"/>
  <c r="R346" i="2"/>
  <c r="N348" i="2" l="1"/>
  <c r="M348" i="2"/>
  <c r="L348" i="2"/>
  <c r="P348" i="2"/>
  <c r="O348" i="2"/>
  <c r="D350" i="2"/>
  <c r="E349" i="2"/>
  <c r="R347" i="2"/>
  <c r="N349" i="2" l="1"/>
  <c r="M349" i="2"/>
  <c r="L349" i="2"/>
  <c r="P349" i="2"/>
  <c r="O349" i="2"/>
  <c r="D351" i="2"/>
  <c r="E350" i="2"/>
  <c r="R348" i="2"/>
  <c r="N350" i="2" l="1"/>
  <c r="M350" i="2"/>
  <c r="P350" i="2"/>
  <c r="L350" i="2"/>
  <c r="O350" i="2"/>
  <c r="D352" i="2"/>
  <c r="E351" i="2"/>
  <c r="R349" i="2"/>
  <c r="O351" i="2" l="1"/>
  <c r="N351" i="2"/>
  <c r="P351" i="2"/>
  <c r="M351" i="2"/>
  <c r="L351" i="2"/>
  <c r="D353" i="2"/>
  <c r="E352" i="2"/>
  <c r="R350" i="2"/>
  <c r="R351" i="2" l="1"/>
  <c r="O352" i="2"/>
  <c r="P352" i="2"/>
  <c r="N352" i="2"/>
  <c r="L352" i="2"/>
  <c r="M352" i="2"/>
  <c r="D354" i="2"/>
  <c r="E353" i="2"/>
  <c r="O353" i="2" l="1"/>
  <c r="P353" i="2"/>
  <c r="L353" i="2"/>
  <c r="M353" i="2"/>
  <c r="N353" i="2"/>
  <c r="D355" i="2"/>
  <c r="E354" i="2"/>
  <c r="R352" i="2"/>
  <c r="P354" i="2" l="1"/>
  <c r="O354" i="2"/>
  <c r="M354" i="2"/>
  <c r="N354" i="2"/>
  <c r="L354" i="2"/>
  <c r="D356" i="2"/>
  <c r="E355" i="2"/>
  <c r="R353" i="2"/>
  <c r="R354" i="2" l="1"/>
  <c r="P355" i="2"/>
  <c r="O355" i="2"/>
  <c r="L355" i="2"/>
  <c r="M355" i="2"/>
  <c r="N355" i="2"/>
  <c r="D357" i="2"/>
  <c r="E356" i="2"/>
  <c r="P356" i="2" l="1"/>
  <c r="O356" i="2"/>
  <c r="N356" i="2"/>
  <c r="M356" i="2"/>
  <c r="L356" i="2"/>
  <c r="D358" i="2"/>
  <c r="E357" i="2"/>
  <c r="R355" i="2"/>
  <c r="R356" i="2" l="1"/>
  <c r="P357" i="2"/>
  <c r="O357" i="2"/>
  <c r="N357" i="2"/>
  <c r="L357" i="2"/>
  <c r="M357" i="2"/>
  <c r="D359" i="2"/>
  <c r="E358" i="2"/>
  <c r="P358" i="2" l="1"/>
  <c r="O358" i="2"/>
  <c r="N358" i="2"/>
  <c r="M358" i="2"/>
  <c r="L358" i="2"/>
  <c r="D360" i="2"/>
  <c r="E359" i="2"/>
  <c r="R357" i="2"/>
  <c r="R358" i="2" l="1"/>
  <c r="P359" i="2"/>
  <c r="O359" i="2"/>
  <c r="M359" i="2"/>
  <c r="N359" i="2"/>
  <c r="L359" i="2"/>
  <c r="D361" i="2"/>
  <c r="E360" i="2"/>
  <c r="R359" i="2" l="1"/>
  <c r="D362" i="2"/>
  <c r="E361" i="2"/>
  <c r="P360" i="2"/>
  <c r="N360" i="2"/>
  <c r="M360" i="2"/>
  <c r="L360" i="2"/>
  <c r="O360" i="2"/>
  <c r="R360" i="2" l="1"/>
  <c r="P361" i="2"/>
  <c r="N361" i="2"/>
  <c r="M361" i="2"/>
  <c r="L361" i="2"/>
  <c r="O361" i="2"/>
  <c r="D363" i="2"/>
  <c r="E362" i="2"/>
  <c r="P362" i="2" l="1"/>
  <c r="N362" i="2"/>
  <c r="M362" i="2"/>
  <c r="O362" i="2"/>
  <c r="L362" i="2"/>
  <c r="D364" i="2"/>
  <c r="E363" i="2"/>
  <c r="R361" i="2"/>
  <c r="D365" i="2" l="1"/>
  <c r="E364" i="2"/>
  <c r="R362" i="2"/>
  <c r="N363" i="2"/>
  <c r="P363" i="2"/>
  <c r="M363" i="2"/>
  <c r="L363" i="2"/>
  <c r="O363" i="2"/>
  <c r="R363" i="2" l="1"/>
  <c r="P364" i="2"/>
  <c r="N364" i="2"/>
  <c r="M364" i="2"/>
  <c r="O364" i="2"/>
  <c r="L364" i="2"/>
  <c r="R364" i="2" s="1"/>
  <c r="D366" i="2"/>
  <c r="E365" i="2"/>
  <c r="P365" i="2" l="1"/>
  <c r="N365" i="2"/>
  <c r="M365" i="2"/>
  <c r="O365" i="2"/>
  <c r="L365" i="2"/>
  <c r="D367" i="2"/>
  <c r="E366" i="2"/>
  <c r="R365" i="2" l="1"/>
  <c r="P366" i="2"/>
  <c r="O366" i="2"/>
  <c r="M366" i="2"/>
  <c r="L366" i="2"/>
  <c r="N366" i="2"/>
  <c r="D368" i="2"/>
  <c r="E367" i="2"/>
  <c r="P367" i="2" l="1"/>
  <c r="O367" i="2"/>
  <c r="L367" i="2"/>
  <c r="M367" i="2"/>
  <c r="N367" i="2"/>
  <c r="D369" i="2"/>
  <c r="E368" i="2"/>
  <c r="R366" i="2"/>
  <c r="P368" i="2" l="1"/>
  <c r="O368" i="2"/>
  <c r="N368" i="2"/>
  <c r="L368" i="2"/>
  <c r="M368" i="2"/>
  <c r="D370" i="2"/>
  <c r="E369" i="2"/>
  <c r="R367" i="2"/>
  <c r="P369" i="2" l="1"/>
  <c r="O369" i="2"/>
  <c r="N369" i="2"/>
  <c r="M369" i="2"/>
  <c r="L369" i="2"/>
  <c r="D371" i="2"/>
  <c r="E370" i="2"/>
  <c r="R368" i="2"/>
  <c r="R369" i="2" l="1"/>
  <c r="P370" i="2"/>
  <c r="O370" i="2"/>
  <c r="N370" i="2"/>
  <c r="M370" i="2"/>
  <c r="L370" i="2"/>
  <c r="D372" i="2"/>
  <c r="E371" i="2"/>
  <c r="R370" i="2" l="1"/>
  <c r="P371" i="2"/>
  <c r="O371" i="2"/>
  <c r="N371" i="2"/>
  <c r="M371" i="2"/>
  <c r="L371" i="2"/>
  <c r="D373" i="2"/>
  <c r="E372" i="2"/>
  <c r="R371" i="2" l="1"/>
  <c r="O372" i="2"/>
  <c r="N372" i="2"/>
  <c r="P372" i="2"/>
  <c r="L372" i="2"/>
  <c r="M372" i="2"/>
  <c r="D374" i="2"/>
  <c r="E373" i="2"/>
  <c r="R372" i="2" l="1"/>
  <c r="D375" i="2"/>
  <c r="E374" i="2"/>
  <c r="O373" i="2"/>
  <c r="N373" i="2"/>
  <c r="P373" i="2"/>
  <c r="L373" i="2"/>
  <c r="M373" i="2"/>
  <c r="R373" i="2" l="1"/>
  <c r="N374" i="2"/>
  <c r="O374" i="2"/>
  <c r="P374" i="2"/>
  <c r="M374" i="2"/>
  <c r="L374" i="2"/>
  <c r="R374" i="2" s="1"/>
  <c r="D376" i="2"/>
  <c r="E375" i="2"/>
  <c r="O375" i="2" l="1"/>
  <c r="P375" i="2"/>
  <c r="M375" i="2"/>
  <c r="L375" i="2"/>
  <c r="N375" i="2"/>
  <c r="D377" i="2"/>
  <c r="E376" i="2"/>
  <c r="O376" i="2" l="1"/>
  <c r="P376" i="2"/>
  <c r="N376" i="2"/>
  <c r="L376" i="2"/>
  <c r="M376" i="2"/>
  <c r="D378" i="2"/>
  <c r="E377" i="2"/>
  <c r="R375" i="2"/>
  <c r="R376" i="2" l="1"/>
  <c r="D379" i="2"/>
  <c r="E378" i="2"/>
  <c r="O377" i="2"/>
  <c r="N377" i="2"/>
  <c r="P377" i="2"/>
  <c r="L377" i="2"/>
  <c r="M377" i="2"/>
  <c r="R377" i="2" l="1"/>
  <c r="P378" i="2"/>
  <c r="O378" i="2"/>
  <c r="N378" i="2"/>
  <c r="L378" i="2"/>
  <c r="M378" i="2"/>
  <c r="D380" i="2"/>
  <c r="E379" i="2"/>
  <c r="P379" i="2" l="1"/>
  <c r="O379" i="2"/>
  <c r="M379" i="2"/>
  <c r="N379" i="2"/>
  <c r="L379" i="2"/>
  <c r="D381" i="2"/>
  <c r="E380" i="2"/>
  <c r="R378" i="2"/>
  <c r="R379" i="2" l="1"/>
  <c r="D382" i="2"/>
  <c r="E381" i="2"/>
  <c r="P380" i="2"/>
  <c r="O380" i="2"/>
  <c r="N380" i="2"/>
  <c r="M380" i="2"/>
  <c r="L380" i="2"/>
  <c r="R380" i="2" l="1"/>
  <c r="P381" i="2"/>
  <c r="O381" i="2"/>
  <c r="N381" i="2"/>
  <c r="M381" i="2"/>
  <c r="L381" i="2"/>
  <c r="D383" i="2"/>
  <c r="E382" i="2"/>
  <c r="R381" i="2" l="1"/>
  <c r="P382" i="2"/>
  <c r="O382" i="2"/>
  <c r="N382" i="2"/>
  <c r="M382" i="2"/>
  <c r="L382" i="2"/>
  <c r="D384" i="2"/>
  <c r="E383" i="2"/>
  <c r="R382" i="2" l="1"/>
  <c r="D385" i="2"/>
  <c r="E384" i="2"/>
  <c r="P383" i="2"/>
  <c r="N383" i="2"/>
  <c r="O383" i="2"/>
  <c r="M383" i="2"/>
  <c r="L383" i="2"/>
  <c r="R383" i="2" s="1"/>
  <c r="P384" i="2" l="1"/>
  <c r="N384" i="2"/>
  <c r="O384" i="2"/>
  <c r="M384" i="2"/>
  <c r="L384" i="2"/>
  <c r="D386" i="2"/>
  <c r="E385" i="2"/>
  <c r="R384" i="2" l="1"/>
  <c r="D387" i="2"/>
  <c r="E386" i="2"/>
  <c r="P385" i="2"/>
  <c r="N385" i="2"/>
  <c r="O385" i="2"/>
  <c r="L385" i="2"/>
  <c r="M385" i="2"/>
  <c r="R385" i="2" l="1"/>
  <c r="P386" i="2"/>
  <c r="O386" i="2"/>
  <c r="N386" i="2"/>
  <c r="L386" i="2"/>
  <c r="M386" i="2"/>
  <c r="D388" i="2"/>
  <c r="E387" i="2"/>
  <c r="R386" i="2" l="1"/>
  <c r="P387" i="2"/>
  <c r="O387" i="2"/>
  <c r="L387" i="2"/>
  <c r="N387" i="2"/>
  <c r="M387" i="2"/>
  <c r="D389" i="2"/>
  <c r="E388" i="2"/>
  <c r="R387" i="2" l="1"/>
  <c r="D390" i="2"/>
  <c r="E389" i="2"/>
  <c r="P388" i="2"/>
  <c r="O388" i="2"/>
  <c r="M388" i="2"/>
  <c r="N388" i="2"/>
  <c r="L388" i="2"/>
  <c r="R388" i="2" l="1"/>
  <c r="P389" i="2"/>
  <c r="O389" i="2"/>
  <c r="M389" i="2"/>
  <c r="L389" i="2"/>
  <c r="N389" i="2"/>
  <c r="D391" i="2"/>
  <c r="E390" i="2"/>
  <c r="D392" i="2" l="1"/>
  <c r="E391" i="2"/>
  <c r="R389" i="2"/>
  <c r="O390" i="2"/>
  <c r="P390" i="2"/>
  <c r="M390" i="2"/>
  <c r="L390" i="2"/>
  <c r="N390" i="2"/>
  <c r="R390" i="2" l="1"/>
  <c r="N391" i="2"/>
  <c r="P391" i="2"/>
  <c r="M391" i="2"/>
  <c r="O391" i="2"/>
  <c r="L391" i="2"/>
  <c r="R391" i="2" s="1"/>
  <c r="D393" i="2"/>
  <c r="E392" i="2"/>
  <c r="O392" i="2" l="1"/>
  <c r="N392" i="2"/>
  <c r="L392" i="2"/>
  <c r="P392" i="2"/>
  <c r="M392" i="2"/>
  <c r="D394" i="2"/>
  <c r="E393" i="2"/>
  <c r="O393" i="2" l="1"/>
  <c r="N393" i="2"/>
  <c r="L393" i="2"/>
  <c r="P393" i="2"/>
  <c r="M393" i="2"/>
  <c r="D395" i="2"/>
  <c r="E394" i="2"/>
  <c r="R392" i="2"/>
  <c r="N394" i="2" l="1"/>
  <c r="P394" i="2"/>
  <c r="M394" i="2"/>
  <c r="O394" i="2"/>
  <c r="L394" i="2"/>
  <c r="R394" i="2" s="1"/>
  <c r="D396" i="2"/>
  <c r="E395" i="2"/>
  <c r="R393" i="2"/>
  <c r="N395" i="2" l="1"/>
  <c r="P395" i="2"/>
  <c r="M395" i="2"/>
  <c r="O395" i="2"/>
  <c r="L395" i="2"/>
  <c r="D397" i="2"/>
  <c r="E396" i="2"/>
  <c r="R395" i="2" l="1"/>
  <c r="N396" i="2"/>
  <c r="P396" i="2"/>
  <c r="M396" i="2"/>
  <c r="O396" i="2"/>
  <c r="L396" i="2"/>
  <c r="D398" i="2"/>
  <c r="E397" i="2"/>
  <c r="P397" i="2" l="1"/>
  <c r="N397" i="2"/>
  <c r="O397" i="2"/>
  <c r="L397" i="2"/>
  <c r="M397" i="2"/>
  <c r="D399" i="2"/>
  <c r="E398" i="2"/>
  <c r="R396" i="2"/>
  <c r="P398" i="2" l="1"/>
  <c r="N398" i="2"/>
  <c r="M398" i="2"/>
  <c r="O398" i="2"/>
  <c r="L398" i="2"/>
  <c r="D400" i="2"/>
  <c r="E399" i="2"/>
  <c r="R397" i="2"/>
  <c r="R398" i="2" l="1"/>
  <c r="P399" i="2"/>
  <c r="O399" i="2"/>
  <c r="M399" i="2"/>
  <c r="N399" i="2"/>
  <c r="L399" i="2"/>
  <c r="D401" i="2"/>
  <c r="E400" i="2"/>
  <c r="R399" i="2" l="1"/>
  <c r="P400" i="2"/>
  <c r="O400" i="2"/>
  <c r="M400" i="2"/>
  <c r="N400" i="2"/>
  <c r="L400" i="2"/>
  <c r="R400" i="2" s="1"/>
  <c r="D402" i="2"/>
  <c r="E401" i="2"/>
  <c r="P401" i="2" l="1"/>
  <c r="O401" i="2"/>
  <c r="M401" i="2"/>
  <c r="N401" i="2"/>
  <c r="L401" i="2"/>
  <c r="D403" i="2"/>
  <c r="E402" i="2"/>
  <c r="R401" i="2" l="1"/>
  <c r="P402" i="2"/>
  <c r="O402" i="2"/>
  <c r="M402" i="2"/>
  <c r="N402" i="2"/>
  <c r="L402" i="2"/>
  <c r="D404" i="2"/>
  <c r="E403" i="2"/>
  <c r="R402" i="2" l="1"/>
  <c r="D405" i="2"/>
  <c r="E404" i="2"/>
  <c r="P403" i="2"/>
  <c r="N403" i="2"/>
  <c r="O403" i="2"/>
  <c r="L403" i="2"/>
  <c r="M403" i="2"/>
  <c r="P404" i="2" l="1"/>
  <c r="N404" i="2"/>
  <c r="O404" i="2"/>
  <c r="L404" i="2"/>
  <c r="M404" i="2"/>
  <c r="R403" i="2"/>
  <c r="D406" i="2"/>
  <c r="E405" i="2"/>
  <c r="D407" i="2" l="1"/>
  <c r="E406" i="2"/>
  <c r="P405" i="2"/>
  <c r="O405" i="2"/>
  <c r="N405" i="2"/>
  <c r="L405" i="2"/>
  <c r="M405" i="2"/>
  <c r="R404" i="2"/>
  <c r="R405" i="2" l="1"/>
  <c r="P406" i="2"/>
  <c r="O406" i="2"/>
  <c r="N406" i="2"/>
  <c r="L406" i="2"/>
  <c r="M406" i="2"/>
  <c r="D408" i="2"/>
  <c r="E407" i="2"/>
  <c r="R406" i="2" l="1"/>
  <c r="P407" i="2"/>
  <c r="O407" i="2"/>
  <c r="L407" i="2"/>
  <c r="N407" i="2"/>
  <c r="M407" i="2"/>
  <c r="D409" i="2"/>
  <c r="E408" i="2"/>
  <c r="D410" i="2" l="1"/>
  <c r="E409" i="2"/>
  <c r="P408" i="2"/>
  <c r="O408" i="2"/>
  <c r="N408" i="2"/>
  <c r="L408" i="2"/>
  <c r="M408" i="2"/>
  <c r="R407" i="2"/>
  <c r="R408" i="2" l="1"/>
  <c r="P409" i="2"/>
  <c r="O409" i="2"/>
  <c r="N409" i="2"/>
  <c r="L409" i="2"/>
  <c r="M409" i="2"/>
  <c r="D411" i="2"/>
  <c r="E410" i="2"/>
  <c r="P410" i="2" l="1"/>
  <c r="O410" i="2"/>
  <c r="N410" i="2"/>
  <c r="M410" i="2"/>
  <c r="L410" i="2"/>
  <c r="D412" i="2"/>
  <c r="E411" i="2"/>
  <c r="R409" i="2"/>
  <c r="R410" i="2" l="1"/>
  <c r="P411" i="2"/>
  <c r="O411" i="2"/>
  <c r="N411" i="2"/>
  <c r="M411" i="2"/>
  <c r="L411" i="2"/>
  <c r="D413" i="2"/>
  <c r="E412" i="2"/>
  <c r="D414" i="2" l="1"/>
  <c r="E413" i="2"/>
  <c r="R411" i="2"/>
  <c r="O412" i="2"/>
  <c r="P412" i="2"/>
  <c r="L412" i="2"/>
  <c r="N412" i="2"/>
  <c r="M412" i="2"/>
  <c r="R412" i="2" l="1"/>
  <c r="O413" i="2"/>
  <c r="P413" i="2"/>
  <c r="L413" i="2"/>
  <c r="N413" i="2"/>
  <c r="M413" i="2"/>
  <c r="D415" i="2"/>
  <c r="E414" i="2"/>
  <c r="P414" i="2" l="1"/>
  <c r="O414" i="2"/>
  <c r="N414" i="2"/>
  <c r="M414" i="2"/>
  <c r="L414" i="2"/>
  <c r="D416" i="2"/>
  <c r="E415" i="2"/>
  <c r="R413" i="2"/>
  <c r="R414" i="2" l="1"/>
  <c r="D417" i="2"/>
  <c r="E416" i="2"/>
  <c r="P415" i="2"/>
  <c r="O415" i="2"/>
  <c r="N415" i="2"/>
  <c r="M415" i="2"/>
  <c r="L415" i="2"/>
  <c r="R415" i="2" l="1"/>
  <c r="N416" i="2"/>
  <c r="M416" i="2"/>
  <c r="L416" i="2"/>
  <c r="P416" i="2"/>
  <c r="O416" i="2"/>
  <c r="D418" i="2"/>
  <c r="E417" i="2"/>
  <c r="R416" i="2" l="1"/>
  <c r="D419" i="2"/>
  <c r="E418" i="2"/>
  <c r="N417" i="2"/>
  <c r="M417" i="2"/>
  <c r="L417" i="2"/>
  <c r="O417" i="2"/>
  <c r="P417" i="2"/>
  <c r="R417" i="2" l="1"/>
  <c r="N418" i="2"/>
  <c r="L418" i="2"/>
  <c r="O418" i="2"/>
  <c r="M418" i="2"/>
  <c r="P418" i="2"/>
  <c r="D420" i="2"/>
  <c r="E419" i="2"/>
  <c r="R418" i="2" l="1"/>
  <c r="D421" i="2"/>
  <c r="E420" i="2"/>
  <c r="N419" i="2"/>
  <c r="M419" i="2"/>
  <c r="L419" i="2"/>
  <c r="P419" i="2"/>
  <c r="O419" i="2"/>
  <c r="R419" i="2" l="1"/>
  <c r="P420" i="2"/>
  <c r="N420" i="2"/>
  <c r="L420" i="2"/>
  <c r="O420" i="2"/>
  <c r="M420" i="2"/>
  <c r="D422" i="2"/>
  <c r="E421" i="2"/>
  <c r="N421" i="2" l="1"/>
  <c r="P421" i="2"/>
  <c r="O421" i="2"/>
  <c r="M421" i="2"/>
  <c r="L421" i="2"/>
  <c r="D423" i="2"/>
  <c r="E422" i="2"/>
  <c r="R420" i="2"/>
  <c r="O422" i="2" l="1"/>
  <c r="P422" i="2"/>
  <c r="N422" i="2"/>
  <c r="M422" i="2"/>
  <c r="L422" i="2"/>
  <c r="R421" i="2"/>
  <c r="D424" i="2"/>
  <c r="E423" i="2"/>
  <c r="D425" i="2" l="1"/>
  <c r="E424" i="2"/>
  <c r="R422" i="2"/>
  <c r="N423" i="2"/>
  <c r="O423" i="2"/>
  <c r="P423" i="2"/>
  <c r="M423" i="2"/>
  <c r="L423" i="2"/>
  <c r="R423" i="2" l="1"/>
  <c r="N424" i="2"/>
  <c r="O424" i="2"/>
  <c r="P424" i="2"/>
  <c r="M424" i="2"/>
  <c r="L424" i="2"/>
  <c r="D426" i="2"/>
  <c r="E425" i="2"/>
  <c r="R424" i="2" l="1"/>
  <c r="P425" i="2"/>
  <c r="O425" i="2"/>
  <c r="N425" i="2"/>
  <c r="M425" i="2"/>
  <c r="L425" i="2"/>
  <c r="D427" i="2"/>
  <c r="E426" i="2"/>
  <c r="R425" i="2" l="1"/>
  <c r="D428" i="2"/>
  <c r="E427" i="2"/>
  <c r="O426" i="2"/>
  <c r="P426" i="2"/>
  <c r="N426" i="2"/>
  <c r="M426" i="2"/>
  <c r="L426" i="2"/>
  <c r="R426" i="2" l="1"/>
  <c r="O427" i="2"/>
  <c r="P427" i="2"/>
  <c r="L427" i="2"/>
  <c r="N427" i="2"/>
  <c r="M427" i="2"/>
  <c r="D429" i="2"/>
  <c r="E428" i="2"/>
  <c r="R427" i="2" l="1"/>
  <c r="O428" i="2"/>
  <c r="P428" i="2"/>
  <c r="N428" i="2"/>
  <c r="M428" i="2"/>
  <c r="L428" i="2"/>
  <c r="D430" i="2"/>
  <c r="E429" i="2"/>
  <c r="O429" i="2" l="1"/>
  <c r="P429" i="2"/>
  <c r="N429" i="2"/>
  <c r="M429" i="2"/>
  <c r="L429" i="2"/>
  <c r="D431" i="2"/>
  <c r="E430" i="2"/>
  <c r="R428" i="2"/>
  <c r="P430" i="2" l="1"/>
  <c r="M430" i="2"/>
  <c r="O430" i="2"/>
  <c r="N430" i="2"/>
  <c r="L430" i="2"/>
  <c r="R429" i="2"/>
  <c r="D432" i="2"/>
  <c r="E431" i="2"/>
  <c r="D433" i="2" l="1"/>
  <c r="E432" i="2"/>
  <c r="R430" i="2"/>
  <c r="P431" i="2"/>
  <c r="O431" i="2"/>
  <c r="L431" i="2"/>
  <c r="N431" i="2"/>
  <c r="M431" i="2"/>
  <c r="R431" i="2" l="1"/>
  <c r="P432" i="2"/>
  <c r="O432" i="2"/>
  <c r="L432" i="2"/>
  <c r="M432" i="2"/>
  <c r="N432" i="2"/>
  <c r="D434" i="2"/>
  <c r="E433" i="2"/>
  <c r="P433" i="2" l="1"/>
  <c r="O433" i="2"/>
  <c r="L433" i="2"/>
  <c r="M433" i="2"/>
  <c r="N433" i="2"/>
  <c r="D435" i="2"/>
  <c r="E434" i="2"/>
  <c r="R432" i="2"/>
  <c r="R433" i="2" l="1"/>
  <c r="D436" i="2"/>
  <c r="E435" i="2"/>
  <c r="P434" i="2"/>
  <c r="M434" i="2"/>
  <c r="O434" i="2"/>
  <c r="L434" i="2"/>
  <c r="N434" i="2"/>
  <c r="R434" i="2" l="1"/>
  <c r="P435" i="2"/>
  <c r="M435" i="2"/>
  <c r="O435" i="2"/>
  <c r="L435" i="2"/>
  <c r="N435" i="2"/>
  <c r="D437" i="2"/>
  <c r="E436" i="2"/>
  <c r="D438" i="2" l="1"/>
  <c r="E437" i="2"/>
  <c r="R435" i="2"/>
  <c r="P436" i="2"/>
  <c r="M436" i="2"/>
  <c r="O436" i="2"/>
  <c r="L436" i="2"/>
  <c r="N436" i="2"/>
  <c r="R436" i="2" l="1"/>
  <c r="P437" i="2"/>
  <c r="N437" i="2"/>
  <c r="M437" i="2"/>
  <c r="O437" i="2"/>
  <c r="L437" i="2"/>
  <c r="D439" i="2"/>
  <c r="E438" i="2"/>
  <c r="D440" i="2" l="1"/>
  <c r="E439" i="2"/>
  <c r="R437" i="2"/>
  <c r="P438" i="2"/>
  <c r="N438" i="2"/>
  <c r="M438" i="2"/>
  <c r="O438" i="2"/>
  <c r="L438" i="2"/>
  <c r="R438" i="2" l="1"/>
  <c r="P439" i="2"/>
  <c r="N439" i="2"/>
  <c r="O439" i="2"/>
  <c r="M439" i="2"/>
  <c r="L439" i="2"/>
  <c r="D441" i="2"/>
  <c r="E440" i="2"/>
  <c r="D442" i="2" l="1"/>
  <c r="E441" i="2"/>
  <c r="R439" i="2"/>
  <c r="P440" i="2"/>
  <c r="N440" i="2"/>
  <c r="O440" i="2"/>
  <c r="L440" i="2"/>
  <c r="M440" i="2"/>
  <c r="R440" i="2" l="1"/>
  <c r="N441" i="2"/>
  <c r="O441" i="2"/>
  <c r="L441" i="2"/>
  <c r="P441" i="2"/>
  <c r="M441" i="2"/>
  <c r="D443" i="2"/>
  <c r="E442" i="2"/>
  <c r="P442" i="2" l="1"/>
  <c r="N442" i="2"/>
  <c r="O442" i="2"/>
  <c r="L442" i="2"/>
  <c r="M442" i="2"/>
  <c r="D444" i="2"/>
  <c r="E443" i="2"/>
  <c r="R441" i="2"/>
  <c r="N443" i="2" l="1"/>
  <c r="P443" i="2"/>
  <c r="O443" i="2"/>
  <c r="L443" i="2"/>
  <c r="M443" i="2"/>
  <c r="D445" i="2"/>
  <c r="E444" i="2"/>
  <c r="R442" i="2"/>
  <c r="R443" i="2" l="1"/>
  <c r="D446" i="2"/>
  <c r="E445" i="2"/>
  <c r="N444" i="2"/>
  <c r="P444" i="2"/>
  <c r="O444" i="2"/>
  <c r="L444" i="2"/>
  <c r="M444" i="2"/>
  <c r="R444" i="2" l="1"/>
  <c r="P445" i="2"/>
  <c r="O445" i="2"/>
  <c r="N445" i="2"/>
  <c r="L445" i="2"/>
  <c r="M445" i="2"/>
  <c r="D447" i="2"/>
  <c r="E446" i="2"/>
  <c r="P446" i="2" l="1"/>
  <c r="O446" i="2"/>
  <c r="N446" i="2"/>
  <c r="L446" i="2"/>
  <c r="M446" i="2"/>
  <c r="R445" i="2"/>
  <c r="D448" i="2"/>
  <c r="E447" i="2"/>
  <c r="D449" i="2" l="1"/>
  <c r="E448" i="2"/>
  <c r="R446" i="2"/>
  <c r="O447" i="2"/>
  <c r="P447" i="2"/>
  <c r="L447" i="2"/>
  <c r="N447" i="2"/>
  <c r="M447" i="2"/>
  <c r="R447" i="2" l="1"/>
  <c r="P448" i="2"/>
  <c r="O448" i="2"/>
  <c r="L448" i="2"/>
  <c r="N448" i="2"/>
  <c r="M448" i="2"/>
  <c r="D450" i="2"/>
  <c r="E449" i="2"/>
  <c r="D451" i="2" l="1"/>
  <c r="E450" i="2"/>
  <c r="R448" i="2"/>
  <c r="P449" i="2"/>
  <c r="O449" i="2"/>
  <c r="L449" i="2"/>
  <c r="N449" i="2"/>
  <c r="M449" i="2"/>
  <c r="R449" i="2" l="1"/>
  <c r="O450" i="2"/>
  <c r="N450" i="2"/>
  <c r="P450" i="2"/>
  <c r="L450" i="2"/>
  <c r="M450" i="2"/>
  <c r="D452" i="2"/>
  <c r="E451" i="2"/>
  <c r="O451" i="2" l="1"/>
  <c r="N451" i="2"/>
  <c r="P451" i="2"/>
  <c r="L451" i="2"/>
  <c r="M451" i="2"/>
  <c r="D453" i="2"/>
  <c r="E452" i="2"/>
  <c r="R450" i="2"/>
  <c r="O452" i="2" l="1"/>
  <c r="L452" i="2"/>
  <c r="N452" i="2"/>
  <c r="P452" i="2"/>
  <c r="M452" i="2"/>
  <c r="R451" i="2"/>
  <c r="D454" i="2"/>
  <c r="E453" i="2"/>
  <c r="D455" i="2" l="1"/>
  <c r="E454" i="2"/>
  <c r="R452" i="2"/>
  <c r="P453" i="2"/>
  <c r="O453" i="2"/>
  <c r="L453" i="2"/>
  <c r="N453" i="2"/>
  <c r="M453" i="2"/>
  <c r="R453" i="2" l="1"/>
  <c r="P454" i="2"/>
  <c r="O454" i="2"/>
  <c r="N454" i="2"/>
  <c r="M454" i="2"/>
  <c r="L454" i="2"/>
  <c r="D456" i="2"/>
  <c r="E455" i="2"/>
  <c r="D457" i="2" l="1"/>
  <c r="E456" i="2"/>
  <c r="P455" i="2"/>
  <c r="O455" i="2"/>
  <c r="N455" i="2"/>
  <c r="M455" i="2"/>
  <c r="L455" i="2"/>
  <c r="R454" i="2"/>
  <c r="R455" i="2" l="1"/>
  <c r="O456" i="2"/>
  <c r="M456" i="2"/>
  <c r="P456" i="2"/>
  <c r="N456" i="2"/>
  <c r="L456" i="2"/>
  <c r="D458" i="2"/>
  <c r="E457" i="2"/>
  <c r="M457" i="2" l="1"/>
  <c r="N457" i="2"/>
  <c r="P457" i="2"/>
  <c r="O457" i="2"/>
  <c r="L457" i="2"/>
  <c r="D459" i="2"/>
  <c r="E458" i="2"/>
  <c r="R456" i="2"/>
  <c r="R457" i="2" l="1"/>
  <c r="D460" i="2"/>
  <c r="E459" i="2"/>
  <c r="P458" i="2"/>
  <c r="N458" i="2"/>
  <c r="M458" i="2"/>
  <c r="L458" i="2"/>
  <c r="O458" i="2"/>
  <c r="R458" i="2" l="1"/>
  <c r="P459" i="2"/>
  <c r="M459" i="2"/>
  <c r="N459" i="2"/>
  <c r="O459" i="2"/>
  <c r="L459" i="2"/>
  <c r="D461" i="2"/>
  <c r="E460" i="2"/>
  <c r="D462" i="2" l="1"/>
  <c r="E461" i="2"/>
  <c r="R459" i="2"/>
  <c r="P460" i="2"/>
  <c r="M460" i="2"/>
  <c r="N460" i="2"/>
  <c r="L460" i="2"/>
  <c r="O460" i="2"/>
  <c r="R460" i="2" l="1"/>
  <c r="P461" i="2"/>
  <c r="N461" i="2"/>
  <c r="M461" i="2"/>
  <c r="L461" i="2"/>
  <c r="O461" i="2"/>
  <c r="D463" i="2"/>
  <c r="E462" i="2"/>
  <c r="R461" i="2" l="1"/>
  <c r="D464" i="2"/>
  <c r="E463" i="2"/>
  <c r="P462" i="2"/>
  <c r="N462" i="2"/>
  <c r="M462" i="2"/>
  <c r="O462" i="2"/>
  <c r="L462" i="2"/>
  <c r="R462" i="2" l="1"/>
  <c r="P463" i="2"/>
  <c r="N463" i="2"/>
  <c r="M463" i="2"/>
  <c r="O463" i="2"/>
  <c r="L463" i="2"/>
  <c r="D465" i="2"/>
  <c r="E464" i="2"/>
  <c r="P464" i="2" l="1"/>
  <c r="N464" i="2"/>
  <c r="M464" i="2"/>
  <c r="O464" i="2"/>
  <c r="L464" i="2"/>
  <c r="D466" i="2"/>
  <c r="E465" i="2"/>
  <c r="R463" i="2"/>
  <c r="R464" i="2" l="1"/>
  <c r="D467" i="2"/>
  <c r="E466" i="2"/>
  <c r="P465" i="2"/>
  <c r="N465" i="2"/>
  <c r="M465" i="2"/>
  <c r="O465" i="2"/>
  <c r="L465" i="2"/>
  <c r="R465" i="2" l="1"/>
  <c r="P466" i="2"/>
  <c r="N466" i="2"/>
  <c r="M466" i="2"/>
  <c r="O466" i="2"/>
  <c r="L466" i="2"/>
  <c r="D468" i="2"/>
  <c r="E467" i="2"/>
  <c r="D469" i="2" l="1"/>
  <c r="E468" i="2"/>
  <c r="R466" i="2"/>
  <c r="O467" i="2"/>
  <c r="N467" i="2"/>
  <c r="L467" i="2"/>
  <c r="M467" i="2"/>
  <c r="P467" i="2"/>
  <c r="R467" i="2" l="1"/>
  <c r="N468" i="2"/>
  <c r="L468" i="2"/>
  <c r="O468" i="2"/>
  <c r="M468" i="2"/>
  <c r="P468" i="2"/>
  <c r="D470" i="2"/>
  <c r="E469" i="2"/>
  <c r="R468" i="2" l="1"/>
  <c r="D471" i="2"/>
  <c r="E470" i="2"/>
  <c r="O469" i="2"/>
  <c r="N469" i="2"/>
  <c r="L469" i="2"/>
  <c r="P469" i="2"/>
  <c r="M469" i="2"/>
  <c r="R469" i="2" l="1"/>
  <c r="O470" i="2"/>
  <c r="P470" i="2"/>
  <c r="L470" i="2"/>
  <c r="N470" i="2"/>
  <c r="M470" i="2"/>
  <c r="D472" i="2"/>
  <c r="E471" i="2"/>
  <c r="D473" i="2" l="1"/>
  <c r="E472" i="2"/>
  <c r="R470" i="2"/>
  <c r="O471" i="2"/>
  <c r="P471" i="2"/>
  <c r="L471" i="2"/>
  <c r="N471" i="2"/>
  <c r="M471" i="2"/>
  <c r="R471" i="2" l="1"/>
  <c r="O472" i="2"/>
  <c r="L472" i="2"/>
  <c r="P472" i="2"/>
  <c r="N472" i="2"/>
  <c r="M472" i="2"/>
  <c r="D474" i="2"/>
  <c r="E473" i="2"/>
  <c r="R472" i="2" l="1"/>
  <c r="D475" i="2"/>
  <c r="E474" i="2"/>
  <c r="O473" i="2"/>
  <c r="L473" i="2"/>
  <c r="P473" i="2"/>
  <c r="N473" i="2"/>
  <c r="M473" i="2"/>
  <c r="R473" i="2" l="1"/>
  <c r="O474" i="2"/>
  <c r="P474" i="2"/>
  <c r="M474" i="2"/>
  <c r="N474" i="2"/>
  <c r="L474" i="2"/>
  <c r="D476" i="2"/>
  <c r="E475" i="2"/>
  <c r="P475" i="2" l="1"/>
  <c r="O475" i="2"/>
  <c r="M475" i="2"/>
  <c r="N475" i="2"/>
  <c r="L475" i="2"/>
  <c r="R474" i="2"/>
  <c r="D477" i="2"/>
  <c r="E476" i="2"/>
  <c r="R475" i="2" l="1"/>
  <c r="P476" i="2"/>
  <c r="O476" i="2"/>
  <c r="M476" i="2"/>
  <c r="N476" i="2"/>
  <c r="L476" i="2"/>
  <c r="D478" i="2"/>
  <c r="E477" i="2"/>
  <c r="P477" i="2" l="1"/>
  <c r="O477" i="2"/>
  <c r="M477" i="2"/>
  <c r="L477" i="2"/>
  <c r="N477" i="2"/>
  <c r="D479" i="2"/>
  <c r="E478" i="2"/>
  <c r="R476" i="2"/>
  <c r="P478" i="2" l="1"/>
  <c r="N478" i="2"/>
  <c r="M478" i="2"/>
  <c r="O478" i="2"/>
  <c r="L478" i="2"/>
  <c r="D480" i="2"/>
  <c r="E479" i="2"/>
  <c r="R477" i="2"/>
  <c r="R478" i="2" l="1"/>
  <c r="D481" i="2"/>
  <c r="E480" i="2"/>
  <c r="P479" i="2"/>
  <c r="O479" i="2"/>
  <c r="M479" i="2"/>
  <c r="L479" i="2"/>
  <c r="N479" i="2"/>
  <c r="R479" i="2" l="1"/>
  <c r="P480" i="2"/>
  <c r="O480" i="2"/>
  <c r="M480" i="2"/>
  <c r="N480" i="2"/>
  <c r="L480" i="2"/>
  <c r="D482" i="2"/>
  <c r="E481" i="2"/>
  <c r="D483" i="2" l="1"/>
  <c r="E482" i="2"/>
  <c r="R480" i="2"/>
  <c r="P481" i="2"/>
  <c r="O481" i="2"/>
  <c r="M481" i="2"/>
  <c r="N481" i="2"/>
  <c r="L481" i="2"/>
  <c r="R481" i="2" l="1"/>
  <c r="P482" i="2"/>
  <c r="O482" i="2"/>
  <c r="N482" i="2"/>
  <c r="M482" i="2"/>
  <c r="L482" i="2"/>
  <c r="D484" i="2"/>
  <c r="E483" i="2"/>
  <c r="R482" i="2" l="1"/>
  <c r="N483" i="2"/>
  <c r="P483" i="2"/>
  <c r="O483" i="2"/>
  <c r="M483" i="2"/>
  <c r="L483" i="2"/>
  <c r="D485" i="2"/>
  <c r="E484" i="2"/>
  <c r="P484" i="2" l="1"/>
  <c r="N484" i="2"/>
  <c r="O484" i="2"/>
  <c r="L484" i="2"/>
  <c r="M484" i="2"/>
  <c r="R483" i="2"/>
  <c r="D486" i="2"/>
  <c r="E485" i="2"/>
  <c r="P485" i="2" l="1"/>
  <c r="O485" i="2"/>
  <c r="N485" i="2"/>
  <c r="L485" i="2"/>
  <c r="M485" i="2"/>
  <c r="R484" i="2"/>
  <c r="D487" i="2"/>
  <c r="E486" i="2"/>
  <c r="D488" i="2" l="1"/>
  <c r="E487" i="2"/>
  <c r="R485" i="2"/>
  <c r="P486" i="2"/>
  <c r="N486" i="2"/>
  <c r="L486" i="2"/>
  <c r="M486" i="2"/>
  <c r="O486" i="2"/>
  <c r="R486" i="2" l="1"/>
  <c r="P487" i="2"/>
  <c r="O487" i="2"/>
  <c r="N487" i="2"/>
  <c r="L487" i="2"/>
  <c r="M487" i="2"/>
  <c r="D489" i="2"/>
  <c r="E488" i="2"/>
  <c r="P488" i="2" l="1"/>
  <c r="N488" i="2"/>
  <c r="L488" i="2"/>
  <c r="O488" i="2"/>
  <c r="M488" i="2"/>
  <c r="R487" i="2"/>
  <c r="D490" i="2"/>
  <c r="E489" i="2"/>
  <c r="R488" i="2" l="1"/>
  <c r="P489" i="2"/>
  <c r="N489" i="2"/>
  <c r="L489" i="2"/>
  <c r="O489" i="2"/>
  <c r="M489" i="2"/>
  <c r="D491" i="2"/>
  <c r="E490" i="2"/>
  <c r="R489" i="2" l="1"/>
  <c r="P490" i="2"/>
  <c r="N490" i="2"/>
  <c r="O490" i="2"/>
  <c r="M490" i="2"/>
  <c r="L490" i="2"/>
  <c r="D492" i="2"/>
  <c r="E491" i="2"/>
  <c r="D493" i="2" l="1"/>
  <c r="E492" i="2"/>
  <c r="R490" i="2"/>
  <c r="P491" i="2"/>
  <c r="N491" i="2"/>
  <c r="O491" i="2"/>
  <c r="M491" i="2"/>
  <c r="L491" i="2"/>
  <c r="R491" i="2" l="1"/>
  <c r="P492" i="2"/>
  <c r="O492" i="2"/>
  <c r="N492" i="2"/>
  <c r="L492" i="2"/>
  <c r="M492" i="2"/>
  <c r="D494" i="2"/>
  <c r="E493" i="2"/>
  <c r="P493" i="2" l="1"/>
  <c r="O493" i="2"/>
  <c r="L493" i="2"/>
  <c r="N493" i="2"/>
  <c r="M493" i="2"/>
  <c r="R492" i="2"/>
  <c r="D495" i="2"/>
  <c r="E494" i="2"/>
  <c r="R493" i="2" l="1"/>
  <c r="P494" i="2"/>
  <c r="O494" i="2"/>
  <c r="N494" i="2"/>
  <c r="M494" i="2"/>
  <c r="L494" i="2"/>
  <c r="D496" i="2"/>
  <c r="E495" i="2"/>
  <c r="P495" i="2" l="1"/>
  <c r="O495" i="2"/>
  <c r="N495" i="2"/>
  <c r="M495" i="2"/>
  <c r="L495" i="2"/>
  <c r="R494" i="2"/>
  <c r="D497" i="2"/>
  <c r="E496" i="2"/>
  <c r="O496" i="2" l="1"/>
  <c r="P496" i="2"/>
  <c r="M496" i="2"/>
  <c r="L496" i="2"/>
  <c r="N496" i="2"/>
  <c r="D498" i="2"/>
  <c r="E497" i="2"/>
  <c r="R495" i="2"/>
  <c r="D499" i="2" l="1"/>
  <c r="E498" i="2"/>
  <c r="R496" i="2"/>
  <c r="O497" i="2"/>
  <c r="P497" i="2"/>
  <c r="M497" i="2"/>
  <c r="L497" i="2"/>
  <c r="N497" i="2"/>
  <c r="R497" i="2" l="1"/>
  <c r="O498" i="2"/>
  <c r="N498" i="2"/>
  <c r="P498" i="2"/>
  <c r="M498" i="2"/>
  <c r="L498" i="2"/>
  <c r="D500" i="2"/>
  <c r="E499" i="2"/>
  <c r="D501" i="2" l="1"/>
  <c r="E500" i="2"/>
  <c r="R498" i="2"/>
  <c r="P499" i="2"/>
  <c r="O499" i="2"/>
  <c r="M499" i="2"/>
  <c r="N499" i="2"/>
  <c r="L499" i="2"/>
  <c r="R499" i="2" s="1"/>
  <c r="P500" i="2" l="1"/>
  <c r="O500" i="2"/>
  <c r="M500" i="2"/>
  <c r="N500" i="2"/>
  <c r="L500" i="2"/>
  <c r="D502" i="2"/>
  <c r="E501" i="2"/>
  <c r="P501" i="2" l="1"/>
  <c r="M501" i="2"/>
  <c r="O501" i="2"/>
  <c r="N501" i="2"/>
  <c r="R500" i="2"/>
  <c r="D503" i="2"/>
  <c r="E502" i="2"/>
  <c r="D504" i="2" l="1"/>
  <c r="E503" i="2"/>
  <c r="R501" i="2"/>
  <c r="P502" i="2"/>
  <c r="M502" i="2"/>
  <c r="O502" i="2"/>
  <c r="R502" i="2" s="1"/>
  <c r="N502" i="2"/>
  <c r="P503" i="2" l="1"/>
  <c r="N503" i="2"/>
  <c r="O503" i="2"/>
  <c r="L503" i="2"/>
  <c r="M503" i="2"/>
  <c r="D505" i="2"/>
  <c r="E504" i="2"/>
  <c r="P504" i="2" l="1"/>
  <c r="N504" i="2"/>
  <c r="M504" i="2"/>
  <c r="O504" i="2"/>
  <c r="L504" i="2"/>
  <c r="R503" i="2"/>
  <c r="D506" i="2"/>
  <c r="E505" i="2"/>
  <c r="D507" i="2" l="1"/>
  <c r="E506" i="2"/>
  <c r="R504" i="2"/>
  <c r="P505" i="2"/>
  <c r="N505" i="2"/>
  <c r="L505" i="2"/>
  <c r="O505" i="2"/>
  <c r="M505" i="2"/>
  <c r="R505" i="2" l="1"/>
  <c r="P506" i="2"/>
  <c r="N506" i="2"/>
  <c r="M506" i="2"/>
  <c r="L506" i="2"/>
  <c r="O506" i="2"/>
  <c r="D508" i="2"/>
  <c r="E507" i="2"/>
  <c r="D509" i="2" l="1"/>
  <c r="E508" i="2"/>
  <c r="P507" i="2"/>
  <c r="O507" i="2"/>
  <c r="L507" i="2"/>
  <c r="N507" i="2"/>
  <c r="M507" i="2"/>
  <c r="R506" i="2"/>
  <c r="R507" i="2" l="1"/>
  <c r="P508" i="2"/>
  <c r="L508" i="2"/>
  <c r="M508" i="2"/>
  <c r="O508" i="2"/>
  <c r="N508" i="2"/>
  <c r="D510" i="2"/>
  <c r="E509" i="2"/>
  <c r="R508" i="2" l="1"/>
  <c r="P509" i="2"/>
  <c r="N509" i="2"/>
  <c r="L509" i="2"/>
  <c r="M509" i="2"/>
  <c r="O509" i="2"/>
  <c r="D511" i="2"/>
  <c r="E510" i="2"/>
  <c r="R509" i="2" l="1"/>
  <c r="D512" i="2"/>
  <c r="E511" i="2"/>
  <c r="P510" i="2"/>
  <c r="N510" i="2"/>
  <c r="O510" i="2"/>
  <c r="M510" i="2"/>
  <c r="L510" i="2"/>
  <c r="R510" i="2" l="1"/>
  <c r="N511" i="2"/>
  <c r="O511" i="2"/>
  <c r="P511" i="2"/>
  <c r="L511" i="2"/>
  <c r="M511" i="2"/>
  <c r="D513" i="2"/>
  <c r="E512" i="2"/>
  <c r="D514" i="2" l="1"/>
  <c r="E513" i="2"/>
  <c r="O512" i="2"/>
  <c r="N512" i="2"/>
  <c r="P512" i="2"/>
  <c r="L512" i="2"/>
  <c r="M512" i="2"/>
  <c r="R511" i="2"/>
  <c r="R512" i="2" l="1"/>
  <c r="O513" i="2"/>
  <c r="N513" i="2"/>
  <c r="L513" i="2"/>
  <c r="M513" i="2"/>
  <c r="P513" i="2"/>
  <c r="D515" i="2"/>
  <c r="E514" i="2"/>
  <c r="N514" i="2" l="1"/>
  <c r="O514" i="2"/>
  <c r="M514" i="2"/>
  <c r="P514" i="2"/>
  <c r="L514" i="2"/>
  <c r="D516" i="2"/>
  <c r="E515" i="2"/>
  <c r="R513" i="2"/>
  <c r="R514" i="2" l="1"/>
  <c r="D517" i="2"/>
  <c r="E516" i="2"/>
  <c r="N515" i="2"/>
  <c r="O515" i="2"/>
  <c r="M515" i="2"/>
  <c r="L515" i="2"/>
  <c r="P515" i="2"/>
  <c r="R515" i="2" l="1"/>
  <c r="P516" i="2"/>
  <c r="O516" i="2"/>
  <c r="M516" i="2"/>
  <c r="L516" i="2"/>
  <c r="N516" i="2"/>
  <c r="D518" i="2"/>
  <c r="E517" i="2"/>
  <c r="D519" i="2" l="1"/>
  <c r="E518" i="2"/>
  <c r="R516" i="2"/>
  <c r="P517" i="2"/>
  <c r="O517" i="2"/>
  <c r="M517" i="2"/>
  <c r="N517" i="2"/>
  <c r="L517" i="2"/>
  <c r="R517" i="2" l="1"/>
  <c r="P518" i="2"/>
  <c r="O518" i="2"/>
  <c r="N518" i="2"/>
  <c r="M518" i="2"/>
  <c r="L518" i="2"/>
  <c r="R518" i="2" s="1"/>
  <c r="D520" i="2"/>
  <c r="E519" i="2"/>
  <c r="P519" i="2" l="1"/>
  <c r="O519" i="2"/>
  <c r="M519" i="2"/>
  <c r="N519" i="2"/>
  <c r="L519" i="2"/>
  <c r="D521" i="2"/>
  <c r="E520" i="2"/>
  <c r="R519" i="2" l="1"/>
  <c r="D522" i="2"/>
  <c r="E521" i="2"/>
  <c r="P520" i="2"/>
  <c r="O520" i="2"/>
  <c r="M520" i="2"/>
  <c r="N520" i="2"/>
  <c r="L520" i="2"/>
  <c r="R520" i="2" l="1"/>
  <c r="P521" i="2"/>
  <c r="O521" i="2"/>
  <c r="M521" i="2"/>
  <c r="N521" i="2"/>
  <c r="L521" i="2"/>
  <c r="D523" i="2"/>
  <c r="E522" i="2"/>
  <c r="D524" i="2" l="1"/>
  <c r="E523" i="2"/>
  <c r="R521" i="2"/>
  <c r="P522" i="2"/>
  <c r="O522" i="2"/>
  <c r="M522" i="2"/>
  <c r="N522" i="2"/>
  <c r="L522" i="2"/>
  <c r="P523" i="2" l="1"/>
  <c r="O523" i="2"/>
  <c r="N523" i="2"/>
  <c r="M523" i="2"/>
  <c r="L523" i="2"/>
  <c r="R522" i="2"/>
  <c r="D525" i="2"/>
  <c r="E524" i="2"/>
  <c r="R523" i="2" l="1"/>
  <c r="D526" i="2"/>
  <c r="E525" i="2"/>
  <c r="P524" i="2"/>
  <c r="N524" i="2"/>
  <c r="O524" i="2"/>
  <c r="L524" i="2"/>
  <c r="M524" i="2"/>
  <c r="R524" i="2" l="1"/>
  <c r="P525" i="2"/>
  <c r="O525" i="2"/>
  <c r="N525" i="2"/>
  <c r="M525" i="2"/>
  <c r="L525" i="2"/>
  <c r="D527" i="2"/>
  <c r="E526" i="2"/>
  <c r="P526" i="2" l="1"/>
  <c r="N526" i="2"/>
  <c r="M526" i="2"/>
  <c r="L526" i="2"/>
  <c r="O526" i="2"/>
  <c r="D528" i="2"/>
  <c r="E527" i="2"/>
  <c r="R525" i="2"/>
  <c r="R526" i="2" l="1"/>
  <c r="D529" i="2"/>
  <c r="E528" i="2"/>
  <c r="P527" i="2"/>
  <c r="O527" i="2"/>
  <c r="N527" i="2"/>
  <c r="L527" i="2"/>
  <c r="M527" i="2"/>
  <c r="R527" i="2" l="1"/>
  <c r="P528" i="2"/>
  <c r="N528" i="2"/>
  <c r="L528" i="2"/>
  <c r="M528" i="2"/>
  <c r="O528" i="2"/>
  <c r="D530" i="2"/>
  <c r="E529" i="2"/>
  <c r="P529" i="2" l="1"/>
  <c r="L529" i="2"/>
  <c r="M529" i="2"/>
  <c r="N529" i="2"/>
  <c r="O529" i="2"/>
  <c r="D531" i="2"/>
  <c r="E530" i="2"/>
  <c r="R528" i="2"/>
  <c r="D532" i="2" l="1"/>
  <c r="E531" i="2"/>
  <c r="L530" i="2"/>
  <c r="M530" i="2"/>
  <c r="N530" i="2"/>
  <c r="O530" i="2"/>
  <c r="P530" i="2"/>
  <c r="R529" i="2"/>
  <c r="R530" i="2" l="1"/>
  <c r="P531" i="2"/>
  <c r="L531" i="2"/>
  <c r="N531" i="2"/>
  <c r="M531" i="2"/>
  <c r="O531" i="2"/>
  <c r="D533" i="2"/>
  <c r="E532" i="2"/>
  <c r="R531" i="2" l="1"/>
  <c r="D534" i="2"/>
  <c r="E533" i="2"/>
  <c r="P532" i="2"/>
  <c r="O532" i="2"/>
  <c r="N532" i="2"/>
  <c r="L532" i="2"/>
  <c r="M532" i="2"/>
  <c r="R532" i="2" l="1"/>
  <c r="P533" i="2"/>
  <c r="O533" i="2"/>
  <c r="N533" i="2"/>
  <c r="L533" i="2"/>
  <c r="M533" i="2"/>
  <c r="D535" i="2"/>
  <c r="E534" i="2"/>
  <c r="N534" i="2" l="1"/>
  <c r="O534" i="2"/>
  <c r="L534" i="2"/>
  <c r="P534" i="2"/>
  <c r="M534" i="2"/>
  <c r="D536" i="2"/>
  <c r="E535" i="2"/>
  <c r="R533" i="2"/>
  <c r="R534" i="2" l="1"/>
  <c r="P535" i="2"/>
  <c r="N535" i="2"/>
  <c r="O535" i="2"/>
  <c r="L535" i="2"/>
  <c r="M535" i="2"/>
  <c r="D537" i="2"/>
  <c r="E536" i="2"/>
  <c r="D538" i="2" l="1"/>
  <c r="E537" i="2"/>
  <c r="R535" i="2"/>
  <c r="P536" i="2"/>
  <c r="N536" i="2"/>
  <c r="O536" i="2"/>
  <c r="L536" i="2"/>
  <c r="M536" i="2"/>
  <c r="R536" i="2" l="1"/>
  <c r="P537" i="2"/>
  <c r="N537" i="2"/>
  <c r="O537" i="2"/>
  <c r="M537" i="2"/>
  <c r="L537" i="2"/>
  <c r="D539" i="2"/>
  <c r="E538" i="2"/>
  <c r="R537" i="2" l="1"/>
  <c r="P538" i="2"/>
  <c r="N538" i="2"/>
  <c r="O538" i="2"/>
  <c r="M538" i="2"/>
  <c r="L538" i="2"/>
  <c r="D540" i="2"/>
  <c r="E539" i="2"/>
  <c r="P539" i="2" l="1"/>
  <c r="N539" i="2"/>
  <c r="M539" i="2"/>
  <c r="O539" i="2"/>
  <c r="L539" i="2"/>
  <c r="R538" i="2"/>
  <c r="D541" i="2"/>
  <c r="E540" i="2"/>
  <c r="P540" i="2" l="1"/>
  <c r="O540" i="2"/>
  <c r="M540" i="2"/>
  <c r="N540" i="2"/>
  <c r="L540" i="2"/>
  <c r="R539" i="2"/>
  <c r="D542" i="2"/>
  <c r="E541" i="2"/>
  <c r="R540" i="2" l="1"/>
  <c r="P541" i="2"/>
  <c r="O541" i="2"/>
  <c r="M541" i="2"/>
  <c r="N541" i="2"/>
  <c r="L541" i="2"/>
  <c r="D543" i="2"/>
  <c r="E542" i="2"/>
  <c r="P542" i="2" l="1"/>
  <c r="O542" i="2"/>
  <c r="M542" i="2"/>
  <c r="L542" i="2"/>
  <c r="N542" i="2"/>
  <c r="R541" i="2"/>
  <c r="D544" i="2"/>
  <c r="E543" i="2"/>
  <c r="D545" i="2" l="1"/>
  <c r="E544" i="2"/>
  <c r="R542" i="2"/>
  <c r="P543" i="2"/>
  <c r="N543" i="2"/>
  <c r="O543" i="2"/>
  <c r="M543" i="2"/>
  <c r="L543" i="2"/>
  <c r="R543" i="2" l="1"/>
  <c r="P544" i="2"/>
  <c r="N544" i="2"/>
  <c r="O544" i="2"/>
  <c r="M544" i="2"/>
  <c r="L544" i="2"/>
  <c r="D546" i="2"/>
  <c r="E545" i="2"/>
  <c r="D547" i="2" l="1"/>
  <c r="E546" i="2"/>
  <c r="R544" i="2"/>
  <c r="P545" i="2"/>
  <c r="O545" i="2"/>
  <c r="L545" i="2"/>
  <c r="N545" i="2"/>
  <c r="M545" i="2"/>
  <c r="R545" i="2" l="1"/>
  <c r="O546" i="2"/>
  <c r="P546" i="2"/>
  <c r="L546" i="2"/>
  <c r="N546" i="2"/>
  <c r="M546" i="2"/>
  <c r="D548" i="2"/>
  <c r="E547" i="2"/>
  <c r="D549" i="2" l="1"/>
  <c r="E548" i="2"/>
  <c r="R546" i="2"/>
  <c r="O547" i="2"/>
  <c r="P547" i="2"/>
  <c r="L547" i="2"/>
  <c r="N547" i="2"/>
  <c r="M547" i="2"/>
  <c r="R547" i="2" l="1"/>
  <c r="O548" i="2"/>
  <c r="L548" i="2"/>
  <c r="P548" i="2"/>
  <c r="N548" i="2"/>
  <c r="M548" i="2"/>
  <c r="D550" i="2"/>
  <c r="E549" i="2"/>
  <c r="R548" i="2" l="1"/>
  <c r="O549" i="2"/>
  <c r="L549" i="2"/>
  <c r="P549" i="2"/>
  <c r="N549" i="2"/>
  <c r="M549" i="2"/>
  <c r="D551" i="2"/>
  <c r="E550" i="2"/>
  <c r="D552" i="2" l="1"/>
  <c r="E551" i="2"/>
  <c r="R549" i="2"/>
  <c r="O550" i="2"/>
  <c r="L550" i="2"/>
  <c r="P550" i="2"/>
  <c r="N550" i="2"/>
  <c r="M550" i="2"/>
  <c r="R550" i="2" l="1"/>
  <c r="O551" i="2"/>
  <c r="L551" i="2"/>
  <c r="N551" i="2"/>
  <c r="P551" i="2"/>
  <c r="M551" i="2"/>
  <c r="D553" i="2"/>
  <c r="E552" i="2"/>
  <c r="R551" i="2" l="1"/>
  <c r="D554" i="2"/>
  <c r="E553" i="2"/>
  <c r="O552" i="2"/>
  <c r="P552" i="2"/>
  <c r="L552" i="2"/>
  <c r="N552" i="2"/>
  <c r="M552" i="2"/>
  <c r="R552" i="2" l="1"/>
  <c r="D555" i="2"/>
  <c r="E554" i="2"/>
  <c r="O553" i="2"/>
  <c r="P553" i="2"/>
  <c r="L553" i="2"/>
  <c r="N553" i="2"/>
  <c r="M553" i="2"/>
  <c r="R553" i="2" l="1"/>
  <c r="P554" i="2"/>
  <c r="O554" i="2"/>
  <c r="N554" i="2"/>
  <c r="M554" i="2"/>
  <c r="L554" i="2"/>
  <c r="D556" i="2"/>
  <c r="E555" i="2"/>
  <c r="R554" i="2" l="1"/>
  <c r="P555" i="2"/>
  <c r="O555" i="2"/>
  <c r="N555" i="2"/>
  <c r="M555" i="2"/>
  <c r="L555" i="2"/>
  <c r="D557" i="2"/>
  <c r="E556" i="2"/>
  <c r="R555" i="2" l="1"/>
  <c r="P556" i="2"/>
  <c r="O556" i="2"/>
  <c r="N556" i="2"/>
  <c r="M556" i="2"/>
  <c r="L556" i="2"/>
  <c r="R556" i="2" s="1"/>
  <c r="D558" i="2"/>
  <c r="E557" i="2"/>
  <c r="P557" i="2" l="1"/>
  <c r="O557" i="2"/>
  <c r="N557" i="2"/>
  <c r="M557" i="2"/>
  <c r="L557" i="2"/>
  <c r="D559" i="2"/>
  <c r="E558" i="2"/>
  <c r="D560" i="2" l="1"/>
  <c r="E559" i="2"/>
  <c r="R557" i="2"/>
  <c r="P558" i="2"/>
  <c r="N558" i="2"/>
  <c r="O558" i="2"/>
  <c r="M558" i="2"/>
  <c r="L558" i="2"/>
  <c r="R558" i="2" l="1"/>
  <c r="P559" i="2"/>
  <c r="N559" i="2"/>
  <c r="M559" i="2"/>
  <c r="O559" i="2"/>
  <c r="L559" i="2"/>
  <c r="R559" i="2" s="1"/>
  <c r="D561" i="2"/>
  <c r="E560" i="2"/>
  <c r="P560" i="2" l="1"/>
  <c r="N560" i="2"/>
  <c r="O560" i="2"/>
  <c r="M560" i="2"/>
  <c r="L560" i="2"/>
  <c r="D562" i="2"/>
  <c r="E561" i="2"/>
  <c r="R560" i="2" l="1"/>
  <c r="P561" i="2"/>
  <c r="N561" i="2"/>
  <c r="M561" i="2"/>
  <c r="O561" i="2"/>
  <c r="L561" i="2"/>
  <c r="D563" i="2"/>
  <c r="E562" i="2"/>
  <c r="D564" i="2" l="1"/>
  <c r="E563" i="2"/>
  <c r="P562" i="2"/>
  <c r="N562" i="2"/>
  <c r="M562" i="2"/>
  <c r="O562" i="2"/>
  <c r="L562" i="2"/>
  <c r="R562" i="2" s="1"/>
  <c r="R561" i="2"/>
  <c r="P563" i="2" l="1"/>
  <c r="N563" i="2"/>
  <c r="O563" i="2"/>
  <c r="M563" i="2"/>
  <c r="L563" i="2"/>
  <c r="D565" i="2"/>
  <c r="E564" i="2"/>
  <c r="R563" i="2" l="1"/>
  <c r="P564" i="2"/>
  <c r="N564" i="2"/>
  <c r="O564" i="2"/>
  <c r="M564" i="2"/>
  <c r="L564" i="2"/>
  <c r="D566" i="2"/>
  <c r="E565" i="2"/>
  <c r="R564" i="2" l="1"/>
  <c r="P565" i="2"/>
  <c r="O565" i="2"/>
  <c r="M565" i="2"/>
  <c r="N565" i="2"/>
  <c r="L565" i="2"/>
  <c r="D567" i="2"/>
  <c r="E566" i="2"/>
  <c r="R565" i="2" l="1"/>
  <c r="P566" i="2"/>
  <c r="O566" i="2"/>
  <c r="N566" i="2"/>
  <c r="M566" i="2"/>
  <c r="L566" i="2"/>
  <c r="D568" i="2"/>
  <c r="E567" i="2"/>
  <c r="R566" i="2" l="1"/>
  <c r="D569" i="2"/>
  <c r="E568" i="2"/>
  <c r="P567" i="2"/>
  <c r="O567" i="2"/>
  <c r="N567" i="2"/>
  <c r="L567" i="2"/>
  <c r="M567" i="2"/>
  <c r="R567" i="2" l="1"/>
  <c r="P568" i="2"/>
  <c r="O568" i="2"/>
  <c r="N568" i="2"/>
  <c r="L568" i="2"/>
  <c r="M568" i="2"/>
  <c r="D570" i="2"/>
  <c r="E569" i="2"/>
  <c r="D571" i="2" l="1"/>
  <c r="E570" i="2"/>
  <c r="R568" i="2"/>
  <c r="O569" i="2"/>
  <c r="L569" i="2"/>
  <c r="N569" i="2"/>
  <c r="P569" i="2"/>
  <c r="M569" i="2"/>
  <c r="R569" i="2" l="1"/>
  <c r="O570" i="2"/>
  <c r="L570" i="2"/>
  <c r="P570" i="2"/>
  <c r="M570" i="2"/>
  <c r="N570" i="2"/>
  <c r="D572" i="2"/>
  <c r="E571" i="2"/>
  <c r="R570" i="2" l="1"/>
  <c r="P571" i="2"/>
  <c r="L571" i="2"/>
  <c r="O571" i="2"/>
  <c r="M571" i="2"/>
  <c r="N571" i="2"/>
  <c r="D573" i="2"/>
  <c r="E572" i="2"/>
  <c r="R571" i="2" l="1"/>
  <c r="O572" i="2"/>
  <c r="P572" i="2"/>
  <c r="L572" i="2"/>
  <c r="M572" i="2"/>
  <c r="N572" i="2"/>
  <c r="D574" i="2"/>
  <c r="E573" i="2"/>
  <c r="D575" i="2" l="1"/>
  <c r="E574" i="2"/>
  <c r="O573" i="2"/>
  <c r="P573" i="2"/>
  <c r="L573" i="2"/>
  <c r="M573" i="2"/>
  <c r="N573" i="2"/>
  <c r="R572" i="2"/>
  <c r="R573" i="2" l="1"/>
  <c r="P574" i="2"/>
  <c r="O574" i="2"/>
  <c r="N574" i="2"/>
  <c r="M574" i="2"/>
  <c r="L574" i="2"/>
  <c r="D576" i="2"/>
  <c r="E575" i="2"/>
  <c r="R574" i="2" l="1"/>
  <c r="P575" i="2"/>
  <c r="O575" i="2"/>
  <c r="N575" i="2"/>
  <c r="M575" i="2"/>
  <c r="L575" i="2"/>
  <c r="D577" i="2"/>
  <c r="E576" i="2"/>
  <c r="R575" i="2" l="1"/>
  <c r="P576" i="2"/>
  <c r="O576" i="2"/>
  <c r="N576" i="2"/>
  <c r="M576" i="2"/>
  <c r="L576" i="2"/>
  <c r="D578" i="2"/>
  <c r="E577" i="2"/>
  <c r="R576" i="2" l="1"/>
  <c r="D579" i="2"/>
  <c r="E578" i="2"/>
  <c r="P577" i="2"/>
  <c r="N577" i="2"/>
  <c r="O577" i="2"/>
  <c r="L577" i="2"/>
  <c r="M577" i="2"/>
  <c r="R577" i="2" l="1"/>
  <c r="P578" i="2"/>
  <c r="N578" i="2"/>
  <c r="O578" i="2"/>
  <c r="L578" i="2"/>
  <c r="M578" i="2"/>
  <c r="D580" i="2"/>
  <c r="E579" i="2"/>
  <c r="D581" i="2" l="1"/>
  <c r="E580" i="2"/>
  <c r="R578" i="2"/>
  <c r="P579" i="2"/>
  <c r="N579" i="2"/>
  <c r="M579" i="2"/>
  <c r="L579" i="2"/>
  <c r="O579" i="2"/>
  <c r="R579" i="2" l="1"/>
  <c r="P580" i="2"/>
  <c r="N580" i="2"/>
  <c r="M580" i="2"/>
  <c r="L580" i="2"/>
  <c r="O580" i="2"/>
  <c r="D582" i="2"/>
  <c r="E581" i="2"/>
  <c r="D583" i="2" l="1"/>
  <c r="E582" i="2"/>
  <c r="R580" i="2"/>
  <c r="P581" i="2"/>
  <c r="N581" i="2"/>
  <c r="M581" i="2"/>
  <c r="L581" i="2"/>
  <c r="O581" i="2"/>
  <c r="R581" i="2" l="1"/>
  <c r="P582" i="2"/>
  <c r="N582" i="2"/>
  <c r="O582" i="2"/>
  <c r="M582" i="2"/>
  <c r="L582" i="2"/>
  <c r="D584" i="2"/>
  <c r="E583" i="2"/>
  <c r="P583" i="2" l="1"/>
  <c r="N583" i="2"/>
  <c r="O583" i="2"/>
  <c r="M583" i="2"/>
  <c r="L583" i="2"/>
  <c r="D585" i="2"/>
  <c r="E584" i="2"/>
  <c r="R582" i="2"/>
  <c r="P584" i="2" l="1"/>
  <c r="N584" i="2"/>
  <c r="O584" i="2"/>
  <c r="M584" i="2"/>
  <c r="L584" i="2"/>
  <c r="D586" i="2"/>
  <c r="E585" i="2"/>
  <c r="R583" i="2"/>
  <c r="D587" i="2" l="1"/>
  <c r="E586" i="2"/>
  <c r="R584" i="2"/>
  <c r="P585" i="2"/>
  <c r="N585" i="2"/>
  <c r="O585" i="2"/>
  <c r="M585" i="2"/>
  <c r="L585" i="2"/>
  <c r="R585" i="2" l="1"/>
  <c r="P586" i="2"/>
  <c r="O586" i="2"/>
  <c r="N586" i="2"/>
  <c r="M586" i="2"/>
  <c r="L586" i="2"/>
  <c r="R586" i="2" s="1"/>
  <c r="D588" i="2"/>
  <c r="E587" i="2"/>
  <c r="D589" i="2" l="1"/>
  <c r="E588" i="2"/>
  <c r="P587" i="2"/>
  <c r="O587" i="2"/>
  <c r="N587" i="2"/>
  <c r="L587" i="2"/>
  <c r="M587" i="2"/>
  <c r="R587" i="2" l="1"/>
  <c r="P588" i="2"/>
  <c r="O588" i="2"/>
  <c r="L588" i="2"/>
  <c r="N588" i="2"/>
  <c r="M588" i="2"/>
  <c r="D590" i="2"/>
  <c r="E589" i="2"/>
  <c r="P589" i="2" l="1"/>
  <c r="O589" i="2"/>
  <c r="L589" i="2"/>
  <c r="N589" i="2"/>
  <c r="M589" i="2"/>
  <c r="D591" i="2"/>
  <c r="E590" i="2"/>
  <c r="R588" i="2"/>
  <c r="R589" i="2" l="1"/>
  <c r="D592" i="2"/>
  <c r="E591" i="2"/>
  <c r="P590" i="2"/>
  <c r="O590" i="2"/>
  <c r="L590" i="2"/>
  <c r="N590" i="2"/>
  <c r="M590" i="2"/>
  <c r="R590" i="2" l="1"/>
  <c r="P591" i="2"/>
  <c r="O591" i="2"/>
  <c r="L591" i="2"/>
  <c r="M591" i="2"/>
  <c r="N591" i="2"/>
  <c r="D593" i="2"/>
  <c r="E592" i="2"/>
  <c r="R591" i="2" l="1"/>
  <c r="O592" i="2"/>
  <c r="P592" i="2"/>
  <c r="L592" i="2"/>
  <c r="N592" i="2"/>
  <c r="M592" i="2"/>
  <c r="D594" i="2"/>
  <c r="E593" i="2"/>
  <c r="R592" i="2" l="1"/>
  <c r="D595" i="2"/>
  <c r="E594" i="2"/>
  <c r="O593" i="2"/>
  <c r="P593" i="2"/>
  <c r="L593" i="2"/>
  <c r="N593" i="2"/>
  <c r="M593" i="2"/>
  <c r="R593" i="2" l="1"/>
  <c r="P594" i="2"/>
  <c r="O594" i="2"/>
  <c r="N594" i="2"/>
  <c r="M594" i="2"/>
  <c r="L594" i="2"/>
  <c r="D596" i="2"/>
  <c r="E595" i="2"/>
  <c r="D597" i="2" l="1"/>
  <c r="E596" i="2"/>
  <c r="R594" i="2"/>
  <c r="P595" i="2"/>
  <c r="O595" i="2"/>
  <c r="N595" i="2"/>
  <c r="L595" i="2"/>
  <c r="M595" i="2"/>
  <c r="R595" i="2" l="1"/>
  <c r="P596" i="2"/>
  <c r="O596" i="2"/>
  <c r="N596" i="2"/>
  <c r="M596" i="2"/>
  <c r="L596" i="2"/>
  <c r="D598" i="2"/>
  <c r="E597" i="2"/>
  <c r="D599" i="2" l="1"/>
  <c r="E598" i="2"/>
  <c r="P597" i="2"/>
  <c r="O597" i="2"/>
  <c r="N597" i="2"/>
  <c r="L597" i="2"/>
  <c r="M597" i="2"/>
  <c r="R596" i="2"/>
  <c r="R597" i="2" l="1"/>
  <c r="P598" i="2"/>
  <c r="N598" i="2"/>
  <c r="O598" i="2"/>
  <c r="L598" i="2"/>
  <c r="M598" i="2"/>
  <c r="D600" i="2"/>
  <c r="E599" i="2"/>
  <c r="P599" i="2" l="1"/>
  <c r="M599" i="2"/>
  <c r="N599" i="2"/>
  <c r="L599" i="2"/>
  <c r="O599" i="2"/>
  <c r="D601" i="2"/>
  <c r="E600" i="2"/>
  <c r="R598" i="2"/>
  <c r="P600" i="2" l="1"/>
  <c r="N600" i="2"/>
  <c r="M600" i="2"/>
  <c r="O600" i="2"/>
  <c r="L600" i="2"/>
  <c r="D602" i="2"/>
  <c r="E601" i="2"/>
  <c r="R599" i="2"/>
  <c r="D603" i="2" l="1"/>
  <c r="E602" i="2"/>
  <c r="R600" i="2"/>
  <c r="P601" i="2"/>
  <c r="O601" i="2"/>
  <c r="M601" i="2"/>
  <c r="N601" i="2"/>
  <c r="L601" i="2"/>
  <c r="R601" i="2" l="1"/>
  <c r="P602" i="2"/>
  <c r="N602" i="2"/>
  <c r="O602" i="2"/>
  <c r="M602" i="2"/>
  <c r="L602" i="2"/>
  <c r="D604" i="2"/>
  <c r="E603" i="2"/>
  <c r="P603" i="2" l="1"/>
  <c r="N603" i="2"/>
  <c r="O603" i="2"/>
  <c r="M603" i="2"/>
  <c r="L603" i="2"/>
  <c r="R602" i="2"/>
  <c r="D605" i="2"/>
  <c r="E604" i="2"/>
  <c r="D606" i="2" l="1"/>
  <c r="E605" i="2"/>
  <c r="R603" i="2"/>
  <c r="P604" i="2"/>
  <c r="N604" i="2"/>
  <c r="O604" i="2"/>
  <c r="M604" i="2"/>
  <c r="L604" i="2"/>
  <c r="R604" i="2" l="1"/>
  <c r="P605" i="2"/>
  <c r="N605" i="2"/>
  <c r="O605" i="2"/>
  <c r="M605" i="2"/>
  <c r="L605" i="2"/>
  <c r="D607" i="2"/>
  <c r="E606" i="2"/>
  <c r="P606" i="2" l="1"/>
  <c r="N606" i="2"/>
  <c r="O606" i="2"/>
  <c r="M606" i="2"/>
  <c r="L606" i="2"/>
  <c r="R605" i="2"/>
  <c r="D608" i="2"/>
  <c r="E607" i="2"/>
  <c r="O607" i="2" l="1"/>
  <c r="P607" i="2"/>
  <c r="N607" i="2"/>
  <c r="M607" i="2"/>
  <c r="L607" i="2"/>
  <c r="R606" i="2"/>
  <c r="D609" i="2"/>
  <c r="E608" i="2"/>
  <c r="D610" i="2" l="1"/>
  <c r="E609" i="2"/>
  <c r="R607" i="2"/>
  <c r="P608" i="2"/>
  <c r="N608" i="2"/>
  <c r="O608" i="2"/>
  <c r="L608" i="2"/>
  <c r="M608" i="2"/>
  <c r="R608" i="2" l="1"/>
  <c r="P609" i="2"/>
  <c r="N609" i="2"/>
  <c r="L609" i="2"/>
  <c r="M609" i="2"/>
  <c r="O609" i="2"/>
  <c r="D611" i="2"/>
  <c r="E610" i="2"/>
  <c r="O610" i="2" l="1"/>
  <c r="N610" i="2"/>
  <c r="L610" i="2"/>
  <c r="P610" i="2"/>
  <c r="M610" i="2"/>
  <c r="D612" i="2"/>
  <c r="E611" i="2"/>
  <c r="R609" i="2"/>
  <c r="R610" i="2" l="1"/>
  <c r="O611" i="2"/>
  <c r="L611" i="2"/>
  <c r="P611" i="2"/>
  <c r="N611" i="2"/>
  <c r="M611" i="2"/>
  <c r="D613" i="2"/>
  <c r="E612" i="2"/>
  <c r="P612" i="2" l="1"/>
  <c r="O612" i="2"/>
  <c r="L612" i="2"/>
  <c r="M612" i="2"/>
  <c r="N612" i="2"/>
  <c r="D614" i="2"/>
  <c r="E613" i="2"/>
  <c r="R611" i="2"/>
  <c r="R612" i="2" l="1"/>
  <c r="D615" i="2"/>
  <c r="E614" i="2"/>
  <c r="P613" i="2"/>
  <c r="O613" i="2"/>
  <c r="L613" i="2"/>
  <c r="M613" i="2"/>
  <c r="N613" i="2"/>
  <c r="R613" i="2" l="1"/>
  <c r="P614" i="2"/>
  <c r="O614" i="2"/>
  <c r="L614" i="2"/>
  <c r="M614" i="2"/>
  <c r="N614" i="2"/>
  <c r="D616" i="2"/>
  <c r="E615" i="2"/>
  <c r="D617" i="2" l="1"/>
  <c r="E616" i="2"/>
  <c r="R614" i="2"/>
  <c r="P615" i="2"/>
  <c r="O615" i="2"/>
  <c r="L615" i="2"/>
  <c r="M615" i="2"/>
  <c r="N615" i="2"/>
  <c r="R615" i="2" l="1"/>
  <c r="P616" i="2"/>
  <c r="O616" i="2"/>
  <c r="L616" i="2"/>
  <c r="M616" i="2"/>
  <c r="N616" i="2"/>
  <c r="D618" i="2"/>
  <c r="E617" i="2"/>
  <c r="D619" i="2" l="1"/>
  <c r="E618" i="2"/>
  <c r="P617" i="2"/>
  <c r="O617" i="2"/>
  <c r="L617" i="2"/>
  <c r="M617" i="2"/>
  <c r="N617" i="2"/>
  <c r="R616" i="2"/>
  <c r="R617" i="2" l="1"/>
  <c r="O618" i="2"/>
  <c r="N618" i="2"/>
  <c r="P618" i="2"/>
  <c r="L618" i="2"/>
  <c r="M618" i="2"/>
  <c r="D620" i="2"/>
  <c r="E619" i="2"/>
  <c r="M619" i="2" l="1"/>
  <c r="P619" i="2"/>
  <c r="L619" i="2"/>
  <c r="N619" i="2"/>
  <c r="O619" i="2"/>
  <c r="D621" i="2"/>
  <c r="E620" i="2"/>
  <c r="R618" i="2"/>
  <c r="R619" i="2" l="1"/>
  <c r="P620" i="2"/>
  <c r="M620" i="2"/>
  <c r="L620" i="2"/>
  <c r="N620" i="2"/>
  <c r="O620" i="2"/>
  <c r="D622" i="2"/>
  <c r="E621" i="2"/>
  <c r="R620" i="2" l="1"/>
  <c r="P621" i="2"/>
  <c r="M621" i="2"/>
  <c r="L621" i="2"/>
  <c r="O621" i="2"/>
  <c r="N621" i="2"/>
  <c r="D623" i="2"/>
  <c r="E622" i="2"/>
  <c r="R621" i="2" l="1"/>
  <c r="D624" i="2"/>
  <c r="E623" i="2"/>
  <c r="P622" i="2"/>
  <c r="O622" i="2"/>
  <c r="M622" i="2"/>
  <c r="N622" i="2"/>
  <c r="L622" i="2"/>
  <c r="R622" i="2" l="1"/>
  <c r="P623" i="2"/>
  <c r="N623" i="2"/>
  <c r="O623" i="2"/>
  <c r="M623" i="2"/>
  <c r="L623" i="2"/>
  <c r="D625" i="2"/>
  <c r="E624" i="2"/>
  <c r="D626" i="2" l="1"/>
  <c r="E625" i="2"/>
  <c r="R623" i="2"/>
  <c r="P624" i="2"/>
  <c r="N624" i="2"/>
  <c r="O624" i="2"/>
  <c r="M624" i="2"/>
  <c r="L624" i="2"/>
  <c r="R624" i="2" s="1"/>
  <c r="P625" i="2" l="1"/>
  <c r="O625" i="2"/>
  <c r="M625" i="2"/>
  <c r="N625" i="2"/>
  <c r="L625" i="2"/>
  <c r="D627" i="2"/>
  <c r="E626" i="2"/>
  <c r="D628" i="2" l="1"/>
  <c r="E627" i="2"/>
  <c r="O626" i="2"/>
  <c r="M626" i="2"/>
  <c r="P626" i="2"/>
  <c r="N626" i="2"/>
  <c r="L626" i="2"/>
  <c r="R626" i="2" s="1"/>
  <c r="R625" i="2"/>
  <c r="O627" i="2" l="1"/>
  <c r="N627" i="2"/>
  <c r="M627" i="2"/>
  <c r="P627" i="2"/>
  <c r="L627" i="2"/>
  <c r="D629" i="2"/>
  <c r="E628" i="2"/>
  <c r="D630" i="2" l="1"/>
  <c r="E629" i="2"/>
  <c r="R627" i="2"/>
  <c r="O628" i="2"/>
  <c r="N628" i="2"/>
  <c r="M628" i="2"/>
  <c r="P628" i="2"/>
  <c r="L628" i="2"/>
  <c r="R628" i="2" l="1"/>
  <c r="O629" i="2"/>
  <c r="N629" i="2"/>
  <c r="P629" i="2"/>
  <c r="L629" i="2"/>
  <c r="M629" i="2"/>
  <c r="D631" i="2"/>
  <c r="E630" i="2"/>
  <c r="D632" i="2" l="1"/>
  <c r="E631" i="2"/>
  <c r="R629" i="2"/>
  <c r="N630" i="2"/>
  <c r="P630" i="2"/>
  <c r="L630" i="2"/>
  <c r="M630" i="2"/>
  <c r="O630" i="2"/>
  <c r="R630" i="2" l="1"/>
  <c r="N631" i="2"/>
  <c r="L631" i="2"/>
  <c r="P631" i="2"/>
  <c r="O631" i="2"/>
  <c r="M631" i="2"/>
  <c r="D633" i="2"/>
  <c r="E632" i="2"/>
  <c r="O632" i="2" l="1"/>
  <c r="P632" i="2"/>
  <c r="N632" i="2"/>
  <c r="L632" i="2"/>
  <c r="M632" i="2"/>
  <c r="D634" i="2"/>
  <c r="E633" i="2"/>
  <c r="R631" i="2"/>
  <c r="R632" i="2" l="1"/>
  <c r="D635" i="2"/>
  <c r="E634" i="2"/>
  <c r="O633" i="2"/>
  <c r="P633" i="2"/>
  <c r="N633" i="2"/>
  <c r="L633" i="2"/>
  <c r="M633" i="2"/>
  <c r="R633" i="2" l="1"/>
  <c r="D636" i="2"/>
  <c r="E635" i="2"/>
  <c r="P634" i="2"/>
  <c r="N634" i="2"/>
  <c r="O634" i="2"/>
  <c r="M634" i="2"/>
  <c r="L634" i="2"/>
  <c r="R634" i="2" l="1"/>
  <c r="P635" i="2"/>
  <c r="O635" i="2"/>
  <c r="N635" i="2"/>
  <c r="M635" i="2"/>
  <c r="L635" i="2"/>
  <c r="D637" i="2"/>
  <c r="E636" i="2"/>
  <c r="D638" i="2" l="1"/>
  <c r="E637" i="2"/>
  <c r="R635" i="2"/>
  <c r="P636" i="2"/>
  <c r="O636" i="2"/>
  <c r="N636" i="2"/>
  <c r="L636" i="2"/>
  <c r="M636" i="2"/>
  <c r="R636" i="2" l="1"/>
  <c r="P637" i="2"/>
  <c r="O637" i="2"/>
  <c r="N637" i="2"/>
  <c r="L637" i="2"/>
  <c r="M637" i="2"/>
  <c r="D639" i="2"/>
  <c r="E638" i="2"/>
  <c r="D640" i="2" l="1"/>
  <c r="E639" i="2"/>
  <c r="R637" i="2"/>
  <c r="P638" i="2"/>
  <c r="O638" i="2"/>
  <c r="N638" i="2"/>
  <c r="L638" i="2"/>
  <c r="M638" i="2"/>
  <c r="R638" i="2" l="1"/>
  <c r="P639" i="2"/>
  <c r="O639" i="2"/>
  <c r="M639" i="2"/>
  <c r="N639" i="2"/>
  <c r="L639" i="2"/>
  <c r="D641" i="2"/>
  <c r="E640" i="2"/>
  <c r="P640" i="2" l="1"/>
  <c r="O640" i="2"/>
  <c r="N640" i="2"/>
  <c r="L640" i="2"/>
  <c r="M640" i="2"/>
  <c r="R639" i="2"/>
  <c r="D642" i="2"/>
  <c r="E641" i="2"/>
  <c r="P641" i="2" l="1"/>
  <c r="O641" i="2"/>
  <c r="N641" i="2"/>
  <c r="L641" i="2"/>
  <c r="M641" i="2"/>
  <c r="R640" i="2"/>
  <c r="D643" i="2"/>
  <c r="E642" i="2"/>
  <c r="R641" i="2" l="1"/>
  <c r="D644" i="2"/>
  <c r="E643" i="2"/>
  <c r="P642" i="2"/>
  <c r="N642" i="2"/>
  <c r="L642" i="2"/>
  <c r="O642" i="2"/>
  <c r="M642" i="2"/>
  <c r="R642" i="2" l="1"/>
  <c r="P643" i="2"/>
  <c r="N643" i="2"/>
  <c r="M643" i="2"/>
  <c r="L643" i="2"/>
  <c r="O643" i="2"/>
  <c r="D645" i="2"/>
  <c r="E644" i="2"/>
  <c r="D646" i="2" l="1"/>
  <c r="E645" i="2"/>
  <c r="R643" i="2"/>
  <c r="P644" i="2"/>
  <c r="N644" i="2"/>
  <c r="M644" i="2"/>
  <c r="L644" i="2"/>
  <c r="O644" i="2"/>
  <c r="R644" i="2" l="1"/>
  <c r="P645" i="2"/>
  <c r="M645" i="2"/>
  <c r="L645" i="2"/>
  <c r="O645" i="2"/>
  <c r="N645" i="2"/>
  <c r="D647" i="2"/>
  <c r="E646" i="2"/>
  <c r="D648" i="2" l="1"/>
  <c r="E647" i="2"/>
  <c r="R645" i="2"/>
  <c r="P646" i="2"/>
  <c r="M646" i="2"/>
  <c r="L646" i="2"/>
  <c r="O646" i="2"/>
  <c r="N646" i="2"/>
  <c r="R646" i="2" l="1"/>
  <c r="P647" i="2"/>
  <c r="O647" i="2"/>
  <c r="M647" i="2"/>
  <c r="L647" i="2"/>
  <c r="N647" i="2"/>
  <c r="D649" i="2"/>
  <c r="E648" i="2"/>
  <c r="D650" i="2" l="1"/>
  <c r="E649" i="2"/>
  <c r="R647" i="2"/>
  <c r="P648" i="2"/>
  <c r="M648" i="2"/>
  <c r="L648" i="2"/>
  <c r="O648" i="2"/>
  <c r="N648" i="2"/>
  <c r="R648" i="2" l="1"/>
  <c r="P649" i="2"/>
  <c r="M649" i="2"/>
  <c r="L649" i="2"/>
  <c r="O649" i="2"/>
  <c r="N649" i="2"/>
  <c r="D651" i="2"/>
  <c r="E650" i="2"/>
  <c r="P650" i="2" l="1"/>
  <c r="N650" i="2"/>
  <c r="L650" i="2"/>
  <c r="O650" i="2"/>
  <c r="M650" i="2"/>
  <c r="D652" i="2"/>
  <c r="E651" i="2"/>
  <c r="R649" i="2"/>
  <c r="R650" i="2" l="1"/>
  <c r="D653" i="2"/>
  <c r="E652" i="2"/>
  <c r="N651" i="2"/>
  <c r="L651" i="2"/>
  <c r="O651" i="2"/>
  <c r="P651" i="2"/>
  <c r="M651" i="2"/>
  <c r="R651" i="2" l="1"/>
  <c r="O652" i="2"/>
  <c r="N652" i="2"/>
  <c r="L652" i="2"/>
  <c r="P652" i="2"/>
  <c r="M652" i="2"/>
  <c r="D654" i="2"/>
  <c r="E653" i="2"/>
  <c r="D655" i="2" l="1"/>
  <c r="E654" i="2"/>
  <c r="R652" i="2"/>
  <c r="O653" i="2"/>
  <c r="N653" i="2"/>
  <c r="L653" i="2"/>
  <c r="P653" i="2"/>
  <c r="M653" i="2"/>
  <c r="R653" i="2" l="1"/>
  <c r="P654" i="2"/>
  <c r="N654" i="2"/>
  <c r="O654" i="2"/>
  <c r="M654" i="2"/>
  <c r="L654" i="2"/>
  <c r="D656" i="2"/>
  <c r="E655" i="2"/>
  <c r="D657" i="2" l="1"/>
  <c r="E656" i="2"/>
  <c r="R654" i="2"/>
  <c r="P655" i="2"/>
  <c r="N655" i="2"/>
  <c r="O655" i="2"/>
  <c r="M655" i="2"/>
  <c r="L655" i="2"/>
  <c r="R655" i="2" l="1"/>
  <c r="P656" i="2"/>
  <c r="N656" i="2"/>
  <c r="O656" i="2"/>
  <c r="M656" i="2"/>
  <c r="L656" i="2"/>
  <c r="R656" i="2" s="1"/>
  <c r="D658" i="2"/>
  <c r="E657" i="2"/>
  <c r="D659" i="2" l="1"/>
  <c r="E658" i="2"/>
  <c r="P657" i="2"/>
  <c r="O657" i="2"/>
  <c r="M657" i="2"/>
  <c r="N657" i="2"/>
  <c r="L657" i="2"/>
  <c r="R657" i="2" l="1"/>
  <c r="P658" i="2"/>
  <c r="O658" i="2"/>
  <c r="N658" i="2"/>
  <c r="M658" i="2"/>
  <c r="L658" i="2"/>
  <c r="D660" i="2"/>
  <c r="E659" i="2"/>
  <c r="P659" i="2" l="1"/>
  <c r="O659" i="2"/>
  <c r="M659" i="2"/>
  <c r="L659" i="2"/>
  <c r="N659" i="2"/>
  <c r="D661" i="2"/>
  <c r="E660" i="2"/>
  <c r="R658" i="2"/>
  <c r="P660" i="2" l="1"/>
  <c r="O660" i="2"/>
  <c r="N660" i="2"/>
  <c r="L660" i="2"/>
  <c r="M660" i="2"/>
  <c r="D662" i="2"/>
  <c r="E661" i="2"/>
  <c r="R659" i="2"/>
  <c r="P661" i="2" l="1"/>
  <c r="O661" i="2"/>
  <c r="M661" i="2"/>
  <c r="N661" i="2"/>
  <c r="L661" i="2"/>
  <c r="D663" i="2"/>
  <c r="E662" i="2"/>
  <c r="R660" i="2"/>
  <c r="P662" i="2" l="1"/>
  <c r="O662" i="2"/>
  <c r="M662" i="2"/>
  <c r="N662" i="2"/>
  <c r="L662" i="2"/>
  <c r="R661" i="2"/>
  <c r="D664" i="2"/>
  <c r="E663" i="2"/>
  <c r="P663" i="2" l="1"/>
  <c r="O663" i="2"/>
  <c r="N663" i="2"/>
  <c r="L663" i="2"/>
  <c r="M663" i="2"/>
  <c r="R662" i="2"/>
  <c r="D665" i="2"/>
  <c r="E664" i="2"/>
  <c r="R663" i="2" l="1"/>
  <c r="D666" i="2"/>
  <c r="E665" i="2"/>
  <c r="P664" i="2"/>
  <c r="O664" i="2"/>
  <c r="N664" i="2"/>
  <c r="M664" i="2"/>
  <c r="L664" i="2"/>
  <c r="R664" i="2" l="1"/>
  <c r="P665" i="2"/>
  <c r="O665" i="2"/>
  <c r="M665" i="2"/>
  <c r="N665" i="2"/>
  <c r="L665" i="2"/>
  <c r="D667" i="2"/>
  <c r="E666" i="2"/>
  <c r="D668" i="2" l="1"/>
  <c r="E667" i="2"/>
  <c r="R665" i="2"/>
  <c r="P666" i="2"/>
  <c r="O666" i="2"/>
  <c r="M666" i="2"/>
  <c r="N666" i="2"/>
  <c r="L666" i="2"/>
  <c r="R666" i="2" l="1"/>
  <c r="O667" i="2"/>
  <c r="P667" i="2"/>
  <c r="M667" i="2"/>
  <c r="N667" i="2"/>
  <c r="L667" i="2"/>
  <c r="D669" i="2"/>
  <c r="E668" i="2"/>
  <c r="D670" i="2" l="1"/>
  <c r="E669" i="2"/>
  <c r="R667" i="2"/>
  <c r="O668" i="2"/>
  <c r="P668" i="2"/>
  <c r="M668" i="2"/>
  <c r="N668" i="2"/>
  <c r="L668" i="2"/>
  <c r="R668" i="2" l="1"/>
  <c r="O669" i="2"/>
  <c r="P669" i="2"/>
  <c r="M669" i="2"/>
  <c r="N669" i="2"/>
  <c r="L669" i="2"/>
  <c r="D671" i="2"/>
  <c r="E670" i="2"/>
  <c r="R669" i="2" l="1"/>
  <c r="P670" i="2"/>
  <c r="M670" i="2"/>
  <c r="N670" i="2"/>
  <c r="O670" i="2"/>
  <c r="L670" i="2"/>
  <c r="R670" i="2" s="1"/>
  <c r="D672" i="2"/>
  <c r="E671" i="2"/>
  <c r="P671" i="2" l="1"/>
  <c r="N671" i="2"/>
  <c r="O671" i="2"/>
  <c r="L671" i="2"/>
  <c r="M671" i="2"/>
  <c r="D673" i="2"/>
  <c r="E672" i="2"/>
  <c r="P672" i="2" l="1"/>
  <c r="O672" i="2"/>
  <c r="L672" i="2"/>
  <c r="N672" i="2"/>
  <c r="M672" i="2"/>
  <c r="D674" i="2"/>
  <c r="E673" i="2"/>
  <c r="R671" i="2"/>
  <c r="D675" i="2" l="1"/>
  <c r="E674" i="2"/>
  <c r="P673" i="2"/>
  <c r="O673" i="2"/>
  <c r="N673" i="2"/>
  <c r="L673" i="2"/>
  <c r="M673" i="2"/>
  <c r="R672" i="2"/>
  <c r="R673" i="2" l="1"/>
  <c r="P674" i="2"/>
  <c r="N674" i="2"/>
  <c r="O674" i="2"/>
  <c r="L674" i="2"/>
  <c r="M674" i="2"/>
  <c r="D676" i="2"/>
  <c r="E675" i="2"/>
  <c r="P675" i="2" l="1"/>
  <c r="N675" i="2"/>
  <c r="L675" i="2"/>
  <c r="M675" i="2"/>
  <c r="O675" i="2"/>
  <c r="D677" i="2"/>
  <c r="E676" i="2"/>
  <c r="R674" i="2"/>
  <c r="P676" i="2" l="1"/>
  <c r="N676" i="2"/>
  <c r="L676" i="2"/>
  <c r="M676" i="2"/>
  <c r="O676" i="2"/>
  <c r="D678" i="2"/>
  <c r="E677" i="2"/>
  <c r="R675" i="2"/>
  <c r="P677" i="2" l="1"/>
  <c r="N677" i="2"/>
  <c r="L677" i="2"/>
  <c r="M677" i="2"/>
  <c r="O677" i="2"/>
  <c r="D679" i="2"/>
  <c r="E678" i="2"/>
  <c r="R676" i="2"/>
  <c r="P678" i="2" l="1"/>
  <c r="N678" i="2"/>
  <c r="L678" i="2"/>
  <c r="O678" i="2"/>
  <c r="M678" i="2"/>
  <c r="D680" i="2"/>
  <c r="E679" i="2"/>
  <c r="R677" i="2"/>
  <c r="P679" i="2" l="1"/>
  <c r="N679" i="2"/>
  <c r="M679" i="2"/>
  <c r="L679" i="2"/>
  <c r="O679" i="2"/>
  <c r="D681" i="2"/>
  <c r="E680" i="2"/>
  <c r="R678" i="2"/>
  <c r="P680" i="2" l="1"/>
  <c r="N680" i="2"/>
  <c r="L680" i="2"/>
  <c r="O680" i="2"/>
  <c r="M680" i="2"/>
  <c r="D682" i="2"/>
  <c r="E681" i="2"/>
  <c r="R679" i="2"/>
  <c r="P681" i="2" l="1"/>
  <c r="O681" i="2"/>
  <c r="M681" i="2"/>
  <c r="L681" i="2"/>
  <c r="N681" i="2"/>
  <c r="D683" i="2"/>
  <c r="E682" i="2"/>
  <c r="R680" i="2"/>
  <c r="P682" i="2" l="1"/>
  <c r="O682" i="2"/>
  <c r="M682" i="2"/>
  <c r="N682" i="2"/>
  <c r="L682" i="2"/>
  <c r="D684" i="2"/>
  <c r="E683" i="2"/>
  <c r="R681" i="2"/>
  <c r="R682" i="2" l="1"/>
  <c r="P683" i="2"/>
  <c r="N683" i="2"/>
  <c r="O683" i="2"/>
  <c r="M683" i="2"/>
  <c r="L683" i="2"/>
  <c r="D685" i="2"/>
  <c r="E684" i="2"/>
  <c r="P684" i="2" l="1"/>
  <c r="N684" i="2"/>
  <c r="O684" i="2"/>
  <c r="M684" i="2"/>
  <c r="L684" i="2"/>
  <c r="D686" i="2"/>
  <c r="E685" i="2"/>
  <c r="R683" i="2"/>
  <c r="R684" i="2" l="1"/>
  <c r="P685" i="2"/>
  <c r="O685" i="2"/>
  <c r="M685" i="2"/>
  <c r="N685" i="2"/>
  <c r="L685" i="2"/>
  <c r="R685" i="2" s="1"/>
  <c r="D687" i="2"/>
  <c r="E686" i="2"/>
  <c r="P686" i="2" l="1"/>
  <c r="O686" i="2"/>
  <c r="M686" i="2"/>
  <c r="N686" i="2"/>
  <c r="L686" i="2"/>
  <c r="R686" i="2" s="1"/>
  <c r="D688" i="2"/>
  <c r="E687" i="2"/>
  <c r="P687" i="2" l="1"/>
  <c r="O687" i="2"/>
  <c r="M687" i="2"/>
  <c r="L687" i="2"/>
  <c r="N687" i="2"/>
  <c r="D689" i="2"/>
  <c r="E688" i="2"/>
  <c r="P688" i="2" l="1"/>
  <c r="O688" i="2"/>
  <c r="M688" i="2"/>
  <c r="L688" i="2"/>
  <c r="N688" i="2"/>
  <c r="D690" i="2"/>
  <c r="E689" i="2"/>
  <c r="R687" i="2"/>
  <c r="P689" i="2" l="1"/>
  <c r="M689" i="2"/>
  <c r="L689" i="2"/>
  <c r="N689" i="2"/>
  <c r="O689" i="2"/>
  <c r="D691" i="2"/>
  <c r="E690" i="2"/>
  <c r="R688" i="2"/>
  <c r="P690" i="2" l="1"/>
  <c r="M690" i="2"/>
  <c r="L690" i="2"/>
  <c r="N690" i="2"/>
  <c r="O690" i="2"/>
  <c r="D692" i="2"/>
  <c r="E691" i="2"/>
  <c r="R689" i="2"/>
  <c r="P691" i="2" l="1"/>
  <c r="M691" i="2"/>
  <c r="L691" i="2"/>
  <c r="N691" i="2"/>
  <c r="O691" i="2"/>
  <c r="D693" i="2"/>
  <c r="E692" i="2"/>
  <c r="R690" i="2"/>
  <c r="D694" i="2" l="1"/>
  <c r="E693" i="2"/>
  <c r="R691" i="2"/>
  <c r="O692" i="2"/>
  <c r="P692" i="2"/>
  <c r="L692" i="2"/>
  <c r="N692" i="2"/>
  <c r="M692" i="2"/>
  <c r="R692" i="2" l="1"/>
  <c r="O693" i="2"/>
  <c r="L693" i="2"/>
  <c r="N693" i="2"/>
  <c r="M693" i="2"/>
  <c r="P693" i="2"/>
  <c r="D695" i="2"/>
  <c r="E694" i="2"/>
  <c r="N694" i="2" l="1"/>
  <c r="M694" i="2"/>
  <c r="P694" i="2"/>
  <c r="L694" i="2"/>
  <c r="O694" i="2"/>
  <c r="D696" i="2"/>
  <c r="E695" i="2"/>
  <c r="R693" i="2"/>
  <c r="O695" i="2" l="1"/>
  <c r="N695" i="2"/>
  <c r="P695" i="2"/>
  <c r="M695" i="2"/>
  <c r="L695" i="2"/>
  <c r="D697" i="2"/>
  <c r="E696" i="2"/>
  <c r="R694" i="2"/>
  <c r="R695" i="2" l="1"/>
  <c r="D698" i="2"/>
  <c r="E697" i="2"/>
  <c r="P696" i="2"/>
  <c r="O696" i="2"/>
  <c r="N696" i="2"/>
  <c r="L696" i="2"/>
  <c r="M696" i="2"/>
  <c r="R696" i="2" l="1"/>
  <c r="P697" i="2"/>
  <c r="O697" i="2"/>
  <c r="N697" i="2"/>
  <c r="L697" i="2"/>
  <c r="M697" i="2"/>
  <c r="D699" i="2"/>
  <c r="E698" i="2"/>
  <c r="D700" i="2" l="1"/>
  <c r="E699" i="2"/>
  <c r="R697" i="2"/>
  <c r="P698" i="2"/>
  <c r="N698" i="2"/>
  <c r="O698" i="2"/>
  <c r="M698" i="2"/>
  <c r="L698" i="2"/>
  <c r="R698" i="2" s="1"/>
  <c r="P699" i="2" l="1"/>
  <c r="O699" i="2"/>
  <c r="N699" i="2"/>
  <c r="M699" i="2"/>
  <c r="L699" i="2"/>
  <c r="R699" i="2" s="1"/>
  <c r="D701" i="2"/>
  <c r="E700" i="2"/>
  <c r="D702" i="2" l="1"/>
  <c r="E701" i="2"/>
  <c r="P700" i="2"/>
  <c r="O700" i="2"/>
  <c r="N700" i="2"/>
  <c r="L700" i="2"/>
  <c r="M700" i="2"/>
  <c r="P701" i="2" l="1"/>
  <c r="O701" i="2"/>
  <c r="N701" i="2"/>
  <c r="L701" i="2"/>
  <c r="M701" i="2"/>
  <c r="R700" i="2"/>
  <c r="D703" i="2"/>
  <c r="E702" i="2"/>
  <c r="D704" i="2" l="1"/>
  <c r="E703" i="2"/>
  <c r="P702" i="2"/>
  <c r="N702" i="2"/>
  <c r="L702" i="2"/>
  <c r="O702" i="2"/>
  <c r="M702" i="2"/>
  <c r="R701" i="2"/>
  <c r="P703" i="2" l="1"/>
  <c r="N703" i="2"/>
  <c r="L703" i="2"/>
  <c r="O703" i="2"/>
  <c r="M703" i="2"/>
  <c r="R702" i="2"/>
  <c r="D705" i="2"/>
  <c r="E704" i="2"/>
  <c r="P704" i="2" l="1"/>
  <c r="N704" i="2"/>
  <c r="O704" i="2"/>
  <c r="L704" i="2"/>
  <c r="M704" i="2"/>
  <c r="D706" i="2"/>
  <c r="E705" i="2"/>
  <c r="R703" i="2"/>
  <c r="P705" i="2" l="1"/>
  <c r="O705" i="2"/>
  <c r="N705" i="2"/>
  <c r="L705" i="2"/>
  <c r="M705" i="2"/>
  <c r="D707" i="2"/>
  <c r="E706" i="2"/>
  <c r="R704" i="2"/>
  <c r="P706" i="2" l="1"/>
  <c r="O706" i="2"/>
  <c r="N706" i="2"/>
  <c r="M706" i="2"/>
  <c r="L706" i="2"/>
  <c r="R706" i="2" s="1"/>
  <c r="D708" i="2"/>
  <c r="E707" i="2"/>
  <c r="R705" i="2"/>
  <c r="P707" i="2" l="1"/>
  <c r="O707" i="2"/>
  <c r="N707" i="2"/>
  <c r="M707" i="2"/>
  <c r="L707" i="2"/>
  <c r="R707" i="2" s="1"/>
  <c r="D709" i="2"/>
  <c r="E708" i="2"/>
  <c r="O708" i="2" l="1"/>
  <c r="N708" i="2"/>
  <c r="M708" i="2"/>
  <c r="L708" i="2"/>
  <c r="P708" i="2"/>
  <c r="D710" i="2"/>
  <c r="E709" i="2"/>
  <c r="O709" i="2" l="1"/>
  <c r="N709" i="2"/>
  <c r="M709" i="2"/>
  <c r="L709" i="2"/>
  <c r="P709" i="2"/>
  <c r="D711" i="2"/>
  <c r="E710" i="2"/>
  <c r="R708" i="2"/>
  <c r="O710" i="2" l="1"/>
  <c r="N710" i="2"/>
  <c r="M710" i="2"/>
  <c r="L710" i="2"/>
  <c r="P710" i="2"/>
  <c r="D712" i="2"/>
  <c r="E711" i="2"/>
  <c r="R709" i="2"/>
  <c r="D713" i="2" l="1"/>
  <c r="E712" i="2"/>
  <c r="O711" i="2"/>
  <c r="P711" i="2"/>
  <c r="N711" i="2"/>
  <c r="M711" i="2"/>
  <c r="L711" i="2"/>
  <c r="R710" i="2"/>
  <c r="O712" i="2" l="1"/>
  <c r="P712" i="2"/>
  <c r="M712" i="2"/>
  <c r="L712" i="2"/>
  <c r="N712" i="2"/>
  <c r="R711" i="2"/>
  <c r="D714" i="2"/>
  <c r="E713" i="2"/>
  <c r="D715" i="2" l="1"/>
  <c r="E714" i="2"/>
  <c r="O713" i="2"/>
  <c r="P713" i="2"/>
  <c r="L713" i="2"/>
  <c r="M713" i="2"/>
  <c r="N713" i="2"/>
  <c r="R712" i="2"/>
  <c r="R713" i="2" l="1"/>
  <c r="P714" i="2"/>
  <c r="L714" i="2"/>
  <c r="M714" i="2"/>
  <c r="O714" i="2"/>
  <c r="N714" i="2"/>
  <c r="D716" i="2"/>
  <c r="E715" i="2"/>
  <c r="D717" i="2" l="1"/>
  <c r="E716" i="2"/>
  <c r="P715" i="2"/>
  <c r="O715" i="2"/>
  <c r="M715" i="2"/>
  <c r="L715" i="2"/>
  <c r="N715" i="2"/>
  <c r="R714" i="2"/>
  <c r="R715" i="2" l="1"/>
  <c r="P716" i="2"/>
  <c r="O716" i="2"/>
  <c r="M716" i="2"/>
  <c r="L716" i="2"/>
  <c r="N716" i="2"/>
  <c r="D718" i="2"/>
  <c r="E717" i="2"/>
  <c r="P717" i="2" l="1"/>
  <c r="O717" i="2"/>
  <c r="M717" i="2"/>
  <c r="L717" i="2"/>
  <c r="N717" i="2"/>
  <c r="D719" i="2"/>
  <c r="E718" i="2"/>
  <c r="R716" i="2"/>
  <c r="P718" i="2" l="1"/>
  <c r="N718" i="2"/>
  <c r="O718" i="2"/>
  <c r="M718" i="2"/>
  <c r="L718" i="2"/>
  <c r="D720" i="2"/>
  <c r="E719" i="2"/>
  <c r="R717" i="2"/>
  <c r="R718" i="2" l="1"/>
  <c r="P719" i="2"/>
  <c r="M719" i="2"/>
  <c r="O719" i="2"/>
  <c r="L719" i="2"/>
  <c r="N719" i="2"/>
  <c r="D721" i="2"/>
  <c r="E720" i="2"/>
  <c r="R719" i="2" l="1"/>
  <c r="D722" i="2"/>
  <c r="E721" i="2"/>
  <c r="P720" i="2"/>
  <c r="N720" i="2"/>
  <c r="O720" i="2"/>
  <c r="M720" i="2"/>
  <c r="L720" i="2"/>
  <c r="R720" i="2" l="1"/>
  <c r="P721" i="2"/>
  <c r="N721" i="2"/>
  <c r="O721" i="2"/>
  <c r="M721" i="2"/>
  <c r="L721" i="2"/>
  <c r="D723" i="2"/>
  <c r="E722" i="2"/>
  <c r="R721" i="2" l="1"/>
  <c r="P722" i="2"/>
  <c r="N722" i="2"/>
  <c r="M722" i="2"/>
  <c r="O722" i="2"/>
  <c r="L722" i="2"/>
  <c r="D724" i="2"/>
  <c r="E723" i="2"/>
  <c r="R722" i="2" l="1"/>
  <c r="P723" i="2"/>
  <c r="N723" i="2"/>
  <c r="M723" i="2"/>
  <c r="O723" i="2"/>
  <c r="L723" i="2"/>
  <c r="D725" i="2"/>
  <c r="E724" i="2"/>
  <c r="P724" i="2" l="1"/>
  <c r="N724" i="2"/>
  <c r="O724" i="2"/>
  <c r="M724" i="2"/>
  <c r="L724" i="2"/>
  <c r="R723" i="2"/>
  <c r="D726" i="2"/>
  <c r="E725" i="2"/>
  <c r="P725" i="2" l="1"/>
  <c r="N725" i="2"/>
  <c r="O725" i="2"/>
  <c r="M725" i="2"/>
  <c r="L725" i="2"/>
  <c r="R725" i="2" s="1"/>
  <c r="R724" i="2"/>
  <c r="D727" i="2"/>
  <c r="E726" i="2"/>
  <c r="P726" i="2" l="1"/>
  <c r="M726" i="2"/>
  <c r="N726" i="2"/>
  <c r="O726" i="2"/>
  <c r="L726" i="2"/>
  <c r="D728" i="2"/>
  <c r="E727" i="2"/>
  <c r="D729" i="2" l="1"/>
  <c r="E728" i="2"/>
  <c r="R726" i="2"/>
  <c r="O727" i="2"/>
  <c r="M727" i="2"/>
  <c r="P727" i="2"/>
  <c r="N727" i="2"/>
  <c r="L727" i="2"/>
  <c r="R727" i="2" l="1"/>
  <c r="P728" i="2"/>
  <c r="O728" i="2"/>
  <c r="N728" i="2"/>
  <c r="L728" i="2"/>
  <c r="M728" i="2"/>
  <c r="D730" i="2"/>
  <c r="E729" i="2"/>
  <c r="D731" i="2" l="1"/>
  <c r="E730" i="2"/>
  <c r="R728" i="2"/>
  <c r="P729" i="2"/>
  <c r="O729" i="2"/>
  <c r="L729" i="2"/>
  <c r="M729" i="2"/>
  <c r="N729" i="2"/>
  <c r="R729" i="2" l="1"/>
  <c r="P730" i="2"/>
  <c r="O730" i="2"/>
  <c r="L730" i="2"/>
  <c r="M730" i="2"/>
  <c r="N730" i="2"/>
  <c r="D732" i="2"/>
  <c r="E731" i="2"/>
  <c r="D733" i="2" l="1"/>
  <c r="E732" i="2"/>
  <c r="P731" i="2"/>
  <c r="O731" i="2"/>
  <c r="L731" i="2"/>
  <c r="M731" i="2"/>
  <c r="N731" i="2"/>
  <c r="R730" i="2"/>
  <c r="R731" i="2" l="1"/>
  <c r="P732" i="2"/>
  <c r="O732" i="2"/>
  <c r="L732" i="2"/>
  <c r="M732" i="2"/>
  <c r="N732" i="2"/>
  <c r="D734" i="2"/>
  <c r="E733" i="2"/>
  <c r="P733" i="2" l="1"/>
  <c r="O733" i="2"/>
  <c r="L733" i="2"/>
  <c r="M733" i="2"/>
  <c r="N733" i="2"/>
  <c r="R732" i="2"/>
  <c r="D735" i="2"/>
  <c r="E734" i="2"/>
  <c r="R733" i="2" l="1"/>
  <c r="D736" i="2"/>
  <c r="E735" i="2"/>
  <c r="P734" i="2"/>
  <c r="O734" i="2"/>
  <c r="M734" i="2"/>
  <c r="N734" i="2"/>
  <c r="L734" i="2"/>
  <c r="R734" i="2" l="1"/>
  <c r="P735" i="2"/>
  <c r="O735" i="2"/>
  <c r="M735" i="2"/>
  <c r="N735" i="2"/>
  <c r="L735" i="2"/>
  <c r="D737" i="2"/>
  <c r="E736" i="2"/>
  <c r="D738" i="2" l="1"/>
  <c r="E737" i="2"/>
  <c r="P736" i="2"/>
  <c r="O736" i="2"/>
  <c r="N736" i="2"/>
  <c r="L736" i="2"/>
  <c r="M736" i="2"/>
  <c r="R735" i="2"/>
  <c r="R736" i="2" l="1"/>
  <c r="O737" i="2"/>
  <c r="N737" i="2"/>
  <c r="L737" i="2"/>
  <c r="M737" i="2"/>
  <c r="P737" i="2"/>
  <c r="D739" i="2"/>
  <c r="E738" i="2"/>
  <c r="D740" i="2" l="1"/>
  <c r="E739" i="2"/>
  <c r="R737" i="2"/>
  <c r="N738" i="2"/>
  <c r="O738" i="2"/>
  <c r="L738" i="2"/>
  <c r="P738" i="2"/>
  <c r="M738" i="2"/>
  <c r="R738" i="2" l="1"/>
  <c r="O739" i="2"/>
  <c r="N739" i="2"/>
  <c r="L739" i="2"/>
  <c r="M739" i="2"/>
  <c r="P739" i="2"/>
  <c r="D741" i="2"/>
  <c r="E740" i="2"/>
  <c r="P740" i="2" l="1"/>
  <c r="O740" i="2"/>
  <c r="N740" i="2"/>
  <c r="L740" i="2"/>
  <c r="M740" i="2"/>
  <c r="D742" i="2"/>
  <c r="E741" i="2"/>
  <c r="R739" i="2"/>
  <c r="P741" i="2" l="1"/>
  <c r="M741" i="2"/>
  <c r="O741" i="2"/>
  <c r="N741" i="2"/>
  <c r="L741" i="2"/>
  <c r="D743" i="2"/>
  <c r="E742" i="2"/>
  <c r="R740" i="2"/>
  <c r="R741" i="2" l="1"/>
  <c r="D744" i="2"/>
  <c r="E743" i="2"/>
  <c r="P742" i="2"/>
  <c r="M742" i="2"/>
  <c r="N742" i="2"/>
  <c r="O742" i="2"/>
  <c r="L742" i="2"/>
  <c r="R742" i="2" l="1"/>
  <c r="P743" i="2"/>
  <c r="N743" i="2"/>
  <c r="O743" i="2"/>
  <c r="M743" i="2"/>
  <c r="L743" i="2"/>
  <c r="D745" i="2"/>
  <c r="E744" i="2"/>
  <c r="D746" i="2" l="1"/>
  <c r="E745" i="2"/>
  <c r="R743" i="2"/>
  <c r="P744" i="2"/>
  <c r="N744" i="2"/>
  <c r="O744" i="2"/>
  <c r="L744" i="2"/>
  <c r="M744" i="2"/>
  <c r="R744" i="2" l="1"/>
  <c r="P745" i="2"/>
  <c r="N745" i="2"/>
  <c r="O745" i="2"/>
  <c r="L745" i="2"/>
  <c r="M745" i="2"/>
  <c r="D747" i="2"/>
  <c r="E746" i="2"/>
  <c r="R745" i="2" l="1"/>
  <c r="D748" i="2"/>
  <c r="E747" i="2"/>
  <c r="M746" i="2"/>
  <c r="N746" i="2"/>
  <c r="P746" i="2"/>
  <c r="L746" i="2"/>
  <c r="O746" i="2"/>
  <c r="R746" i="2" l="1"/>
  <c r="O747" i="2"/>
  <c r="M747" i="2"/>
  <c r="N747" i="2"/>
  <c r="P747" i="2"/>
  <c r="L747" i="2"/>
  <c r="D749" i="2"/>
  <c r="E748" i="2"/>
  <c r="R747" i="2" l="1"/>
  <c r="N748" i="2"/>
  <c r="P748" i="2"/>
  <c r="L748" i="2"/>
  <c r="M748" i="2"/>
  <c r="O748" i="2"/>
  <c r="D750" i="2"/>
  <c r="E749" i="2"/>
  <c r="R748" i="2" l="1"/>
  <c r="N749" i="2"/>
  <c r="P749" i="2"/>
  <c r="L749" i="2"/>
  <c r="M749" i="2"/>
  <c r="O749" i="2"/>
  <c r="D751" i="2"/>
  <c r="E750" i="2"/>
  <c r="R749" i="2" l="1"/>
  <c r="M750" i="2"/>
  <c r="N750" i="2"/>
  <c r="P750" i="2"/>
  <c r="L750" i="2"/>
  <c r="O750" i="2"/>
  <c r="D752" i="2"/>
  <c r="E751" i="2"/>
  <c r="O751" i="2" l="1"/>
  <c r="N751" i="2"/>
  <c r="P751" i="2"/>
  <c r="L751" i="2"/>
  <c r="M751" i="2"/>
  <c r="R750" i="2"/>
  <c r="D753" i="2"/>
  <c r="E752" i="2"/>
  <c r="R751" i="2" l="1"/>
  <c r="O752" i="2"/>
  <c r="P752" i="2"/>
  <c r="L752" i="2"/>
  <c r="M752" i="2"/>
  <c r="N752" i="2"/>
  <c r="D754" i="2"/>
  <c r="E753" i="2"/>
  <c r="P753" i="2" l="1"/>
  <c r="O753" i="2"/>
  <c r="L753" i="2"/>
  <c r="M753" i="2"/>
  <c r="N753" i="2"/>
  <c r="R752" i="2"/>
  <c r="D755" i="2"/>
  <c r="E754" i="2"/>
  <c r="R753" i="2" l="1"/>
  <c r="D756" i="2"/>
  <c r="E755" i="2"/>
  <c r="P754" i="2"/>
  <c r="O754" i="2"/>
  <c r="M754" i="2"/>
  <c r="N754" i="2"/>
  <c r="L754" i="2"/>
  <c r="R754" i="2" l="1"/>
  <c r="P755" i="2"/>
  <c r="O755" i="2"/>
  <c r="M755" i="2"/>
  <c r="N755" i="2"/>
  <c r="L755" i="2"/>
  <c r="D757" i="2"/>
  <c r="E756" i="2"/>
  <c r="P756" i="2" l="1"/>
  <c r="O756" i="2"/>
  <c r="M756" i="2"/>
  <c r="N756" i="2"/>
  <c r="L756" i="2"/>
  <c r="R756" i="2" s="1"/>
  <c r="D758" i="2"/>
  <c r="E757" i="2"/>
  <c r="R755" i="2"/>
  <c r="P757" i="2" l="1"/>
  <c r="O757" i="2"/>
  <c r="M757" i="2"/>
  <c r="N757" i="2"/>
  <c r="L757" i="2"/>
  <c r="D759" i="2"/>
  <c r="E758" i="2"/>
  <c r="D760" i="2" l="1"/>
  <c r="E759" i="2"/>
  <c r="R757" i="2"/>
  <c r="P758" i="2"/>
  <c r="O758" i="2"/>
  <c r="N758" i="2"/>
  <c r="M758" i="2"/>
  <c r="L758" i="2"/>
  <c r="R758" i="2" l="1"/>
  <c r="P759" i="2"/>
  <c r="O759" i="2"/>
  <c r="M759" i="2"/>
  <c r="N759" i="2"/>
  <c r="L759" i="2"/>
  <c r="D761" i="2"/>
  <c r="E760" i="2"/>
  <c r="R759" i="2" l="1"/>
  <c r="P760" i="2"/>
  <c r="M760" i="2"/>
  <c r="L760" i="2"/>
  <c r="N760" i="2"/>
  <c r="O760" i="2"/>
  <c r="D762" i="2"/>
  <c r="E761" i="2"/>
  <c r="R760" i="2" l="1"/>
  <c r="D763" i="2"/>
  <c r="E762" i="2"/>
  <c r="P761" i="2"/>
  <c r="M761" i="2"/>
  <c r="L761" i="2"/>
  <c r="N761" i="2"/>
  <c r="O761" i="2"/>
  <c r="R761" i="2" l="1"/>
  <c r="P762" i="2"/>
  <c r="O762" i="2"/>
  <c r="M762" i="2"/>
  <c r="L762" i="2"/>
  <c r="N762" i="2"/>
  <c r="D764" i="2"/>
  <c r="E763" i="2"/>
  <c r="P763" i="2" l="1"/>
  <c r="N763" i="2"/>
  <c r="O763" i="2"/>
  <c r="M763" i="2"/>
  <c r="L763" i="2"/>
  <c r="R763" i="2" s="1"/>
  <c r="D765" i="2"/>
  <c r="E764" i="2"/>
  <c r="R762" i="2"/>
  <c r="D766" i="2" l="1"/>
  <c r="E765" i="2"/>
  <c r="P764" i="2"/>
  <c r="N764" i="2"/>
  <c r="O764" i="2"/>
  <c r="M764" i="2"/>
  <c r="L764" i="2"/>
  <c r="R764" i="2" l="1"/>
  <c r="P765" i="2"/>
  <c r="O765" i="2"/>
  <c r="M765" i="2"/>
  <c r="L765" i="2"/>
  <c r="N765" i="2"/>
  <c r="D767" i="2"/>
  <c r="E766" i="2"/>
  <c r="R765" i="2" l="1"/>
  <c r="P766" i="2"/>
  <c r="M766" i="2"/>
  <c r="O766" i="2"/>
  <c r="L766" i="2"/>
  <c r="N766" i="2"/>
  <c r="D768" i="2"/>
  <c r="E767" i="2"/>
  <c r="D769" i="2" l="1"/>
  <c r="E768" i="2"/>
  <c r="R766" i="2"/>
  <c r="P767" i="2"/>
  <c r="O767" i="2"/>
  <c r="M767" i="2"/>
  <c r="L767" i="2"/>
  <c r="N767" i="2"/>
  <c r="R767" i="2" l="1"/>
  <c r="P768" i="2"/>
  <c r="O768" i="2"/>
  <c r="N768" i="2"/>
  <c r="L768" i="2"/>
  <c r="M768" i="2"/>
  <c r="D770" i="2"/>
  <c r="E769" i="2"/>
  <c r="D771" i="2" l="1"/>
  <c r="E770" i="2"/>
  <c r="P769" i="2"/>
  <c r="O769" i="2"/>
  <c r="N769" i="2"/>
  <c r="L769" i="2"/>
  <c r="M769" i="2"/>
  <c r="R768" i="2"/>
  <c r="R769" i="2" l="1"/>
  <c r="P770" i="2"/>
  <c r="O770" i="2"/>
  <c r="N770" i="2"/>
  <c r="L770" i="2"/>
  <c r="M770" i="2"/>
  <c r="D772" i="2"/>
  <c r="E771" i="2"/>
  <c r="D773" i="2" l="1"/>
  <c r="E772" i="2"/>
  <c r="R770" i="2"/>
  <c r="P771" i="2"/>
  <c r="O771" i="2"/>
  <c r="N771" i="2"/>
  <c r="L771" i="2"/>
  <c r="M771" i="2"/>
  <c r="R771" i="2" l="1"/>
  <c r="O772" i="2"/>
  <c r="M772" i="2"/>
  <c r="N772" i="2"/>
  <c r="P772" i="2"/>
  <c r="L772" i="2"/>
  <c r="D774" i="2"/>
  <c r="E773" i="2"/>
  <c r="O773" i="2" l="1"/>
  <c r="M773" i="2"/>
  <c r="N773" i="2"/>
  <c r="P773" i="2"/>
  <c r="L773" i="2"/>
  <c r="D775" i="2"/>
  <c r="E774" i="2"/>
  <c r="R772" i="2"/>
  <c r="O774" i="2" l="1"/>
  <c r="N774" i="2"/>
  <c r="P774" i="2"/>
  <c r="L774" i="2"/>
  <c r="M774" i="2"/>
  <c r="R773" i="2"/>
  <c r="D776" i="2"/>
  <c r="E775" i="2"/>
  <c r="D777" i="2" l="1"/>
  <c r="E776" i="2"/>
  <c r="R774" i="2"/>
  <c r="P775" i="2"/>
  <c r="O775" i="2"/>
  <c r="N775" i="2"/>
  <c r="L775" i="2"/>
  <c r="M775" i="2"/>
  <c r="R775" i="2" l="1"/>
  <c r="P776" i="2"/>
  <c r="O776" i="2"/>
  <c r="N776" i="2"/>
  <c r="L776" i="2"/>
  <c r="M776" i="2"/>
  <c r="D778" i="2"/>
  <c r="E777" i="2"/>
  <c r="P777" i="2" l="1"/>
  <c r="O777" i="2"/>
  <c r="N777" i="2"/>
  <c r="L777" i="2"/>
  <c r="M777" i="2"/>
  <c r="R776" i="2"/>
  <c r="D779" i="2"/>
  <c r="E778" i="2"/>
  <c r="O778" i="2" l="1"/>
  <c r="P778" i="2"/>
  <c r="N778" i="2"/>
  <c r="M778" i="2"/>
  <c r="L778" i="2"/>
  <c r="R777" i="2"/>
  <c r="D780" i="2"/>
  <c r="E779" i="2"/>
  <c r="D781" i="2" l="1"/>
  <c r="E780" i="2"/>
  <c r="P779" i="2"/>
  <c r="O779" i="2"/>
  <c r="N779" i="2"/>
  <c r="M779" i="2"/>
  <c r="L779" i="2"/>
  <c r="R778" i="2"/>
  <c r="R779" i="2" l="1"/>
  <c r="P780" i="2"/>
  <c r="O780" i="2"/>
  <c r="N780" i="2"/>
  <c r="M780" i="2"/>
  <c r="L780" i="2"/>
  <c r="R780" i="2" s="1"/>
  <c r="D782" i="2"/>
  <c r="E781" i="2"/>
  <c r="D783" i="2" l="1"/>
  <c r="E782" i="2"/>
  <c r="P781" i="2"/>
  <c r="O781" i="2"/>
  <c r="M781" i="2"/>
  <c r="N781" i="2"/>
  <c r="L781" i="2"/>
  <c r="R781" i="2" l="1"/>
  <c r="P782" i="2"/>
  <c r="O782" i="2"/>
  <c r="N782" i="2"/>
  <c r="M782" i="2"/>
  <c r="L782" i="2"/>
  <c r="D784" i="2"/>
  <c r="E783" i="2"/>
  <c r="P783" i="2" l="1"/>
  <c r="O783" i="2"/>
  <c r="N783" i="2"/>
  <c r="M783" i="2"/>
  <c r="L783" i="2"/>
  <c r="R783" i="2" s="1"/>
  <c r="R782" i="2"/>
  <c r="D785" i="2"/>
  <c r="E784" i="2"/>
  <c r="D786" i="2" l="1"/>
  <c r="E785" i="2"/>
  <c r="P784" i="2"/>
  <c r="N784" i="2"/>
  <c r="O784" i="2"/>
  <c r="M784" i="2"/>
  <c r="L784" i="2"/>
  <c r="R784" i="2" l="1"/>
  <c r="P785" i="2"/>
  <c r="O785" i="2"/>
  <c r="M785" i="2"/>
  <c r="L785" i="2"/>
  <c r="N785" i="2"/>
  <c r="D787" i="2"/>
  <c r="E786" i="2"/>
  <c r="D788" i="2" l="1"/>
  <c r="E787" i="2"/>
  <c r="R785" i="2"/>
  <c r="P786" i="2"/>
  <c r="M786" i="2"/>
  <c r="O786" i="2"/>
  <c r="N786" i="2"/>
  <c r="L786" i="2"/>
  <c r="R786" i="2" l="1"/>
  <c r="P787" i="2"/>
  <c r="M787" i="2"/>
  <c r="L787" i="2"/>
  <c r="O787" i="2"/>
  <c r="N787" i="2"/>
  <c r="D789" i="2"/>
  <c r="E788" i="2"/>
  <c r="P788" i="2" l="1"/>
  <c r="O788" i="2"/>
  <c r="M788" i="2"/>
  <c r="L788" i="2"/>
  <c r="N788" i="2"/>
  <c r="D790" i="2"/>
  <c r="E789" i="2"/>
  <c r="R787" i="2"/>
  <c r="D791" i="2" l="1"/>
  <c r="E790" i="2"/>
  <c r="R788" i="2"/>
  <c r="P789" i="2"/>
  <c r="M789" i="2"/>
  <c r="L789" i="2"/>
  <c r="O789" i="2"/>
  <c r="N789" i="2"/>
  <c r="R789" i="2" l="1"/>
  <c r="P790" i="2"/>
  <c r="M790" i="2"/>
  <c r="L790" i="2"/>
  <c r="O790" i="2"/>
  <c r="N790" i="2"/>
  <c r="D792" i="2"/>
  <c r="E791" i="2"/>
  <c r="D793" i="2" l="1"/>
  <c r="E792" i="2"/>
  <c r="P791" i="2"/>
  <c r="N791" i="2"/>
  <c r="L791" i="2"/>
  <c r="M791" i="2"/>
  <c r="O791" i="2"/>
  <c r="R790" i="2"/>
  <c r="R791" i="2" l="1"/>
  <c r="P792" i="2"/>
  <c r="N792" i="2"/>
  <c r="L792" i="2"/>
  <c r="M792" i="2"/>
  <c r="O792" i="2"/>
  <c r="D794" i="2"/>
  <c r="E793" i="2"/>
  <c r="D795" i="2" l="1"/>
  <c r="E794" i="2"/>
  <c r="O793" i="2"/>
  <c r="P793" i="2"/>
  <c r="N793" i="2"/>
  <c r="L793" i="2"/>
  <c r="M793" i="2"/>
  <c r="R792" i="2"/>
  <c r="R793" i="2" l="1"/>
  <c r="O794" i="2"/>
  <c r="P794" i="2"/>
  <c r="N794" i="2"/>
  <c r="M794" i="2"/>
  <c r="L794" i="2"/>
  <c r="D796" i="2"/>
  <c r="E795" i="2"/>
  <c r="P795" i="2" l="1"/>
  <c r="M795" i="2"/>
  <c r="N795" i="2"/>
  <c r="O795" i="2"/>
  <c r="L795" i="2"/>
  <c r="D797" i="2"/>
  <c r="E796" i="2"/>
  <c r="R794" i="2"/>
  <c r="D798" i="2" l="1"/>
  <c r="E797" i="2"/>
  <c r="R795" i="2"/>
  <c r="P796" i="2"/>
  <c r="M796" i="2"/>
  <c r="N796" i="2"/>
  <c r="L796" i="2"/>
  <c r="O796" i="2"/>
  <c r="R796" i="2" l="1"/>
  <c r="O797" i="2"/>
  <c r="N797" i="2"/>
  <c r="P797" i="2"/>
  <c r="L797" i="2"/>
  <c r="M797" i="2"/>
  <c r="D799" i="2"/>
  <c r="E798" i="2"/>
  <c r="D800" i="2" l="1"/>
  <c r="E799" i="2"/>
  <c r="R797" i="2"/>
  <c r="O798" i="2"/>
  <c r="P798" i="2"/>
  <c r="N798" i="2"/>
  <c r="L798" i="2"/>
  <c r="M798" i="2"/>
  <c r="R798" i="2" l="1"/>
  <c r="P799" i="2"/>
  <c r="L799" i="2"/>
  <c r="M799" i="2"/>
  <c r="O799" i="2"/>
  <c r="N799" i="2"/>
  <c r="D801" i="2"/>
  <c r="E800" i="2"/>
  <c r="R799" i="2" l="1"/>
  <c r="P800" i="2"/>
  <c r="L800" i="2"/>
  <c r="M800" i="2"/>
  <c r="O800" i="2"/>
  <c r="N800" i="2"/>
  <c r="D802" i="2"/>
  <c r="E801" i="2"/>
  <c r="R800" i="2" l="1"/>
  <c r="P801" i="2"/>
  <c r="M801" i="2"/>
  <c r="O801" i="2"/>
  <c r="L801" i="2"/>
  <c r="N801" i="2"/>
  <c r="D803" i="2"/>
  <c r="E802" i="2"/>
  <c r="D804" i="2" l="1"/>
  <c r="E803" i="2"/>
  <c r="R801" i="2"/>
  <c r="P802" i="2"/>
  <c r="O802" i="2"/>
  <c r="L802" i="2"/>
  <c r="M802" i="2"/>
  <c r="N802" i="2"/>
  <c r="R802" i="2" l="1"/>
  <c r="P803" i="2"/>
  <c r="N803" i="2"/>
  <c r="O803" i="2"/>
  <c r="M803" i="2"/>
  <c r="L803" i="2"/>
  <c r="D805" i="2"/>
  <c r="E804" i="2"/>
  <c r="D806" i="2" l="1"/>
  <c r="E805" i="2"/>
  <c r="R803" i="2"/>
  <c r="P804" i="2"/>
  <c r="N804" i="2"/>
  <c r="O804" i="2"/>
  <c r="M804" i="2"/>
  <c r="L804" i="2"/>
  <c r="R804" i="2" l="1"/>
  <c r="P805" i="2"/>
  <c r="O805" i="2"/>
  <c r="N805" i="2"/>
  <c r="L805" i="2"/>
  <c r="M805" i="2"/>
  <c r="D807" i="2"/>
  <c r="E806" i="2"/>
  <c r="D808" i="2" l="1"/>
  <c r="E807" i="2"/>
  <c r="R805" i="2"/>
  <c r="P806" i="2"/>
  <c r="M806" i="2"/>
  <c r="O806" i="2"/>
  <c r="N806" i="2"/>
  <c r="L806" i="2"/>
  <c r="R806" i="2" l="1"/>
  <c r="P807" i="2"/>
  <c r="M807" i="2"/>
  <c r="O807" i="2"/>
  <c r="L807" i="2"/>
  <c r="N807" i="2"/>
  <c r="D809" i="2"/>
  <c r="E808" i="2"/>
  <c r="P808" i="2" l="1"/>
  <c r="O808" i="2"/>
  <c r="L808" i="2"/>
  <c r="N808" i="2"/>
  <c r="M808" i="2"/>
  <c r="R807" i="2"/>
  <c r="D810" i="2"/>
  <c r="E809" i="2"/>
  <c r="R808" i="2" l="1"/>
  <c r="P809" i="2"/>
  <c r="O809" i="2"/>
  <c r="L809" i="2"/>
  <c r="N809" i="2"/>
  <c r="M809" i="2"/>
  <c r="D811" i="2"/>
  <c r="E810" i="2"/>
  <c r="R809" i="2" l="1"/>
  <c r="D812" i="2"/>
  <c r="E811" i="2"/>
  <c r="P810" i="2"/>
  <c r="O810" i="2"/>
  <c r="L810" i="2"/>
  <c r="N810" i="2"/>
  <c r="M810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67" i="2"/>
  <c r="J966" i="2"/>
  <c r="J965" i="2"/>
  <c r="J964" i="2"/>
  <c r="J963" i="2"/>
  <c r="J962" i="2"/>
  <c r="J863" i="2"/>
  <c r="J774" i="2"/>
  <c r="J624" i="2"/>
  <c r="J573" i="2"/>
  <c r="J538" i="2"/>
  <c r="J534" i="2"/>
  <c r="G2" i="2"/>
  <c r="F3" i="2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33" i="2" s="1"/>
  <c r="B35" i="2" s="1"/>
  <c r="B37" i="2" s="1"/>
  <c r="B39" i="2" s="1"/>
  <c r="B41" i="2" s="1"/>
  <c r="B43" i="2" s="1"/>
  <c r="B45" i="2" s="1"/>
  <c r="B47" i="2" s="1"/>
  <c r="B49" i="2" s="1"/>
  <c r="B51" i="2" s="1"/>
  <c r="B53" i="2" s="1"/>
  <c r="B55" i="2" s="1"/>
  <c r="B57" i="2" s="1"/>
  <c r="B59" i="2" s="1"/>
  <c r="B61" i="2" s="1"/>
  <c r="B63" i="2" s="1"/>
  <c r="B65" i="2" s="1"/>
  <c r="B67" i="2" s="1"/>
  <c r="B69" i="2" s="1"/>
  <c r="B71" i="2" s="1"/>
  <c r="B73" i="2" s="1"/>
  <c r="B75" i="2" s="1"/>
  <c r="B77" i="2" s="1"/>
  <c r="B79" i="2" s="1"/>
  <c r="B81" i="2" s="1"/>
  <c r="B83" i="2" s="1"/>
  <c r="B85" i="2" s="1"/>
  <c r="B87" i="2" s="1"/>
  <c r="B89" i="2" s="1"/>
  <c r="B91" i="2" s="1"/>
  <c r="B93" i="2" s="1"/>
  <c r="B95" i="2" s="1"/>
  <c r="B97" i="2" s="1"/>
  <c r="B99" i="2" s="1"/>
  <c r="B101" i="2" s="1"/>
  <c r="B103" i="2" s="1"/>
  <c r="B105" i="2" s="1"/>
  <c r="B107" i="2" s="1"/>
  <c r="B109" i="2" s="1"/>
  <c r="B111" i="2" s="1"/>
  <c r="B113" i="2" s="1"/>
  <c r="B115" i="2" s="1"/>
  <c r="B117" i="2" s="1"/>
  <c r="B119" i="2" s="1"/>
  <c r="B121" i="2" s="1"/>
  <c r="B123" i="2" s="1"/>
  <c r="B125" i="2" s="1"/>
  <c r="B127" i="2" s="1"/>
  <c r="B129" i="2" s="1"/>
  <c r="B131" i="2" s="1"/>
  <c r="B133" i="2" s="1"/>
  <c r="B135" i="2" s="1"/>
  <c r="B137" i="2" s="1"/>
  <c r="B139" i="2" s="1"/>
  <c r="B141" i="2" s="1"/>
  <c r="B143" i="2" s="1"/>
  <c r="B145" i="2" s="1"/>
  <c r="B147" i="2" s="1"/>
  <c r="B149" i="2" s="1"/>
  <c r="B151" i="2" s="1"/>
  <c r="B153" i="2" s="1"/>
  <c r="B155" i="2" s="1"/>
  <c r="B157" i="2" s="1"/>
  <c r="B159" i="2" s="1"/>
  <c r="B161" i="2" s="1"/>
  <c r="B163" i="2" s="1"/>
  <c r="B165" i="2" s="1"/>
  <c r="B167" i="2" s="1"/>
  <c r="B169" i="2" s="1"/>
  <c r="B171" i="2" s="1"/>
  <c r="B173" i="2" s="1"/>
  <c r="B175" i="2" s="1"/>
  <c r="B177" i="2" s="1"/>
  <c r="B179" i="2" s="1"/>
  <c r="B181" i="2" s="1"/>
  <c r="B183" i="2" s="1"/>
  <c r="B185" i="2" s="1"/>
  <c r="B187" i="2" s="1"/>
  <c r="B189" i="2" s="1"/>
  <c r="B191" i="2" s="1"/>
  <c r="B193" i="2" s="1"/>
  <c r="B195" i="2" s="1"/>
  <c r="B197" i="2" s="1"/>
  <c r="B199" i="2" s="1"/>
  <c r="B201" i="2" s="1"/>
  <c r="B203" i="2" s="1"/>
  <c r="B205" i="2" s="1"/>
  <c r="B207" i="2" s="1"/>
  <c r="B209" i="2" s="1"/>
  <c r="B211" i="2" s="1"/>
  <c r="B213" i="2" s="1"/>
  <c r="B215" i="2" s="1"/>
  <c r="B217" i="2" s="1"/>
  <c r="B219" i="2" s="1"/>
  <c r="B221" i="2" s="1"/>
  <c r="B223" i="2" s="1"/>
  <c r="B225" i="2" s="1"/>
  <c r="B227" i="2" s="1"/>
  <c r="B229" i="2" s="1"/>
  <c r="B231" i="2" s="1"/>
  <c r="B233" i="2" s="1"/>
  <c r="B235" i="2" s="1"/>
  <c r="B237" i="2" s="1"/>
  <c r="B239" i="2" s="1"/>
  <c r="B241" i="2" s="1"/>
  <c r="B243" i="2" s="1"/>
  <c r="B245" i="2" s="1"/>
  <c r="B247" i="2" s="1"/>
  <c r="B249" i="2" s="1"/>
  <c r="B251" i="2" s="1"/>
  <c r="B253" i="2" s="1"/>
  <c r="B255" i="2" s="1"/>
  <c r="B257" i="2" s="1"/>
  <c r="B259" i="2" s="1"/>
  <c r="B261" i="2" s="1"/>
  <c r="B263" i="2" s="1"/>
  <c r="B265" i="2" s="1"/>
  <c r="B267" i="2" s="1"/>
  <c r="B269" i="2" s="1"/>
  <c r="B271" i="2" s="1"/>
  <c r="B273" i="2" s="1"/>
  <c r="B275" i="2" s="1"/>
  <c r="B277" i="2" s="1"/>
  <c r="B279" i="2" s="1"/>
  <c r="B281" i="2" s="1"/>
  <c r="B283" i="2" s="1"/>
  <c r="B285" i="2" s="1"/>
  <c r="B287" i="2" s="1"/>
  <c r="B289" i="2" s="1"/>
  <c r="B291" i="2" s="1"/>
  <c r="B293" i="2" s="1"/>
  <c r="B295" i="2" s="1"/>
  <c r="B297" i="2" s="1"/>
  <c r="B299" i="2" s="1"/>
  <c r="B301" i="2" s="1"/>
  <c r="B303" i="2" s="1"/>
  <c r="B305" i="2" s="1"/>
  <c r="B307" i="2" s="1"/>
  <c r="B309" i="2" s="1"/>
  <c r="B311" i="2" s="1"/>
  <c r="B313" i="2" s="1"/>
  <c r="B315" i="2" s="1"/>
  <c r="B317" i="2" s="1"/>
  <c r="B319" i="2" s="1"/>
  <c r="B321" i="2" s="1"/>
  <c r="B323" i="2" s="1"/>
  <c r="B325" i="2" s="1"/>
  <c r="B327" i="2" s="1"/>
  <c r="B329" i="2" s="1"/>
  <c r="B331" i="2" s="1"/>
  <c r="B333" i="2" s="1"/>
  <c r="B335" i="2" s="1"/>
  <c r="B337" i="2" s="1"/>
  <c r="B339" i="2" s="1"/>
  <c r="B341" i="2" s="1"/>
  <c r="B343" i="2" s="1"/>
  <c r="B345" i="2" s="1"/>
  <c r="B347" i="2" s="1"/>
  <c r="B349" i="2" s="1"/>
  <c r="B351" i="2" s="1"/>
  <c r="B353" i="2" s="1"/>
  <c r="B355" i="2" s="1"/>
  <c r="B357" i="2" s="1"/>
  <c r="B359" i="2" s="1"/>
  <c r="B361" i="2" s="1"/>
  <c r="B363" i="2" s="1"/>
  <c r="B365" i="2" s="1"/>
  <c r="B367" i="2" s="1"/>
  <c r="B369" i="2" s="1"/>
  <c r="B371" i="2" s="1"/>
  <c r="B373" i="2" s="1"/>
  <c r="B375" i="2" s="1"/>
  <c r="B377" i="2" s="1"/>
  <c r="B379" i="2" s="1"/>
  <c r="B381" i="2" s="1"/>
  <c r="B383" i="2" s="1"/>
  <c r="B385" i="2" s="1"/>
  <c r="B387" i="2" s="1"/>
  <c r="B389" i="2" s="1"/>
  <c r="B391" i="2" s="1"/>
  <c r="B393" i="2" s="1"/>
  <c r="B395" i="2" s="1"/>
  <c r="B397" i="2" s="1"/>
  <c r="B399" i="2" s="1"/>
  <c r="B401" i="2" s="1"/>
  <c r="B403" i="2" s="1"/>
  <c r="B405" i="2" s="1"/>
  <c r="B407" i="2" s="1"/>
  <c r="B409" i="2" s="1"/>
  <c r="B411" i="2" s="1"/>
  <c r="B413" i="2" s="1"/>
  <c r="B415" i="2" s="1"/>
  <c r="B417" i="2" s="1"/>
  <c r="B419" i="2" s="1"/>
  <c r="B421" i="2" s="1"/>
  <c r="B423" i="2" s="1"/>
  <c r="B425" i="2" s="1"/>
  <c r="B427" i="2" s="1"/>
  <c r="B429" i="2" s="1"/>
  <c r="B431" i="2" s="1"/>
  <c r="B433" i="2" s="1"/>
  <c r="B435" i="2" s="1"/>
  <c r="B437" i="2" s="1"/>
  <c r="B439" i="2" s="1"/>
  <c r="B441" i="2" s="1"/>
  <c r="B443" i="2" s="1"/>
  <c r="B445" i="2" s="1"/>
  <c r="B447" i="2" s="1"/>
  <c r="B449" i="2" s="1"/>
  <c r="B451" i="2" s="1"/>
  <c r="B453" i="2" s="1"/>
  <c r="B455" i="2" s="1"/>
  <c r="B457" i="2" s="1"/>
  <c r="B459" i="2" s="1"/>
  <c r="B461" i="2" s="1"/>
  <c r="B463" i="2" s="1"/>
  <c r="B465" i="2" s="1"/>
  <c r="B467" i="2" s="1"/>
  <c r="B469" i="2" s="1"/>
  <c r="B471" i="2" s="1"/>
  <c r="B473" i="2" s="1"/>
  <c r="B475" i="2" s="1"/>
  <c r="B477" i="2" s="1"/>
  <c r="B479" i="2" s="1"/>
  <c r="B481" i="2" s="1"/>
  <c r="B483" i="2" s="1"/>
  <c r="B485" i="2" s="1"/>
  <c r="B487" i="2" s="1"/>
  <c r="B489" i="2" s="1"/>
  <c r="B491" i="2" s="1"/>
  <c r="B493" i="2" s="1"/>
  <c r="B495" i="2" s="1"/>
  <c r="B497" i="2" s="1"/>
  <c r="B499" i="2" s="1"/>
  <c r="B501" i="2" s="1"/>
  <c r="B503" i="2" s="1"/>
  <c r="B505" i="2" s="1"/>
  <c r="B507" i="2" s="1"/>
  <c r="B509" i="2" s="1"/>
  <c r="B511" i="2" s="1"/>
  <c r="B513" i="2" s="1"/>
  <c r="B515" i="2" s="1"/>
  <c r="B517" i="2" s="1"/>
  <c r="B519" i="2" s="1"/>
  <c r="B521" i="2" s="1"/>
  <c r="B523" i="2" s="1"/>
  <c r="B525" i="2" s="1"/>
  <c r="B527" i="2" s="1"/>
  <c r="B529" i="2" s="1"/>
  <c r="B531" i="2" s="1"/>
  <c r="B533" i="2" s="1"/>
  <c r="B535" i="2" s="1"/>
  <c r="B537" i="2" s="1"/>
  <c r="B539" i="2" s="1"/>
  <c r="B541" i="2" s="1"/>
  <c r="B543" i="2" s="1"/>
  <c r="B545" i="2" s="1"/>
  <c r="B547" i="2" s="1"/>
  <c r="B549" i="2" s="1"/>
  <c r="B551" i="2" s="1"/>
  <c r="B553" i="2" s="1"/>
  <c r="B555" i="2" s="1"/>
  <c r="B557" i="2" s="1"/>
  <c r="B559" i="2" s="1"/>
  <c r="B561" i="2" s="1"/>
  <c r="B563" i="2" s="1"/>
  <c r="B565" i="2" s="1"/>
  <c r="B567" i="2" s="1"/>
  <c r="B569" i="2" s="1"/>
  <c r="B571" i="2" s="1"/>
  <c r="B573" i="2" s="1"/>
  <c r="B575" i="2" s="1"/>
  <c r="B577" i="2" s="1"/>
  <c r="B579" i="2" s="1"/>
  <c r="B581" i="2" s="1"/>
  <c r="B583" i="2" s="1"/>
  <c r="B585" i="2" s="1"/>
  <c r="B587" i="2" s="1"/>
  <c r="B589" i="2" s="1"/>
  <c r="B591" i="2" s="1"/>
  <c r="B593" i="2" s="1"/>
  <c r="B595" i="2" s="1"/>
  <c r="B597" i="2" s="1"/>
  <c r="B599" i="2" s="1"/>
  <c r="B601" i="2" s="1"/>
  <c r="B603" i="2" s="1"/>
  <c r="B605" i="2" s="1"/>
  <c r="B607" i="2" s="1"/>
  <c r="B609" i="2" s="1"/>
  <c r="B611" i="2" s="1"/>
  <c r="B613" i="2" s="1"/>
  <c r="B615" i="2" s="1"/>
  <c r="B617" i="2" s="1"/>
  <c r="B619" i="2" s="1"/>
  <c r="B621" i="2" s="1"/>
  <c r="B623" i="2" s="1"/>
  <c r="B625" i="2" s="1"/>
  <c r="B627" i="2" s="1"/>
  <c r="B629" i="2" s="1"/>
  <c r="B631" i="2" s="1"/>
  <c r="B633" i="2" s="1"/>
  <c r="B635" i="2" s="1"/>
  <c r="B637" i="2" s="1"/>
  <c r="B639" i="2" s="1"/>
  <c r="B641" i="2" s="1"/>
  <c r="B643" i="2" s="1"/>
  <c r="B645" i="2" s="1"/>
  <c r="B647" i="2" s="1"/>
  <c r="B649" i="2" s="1"/>
  <c r="B651" i="2" s="1"/>
  <c r="B653" i="2" s="1"/>
  <c r="B655" i="2" s="1"/>
  <c r="B657" i="2" s="1"/>
  <c r="B659" i="2" s="1"/>
  <c r="B661" i="2" s="1"/>
  <c r="B663" i="2" s="1"/>
  <c r="B665" i="2" s="1"/>
  <c r="B667" i="2" s="1"/>
  <c r="B669" i="2" s="1"/>
  <c r="B671" i="2" s="1"/>
  <c r="B673" i="2" s="1"/>
  <c r="B675" i="2" s="1"/>
  <c r="B677" i="2" s="1"/>
  <c r="B679" i="2" s="1"/>
  <c r="B681" i="2" s="1"/>
  <c r="B683" i="2" s="1"/>
  <c r="B685" i="2" s="1"/>
  <c r="B687" i="2" s="1"/>
  <c r="B689" i="2" s="1"/>
  <c r="B691" i="2" s="1"/>
  <c r="B693" i="2" s="1"/>
  <c r="B695" i="2" s="1"/>
  <c r="B697" i="2" s="1"/>
  <c r="B699" i="2" s="1"/>
  <c r="B701" i="2" s="1"/>
  <c r="B703" i="2" s="1"/>
  <c r="B705" i="2" s="1"/>
  <c r="B707" i="2" s="1"/>
  <c r="B709" i="2" s="1"/>
  <c r="B711" i="2" s="1"/>
  <c r="B713" i="2" s="1"/>
  <c r="B715" i="2" s="1"/>
  <c r="B717" i="2" s="1"/>
  <c r="B719" i="2" s="1"/>
  <c r="B721" i="2" s="1"/>
  <c r="B723" i="2" s="1"/>
  <c r="B725" i="2" s="1"/>
  <c r="B727" i="2" s="1"/>
  <c r="B729" i="2" s="1"/>
  <c r="B731" i="2" s="1"/>
  <c r="B733" i="2" s="1"/>
  <c r="B735" i="2" s="1"/>
  <c r="B737" i="2" s="1"/>
  <c r="B739" i="2" s="1"/>
  <c r="B741" i="2" s="1"/>
  <c r="B743" i="2" s="1"/>
  <c r="B745" i="2" s="1"/>
  <c r="B747" i="2" s="1"/>
  <c r="B749" i="2" s="1"/>
  <c r="B751" i="2" s="1"/>
  <c r="B753" i="2" s="1"/>
  <c r="B755" i="2" s="1"/>
  <c r="B757" i="2" s="1"/>
  <c r="B759" i="2" s="1"/>
  <c r="B761" i="2" s="1"/>
  <c r="B763" i="2" s="1"/>
  <c r="B765" i="2" s="1"/>
  <c r="B767" i="2" s="1"/>
  <c r="B769" i="2" s="1"/>
  <c r="B771" i="2" s="1"/>
  <c r="B773" i="2" s="1"/>
  <c r="B775" i="2" s="1"/>
  <c r="B777" i="2" s="1"/>
  <c r="B779" i="2" s="1"/>
  <c r="B781" i="2" s="1"/>
  <c r="B783" i="2" s="1"/>
  <c r="B785" i="2" s="1"/>
  <c r="B787" i="2" s="1"/>
  <c r="B789" i="2" s="1"/>
  <c r="B791" i="2" s="1"/>
  <c r="B793" i="2" s="1"/>
  <c r="B795" i="2" s="1"/>
  <c r="B797" i="2" s="1"/>
  <c r="B799" i="2" s="1"/>
  <c r="B801" i="2" s="1"/>
  <c r="B803" i="2" s="1"/>
  <c r="B805" i="2" s="1"/>
  <c r="B807" i="2" s="1"/>
  <c r="B809" i="2" s="1"/>
  <c r="B811" i="2" s="1"/>
  <c r="B813" i="2" s="1"/>
  <c r="B815" i="2" s="1"/>
  <c r="B817" i="2" s="1"/>
  <c r="B819" i="2" s="1"/>
  <c r="B821" i="2" s="1"/>
  <c r="B823" i="2" s="1"/>
  <c r="B825" i="2" s="1"/>
  <c r="B827" i="2" s="1"/>
  <c r="B829" i="2" s="1"/>
  <c r="B831" i="2" s="1"/>
  <c r="B833" i="2" s="1"/>
  <c r="B835" i="2" s="1"/>
  <c r="B837" i="2" s="1"/>
  <c r="B839" i="2" s="1"/>
  <c r="B841" i="2" s="1"/>
  <c r="B843" i="2" s="1"/>
  <c r="B845" i="2" s="1"/>
  <c r="B847" i="2" s="1"/>
  <c r="B849" i="2" s="1"/>
  <c r="B851" i="2" s="1"/>
  <c r="B853" i="2" s="1"/>
  <c r="B855" i="2" s="1"/>
  <c r="B857" i="2" s="1"/>
  <c r="B859" i="2" s="1"/>
  <c r="B861" i="2" s="1"/>
  <c r="B863" i="2" s="1"/>
  <c r="B865" i="2" s="1"/>
  <c r="B867" i="2" s="1"/>
  <c r="B869" i="2" s="1"/>
  <c r="B871" i="2" s="1"/>
  <c r="B873" i="2" s="1"/>
  <c r="B875" i="2" s="1"/>
  <c r="B877" i="2" s="1"/>
  <c r="B879" i="2" s="1"/>
  <c r="B881" i="2" s="1"/>
  <c r="B883" i="2" s="1"/>
  <c r="B885" i="2" s="1"/>
  <c r="B887" i="2" s="1"/>
  <c r="B889" i="2" s="1"/>
  <c r="B891" i="2" s="1"/>
  <c r="B893" i="2" s="1"/>
  <c r="B895" i="2" s="1"/>
  <c r="B897" i="2" s="1"/>
  <c r="B899" i="2" s="1"/>
  <c r="B901" i="2" s="1"/>
  <c r="B903" i="2" s="1"/>
  <c r="B905" i="2" s="1"/>
  <c r="B907" i="2" s="1"/>
  <c r="B909" i="2" s="1"/>
  <c r="B911" i="2" s="1"/>
  <c r="B913" i="2" s="1"/>
  <c r="B915" i="2" s="1"/>
  <c r="B917" i="2" s="1"/>
  <c r="B919" i="2" s="1"/>
  <c r="B921" i="2" s="1"/>
  <c r="B923" i="2" s="1"/>
  <c r="B925" i="2" s="1"/>
  <c r="B927" i="2" s="1"/>
  <c r="B929" i="2" s="1"/>
  <c r="B931" i="2" s="1"/>
  <c r="B933" i="2" s="1"/>
  <c r="B935" i="2" s="1"/>
  <c r="B937" i="2" s="1"/>
  <c r="B939" i="2" s="1"/>
  <c r="B941" i="2" s="1"/>
  <c r="B943" i="2" s="1"/>
  <c r="B945" i="2" s="1"/>
  <c r="B947" i="2" s="1"/>
  <c r="B949" i="2" s="1"/>
  <c r="B951" i="2" s="1"/>
  <c r="B953" i="2" s="1"/>
  <c r="B955" i="2" s="1"/>
  <c r="B957" i="2" s="1"/>
  <c r="B959" i="2" s="1"/>
  <c r="B961" i="2" s="1"/>
  <c r="B963" i="2" s="1"/>
  <c r="B965" i="2" s="1"/>
  <c r="B967" i="2" s="1"/>
  <c r="B969" i="2" s="1"/>
  <c r="B971" i="2" s="1"/>
  <c r="B4" i="2"/>
  <c r="B6" i="2" s="1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B40" i="2" s="1"/>
  <c r="B42" i="2" s="1"/>
  <c r="B44" i="2" s="1"/>
  <c r="B46" i="2" s="1"/>
  <c r="B48" i="2" s="1"/>
  <c r="B50" i="2" s="1"/>
  <c r="B52" i="2" s="1"/>
  <c r="B54" i="2" s="1"/>
  <c r="B56" i="2" s="1"/>
  <c r="B58" i="2" s="1"/>
  <c r="B60" i="2" s="1"/>
  <c r="B62" i="2" s="1"/>
  <c r="B64" i="2" s="1"/>
  <c r="B66" i="2" s="1"/>
  <c r="B68" i="2" s="1"/>
  <c r="B70" i="2" s="1"/>
  <c r="B72" i="2" s="1"/>
  <c r="B74" i="2" s="1"/>
  <c r="B76" i="2" s="1"/>
  <c r="B78" i="2" s="1"/>
  <c r="B80" i="2" s="1"/>
  <c r="B82" i="2" s="1"/>
  <c r="B84" i="2" s="1"/>
  <c r="B86" i="2" s="1"/>
  <c r="B88" i="2" s="1"/>
  <c r="B90" i="2" s="1"/>
  <c r="B92" i="2" s="1"/>
  <c r="B94" i="2" s="1"/>
  <c r="B96" i="2" s="1"/>
  <c r="B98" i="2" s="1"/>
  <c r="B100" i="2" s="1"/>
  <c r="B102" i="2" s="1"/>
  <c r="B104" i="2" s="1"/>
  <c r="B106" i="2" s="1"/>
  <c r="B108" i="2" s="1"/>
  <c r="B110" i="2" s="1"/>
  <c r="B112" i="2" s="1"/>
  <c r="B114" i="2" s="1"/>
  <c r="B116" i="2" s="1"/>
  <c r="B118" i="2" s="1"/>
  <c r="B120" i="2" s="1"/>
  <c r="B122" i="2" s="1"/>
  <c r="B124" i="2" s="1"/>
  <c r="B126" i="2" s="1"/>
  <c r="B128" i="2" s="1"/>
  <c r="B130" i="2" s="1"/>
  <c r="B132" i="2" s="1"/>
  <c r="B134" i="2" s="1"/>
  <c r="B136" i="2" s="1"/>
  <c r="B138" i="2" s="1"/>
  <c r="B140" i="2" s="1"/>
  <c r="B142" i="2" s="1"/>
  <c r="B144" i="2" s="1"/>
  <c r="B146" i="2" s="1"/>
  <c r="B148" i="2" s="1"/>
  <c r="B150" i="2" s="1"/>
  <c r="B152" i="2" s="1"/>
  <c r="B154" i="2" s="1"/>
  <c r="B156" i="2" s="1"/>
  <c r="B158" i="2" s="1"/>
  <c r="B160" i="2" s="1"/>
  <c r="B162" i="2" s="1"/>
  <c r="B164" i="2" s="1"/>
  <c r="B166" i="2" s="1"/>
  <c r="B168" i="2" s="1"/>
  <c r="B170" i="2" s="1"/>
  <c r="B172" i="2" s="1"/>
  <c r="B174" i="2" s="1"/>
  <c r="B176" i="2" s="1"/>
  <c r="B178" i="2" s="1"/>
  <c r="B180" i="2" s="1"/>
  <c r="B182" i="2" s="1"/>
  <c r="B184" i="2" s="1"/>
  <c r="B186" i="2" s="1"/>
  <c r="B188" i="2" s="1"/>
  <c r="B190" i="2" s="1"/>
  <c r="B192" i="2" s="1"/>
  <c r="B194" i="2" s="1"/>
  <c r="B196" i="2" s="1"/>
  <c r="B198" i="2" s="1"/>
  <c r="B200" i="2" s="1"/>
  <c r="B202" i="2" s="1"/>
  <c r="B204" i="2" s="1"/>
  <c r="B206" i="2" s="1"/>
  <c r="B208" i="2" s="1"/>
  <c r="B210" i="2" s="1"/>
  <c r="B212" i="2" s="1"/>
  <c r="B214" i="2" s="1"/>
  <c r="B216" i="2" s="1"/>
  <c r="B218" i="2" s="1"/>
  <c r="B220" i="2" s="1"/>
  <c r="B222" i="2" s="1"/>
  <c r="B224" i="2" s="1"/>
  <c r="B226" i="2" s="1"/>
  <c r="B228" i="2" s="1"/>
  <c r="B230" i="2" s="1"/>
  <c r="B232" i="2" s="1"/>
  <c r="B234" i="2" s="1"/>
  <c r="B236" i="2" s="1"/>
  <c r="B238" i="2" s="1"/>
  <c r="B240" i="2" s="1"/>
  <c r="B242" i="2" s="1"/>
  <c r="B244" i="2" s="1"/>
  <c r="B246" i="2" s="1"/>
  <c r="B248" i="2" s="1"/>
  <c r="B250" i="2" s="1"/>
  <c r="B252" i="2" s="1"/>
  <c r="B254" i="2" s="1"/>
  <c r="B256" i="2" s="1"/>
  <c r="B258" i="2" s="1"/>
  <c r="B260" i="2" s="1"/>
  <c r="B262" i="2" s="1"/>
  <c r="B264" i="2" s="1"/>
  <c r="B266" i="2" s="1"/>
  <c r="B268" i="2" s="1"/>
  <c r="B270" i="2" s="1"/>
  <c r="B272" i="2" s="1"/>
  <c r="B274" i="2" s="1"/>
  <c r="B276" i="2" s="1"/>
  <c r="B278" i="2" s="1"/>
  <c r="B280" i="2" s="1"/>
  <c r="B282" i="2" s="1"/>
  <c r="B284" i="2" s="1"/>
  <c r="B286" i="2" s="1"/>
  <c r="B288" i="2" s="1"/>
  <c r="B290" i="2" s="1"/>
  <c r="B292" i="2" s="1"/>
  <c r="B294" i="2" s="1"/>
  <c r="B296" i="2" s="1"/>
  <c r="B298" i="2" s="1"/>
  <c r="B300" i="2" s="1"/>
  <c r="B302" i="2" s="1"/>
  <c r="B304" i="2" s="1"/>
  <c r="B306" i="2" s="1"/>
  <c r="B308" i="2" s="1"/>
  <c r="B310" i="2" s="1"/>
  <c r="B312" i="2" s="1"/>
  <c r="B314" i="2" s="1"/>
  <c r="B316" i="2" s="1"/>
  <c r="B318" i="2" s="1"/>
  <c r="B320" i="2" s="1"/>
  <c r="B322" i="2" s="1"/>
  <c r="B324" i="2" s="1"/>
  <c r="B326" i="2" s="1"/>
  <c r="B328" i="2" s="1"/>
  <c r="B330" i="2" s="1"/>
  <c r="B332" i="2" s="1"/>
  <c r="B334" i="2" s="1"/>
  <c r="B336" i="2" s="1"/>
  <c r="B338" i="2" s="1"/>
  <c r="B340" i="2" s="1"/>
  <c r="B342" i="2" s="1"/>
  <c r="B344" i="2" s="1"/>
  <c r="B346" i="2" s="1"/>
  <c r="B348" i="2" s="1"/>
  <c r="B350" i="2" s="1"/>
  <c r="B352" i="2" s="1"/>
  <c r="B354" i="2" s="1"/>
  <c r="B356" i="2" s="1"/>
  <c r="B358" i="2" s="1"/>
  <c r="B360" i="2" s="1"/>
  <c r="B362" i="2" s="1"/>
  <c r="B364" i="2" s="1"/>
  <c r="B366" i="2" s="1"/>
  <c r="B368" i="2" s="1"/>
  <c r="B370" i="2" s="1"/>
  <c r="B372" i="2" s="1"/>
  <c r="B374" i="2" s="1"/>
  <c r="B376" i="2" s="1"/>
  <c r="B378" i="2" s="1"/>
  <c r="B380" i="2" s="1"/>
  <c r="B382" i="2" s="1"/>
  <c r="B384" i="2" s="1"/>
  <c r="B386" i="2" s="1"/>
  <c r="B388" i="2" s="1"/>
  <c r="B390" i="2" s="1"/>
  <c r="B392" i="2" s="1"/>
  <c r="B394" i="2" s="1"/>
  <c r="B396" i="2" s="1"/>
  <c r="B398" i="2" s="1"/>
  <c r="B400" i="2" s="1"/>
  <c r="B402" i="2" s="1"/>
  <c r="B404" i="2" s="1"/>
  <c r="B406" i="2" s="1"/>
  <c r="B408" i="2" s="1"/>
  <c r="B410" i="2" s="1"/>
  <c r="B412" i="2" s="1"/>
  <c r="B414" i="2" s="1"/>
  <c r="B416" i="2" s="1"/>
  <c r="B418" i="2" s="1"/>
  <c r="B420" i="2" s="1"/>
  <c r="B422" i="2" s="1"/>
  <c r="B424" i="2" s="1"/>
  <c r="B426" i="2" s="1"/>
  <c r="B428" i="2" s="1"/>
  <c r="B430" i="2" s="1"/>
  <c r="B432" i="2" s="1"/>
  <c r="B434" i="2" s="1"/>
  <c r="B436" i="2" s="1"/>
  <c r="B438" i="2" s="1"/>
  <c r="B440" i="2" s="1"/>
  <c r="B442" i="2" s="1"/>
  <c r="B444" i="2" s="1"/>
  <c r="B446" i="2" s="1"/>
  <c r="B448" i="2" s="1"/>
  <c r="B450" i="2" s="1"/>
  <c r="B452" i="2" s="1"/>
  <c r="B454" i="2" s="1"/>
  <c r="B456" i="2" s="1"/>
  <c r="B458" i="2" s="1"/>
  <c r="B460" i="2" s="1"/>
  <c r="B462" i="2" s="1"/>
  <c r="B464" i="2" s="1"/>
  <c r="B466" i="2" s="1"/>
  <c r="B468" i="2" s="1"/>
  <c r="B470" i="2" s="1"/>
  <c r="B472" i="2" s="1"/>
  <c r="B474" i="2" s="1"/>
  <c r="B476" i="2" s="1"/>
  <c r="B478" i="2" s="1"/>
  <c r="B480" i="2" s="1"/>
  <c r="B482" i="2" s="1"/>
  <c r="B484" i="2" s="1"/>
  <c r="B486" i="2" s="1"/>
  <c r="B488" i="2" s="1"/>
  <c r="B490" i="2" s="1"/>
  <c r="B492" i="2" s="1"/>
  <c r="B494" i="2" s="1"/>
  <c r="B496" i="2" s="1"/>
  <c r="B498" i="2" s="1"/>
  <c r="B500" i="2" s="1"/>
  <c r="B502" i="2" s="1"/>
  <c r="B504" i="2" s="1"/>
  <c r="B506" i="2" s="1"/>
  <c r="B508" i="2" s="1"/>
  <c r="B510" i="2" s="1"/>
  <c r="B512" i="2" s="1"/>
  <c r="B514" i="2" s="1"/>
  <c r="B516" i="2" s="1"/>
  <c r="B518" i="2" s="1"/>
  <c r="B520" i="2" s="1"/>
  <c r="B522" i="2" s="1"/>
  <c r="B524" i="2" s="1"/>
  <c r="B526" i="2" s="1"/>
  <c r="B528" i="2" s="1"/>
  <c r="B530" i="2" s="1"/>
  <c r="B532" i="2" s="1"/>
  <c r="B534" i="2" s="1"/>
  <c r="B536" i="2" s="1"/>
  <c r="B538" i="2" s="1"/>
  <c r="B540" i="2" s="1"/>
  <c r="B542" i="2" s="1"/>
  <c r="B544" i="2" s="1"/>
  <c r="B546" i="2" s="1"/>
  <c r="B548" i="2" s="1"/>
  <c r="B550" i="2" s="1"/>
  <c r="B552" i="2" s="1"/>
  <c r="B554" i="2" s="1"/>
  <c r="B556" i="2" s="1"/>
  <c r="B558" i="2" s="1"/>
  <c r="B560" i="2" s="1"/>
  <c r="B562" i="2" s="1"/>
  <c r="B564" i="2" s="1"/>
  <c r="B566" i="2" s="1"/>
  <c r="B568" i="2" s="1"/>
  <c r="B570" i="2" s="1"/>
  <c r="B572" i="2" s="1"/>
  <c r="B574" i="2" s="1"/>
  <c r="B576" i="2" s="1"/>
  <c r="B578" i="2" s="1"/>
  <c r="B580" i="2" s="1"/>
  <c r="B582" i="2" s="1"/>
  <c r="B584" i="2" s="1"/>
  <c r="B586" i="2" s="1"/>
  <c r="B588" i="2" s="1"/>
  <c r="B590" i="2" s="1"/>
  <c r="B592" i="2" s="1"/>
  <c r="B594" i="2" s="1"/>
  <c r="B596" i="2" s="1"/>
  <c r="B598" i="2" s="1"/>
  <c r="B600" i="2" s="1"/>
  <c r="B602" i="2" s="1"/>
  <c r="B604" i="2" s="1"/>
  <c r="B606" i="2" s="1"/>
  <c r="B608" i="2" s="1"/>
  <c r="B610" i="2" s="1"/>
  <c r="B612" i="2" s="1"/>
  <c r="B614" i="2" s="1"/>
  <c r="B616" i="2" s="1"/>
  <c r="B618" i="2" s="1"/>
  <c r="B620" i="2" s="1"/>
  <c r="B622" i="2" s="1"/>
  <c r="B624" i="2" s="1"/>
  <c r="B626" i="2" s="1"/>
  <c r="B628" i="2" s="1"/>
  <c r="B630" i="2" s="1"/>
  <c r="B632" i="2" s="1"/>
  <c r="B634" i="2" s="1"/>
  <c r="B636" i="2" s="1"/>
  <c r="B638" i="2" s="1"/>
  <c r="B640" i="2" s="1"/>
  <c r="B642" i="2" s="1"/>
  <c r="B644" i="2" s="1"/>
  <c r="B646" i="2" s="1"/>
  <c r="B648" i="2" s="1"/>
  <c r="B650" i="2" s="1"/>
  <c r="B652" i="2" s="1"/>
  <c r="B654" i="2" s="1"/>
  <c r="B656" i="2" s="1"/>
  <c r="B658" i="2" s="1"/>
  <c r="B660" i="2" s="1"/>
  <c r="B662" i="2" s="1"/>
  <c r="B664" i="2" s="1"/>
  <c r="B666" i="2" s="1"/>
  <c r="B668" i="2" s="1"/>
  <c r="B670" i="2" s="1"/>
  <c r="B672" i="2" s="1"/>
  <c r="B674" i="2" s="1"/>
  <c r="B676" i="2" s="1"/>
  <c r="B678" i="2" s="1"/>
  <c r="B680" i="2" s="1"/>
  <c r="B682" i="2" s="1"/>
  <c r="B684" i="2" s="1"/>
  <c r="B686" i="2" s="1"/>
  <c r="B688" i="2" s="1"/>
  <c r="B690" i="2" s="1"/>
  <c r="B692" i="2" s="1"/>
  <c r="B694" i="2" s="1"/>
  <c r="B696" i="2" s="1"/>
  <c r="B698" i="2" s="1"/>
  <c r="B700" i="2" s="1"/>
  <c r="B702" i="2" s="1"/>
  <c r="B704" i="2" s="1"/>
  <c r="B706" i="2" s="1"/>
  <c r="B708" i="2" s="1"/>
  <c r="B710" i="2" s="1"/>
  <c r="B712" i="2" s="1"/>
  <c r="B714" i="2" s="1"/>
  <c r="B716" i="2" s="1"/>
  <c r="B718" i="2" s="1"/>
  <c r="B720" i="2" s="1"/>
  <c r="B722" i="2" s="1"/>
  <c r="B724" i="2" s="1"/>
  <c r="B726" i="2" s="1"/>
  <c r="B728" i="2" s="1"/>
  <c r="B730" i="2" s="1"/>
  <c r="B732" i="2" s="1"/>
  <c r="B734" i="2" s="1"/>
  <c r="B736" i="2" s="1"/>
  <c r="B738" i="2" s="1"/>
  <c r="B740" i="2" s="1"/>
  <c r="B742" i="2" s="1"/>
  <c r="B744" i="2" s="1"/>
  <c r="B746" i="2" s="1"/>
  <c r="B748" i="2" s="1"/>
  <c r="B750" i="2" s="1"/>
  <c r="B752" i="2" s="1"/>
  <c r="B754" i="2" s="1"/>
  <c r="B756" i="2" s="1"/>
  <c r="B758" i="2" s="1"/>
  <c r="B760" i="2" s="1"/>
  <c r="B762" i="2" s="1"/>
  <c r="B764" i="2" s="1"/>
  <c r="B766" i="2" s="1"/>
  <c r="B768" i="2" s="1"/>
  <c r="B770" i="2" s="1"/>
  <c r="B772" i="2" s="1"/>
  <c r="B774" i="2" s="1"/>
  <c r="B776" i="2" s="1"/>
  <c r="B778" i="2" s="1"/>
  <c r="B780" i="2" s="1"/>
  <c r="B782" i="2" s="1"/>
  <c r="B784" i="2" s="1"/>
  <c r="B786" i="2" s="1"/>
  <c r="B788" i="2" s="1"/>
  <c r="B790" i="2" s="1"/>
  <c r="B792" i="2" s="1"/>
  <c r="B794" i="2" s="1"/>
  <c r="B796" i="2" s="1"/>
  <c r="B798" i="2" s="1"/>
  <c r="B800" i="2" s="1"/>
  <c r="B802" i="2" s="1"/>
  <c r="B804" i="2" s="1"/>
  <c r="B806" i="2" s="1"/>
  <c r="B808" i="2" s="1"/>
  <c r="B810" i="2" s="1"/>
  <c r="B812" i="2" s="1"/>
  <c r="B814" i="2" s="1"/>
  <c r="B816" i="2" s="1"/>
  <c r="B818" i="2" s="1"/>
  <c r="B820" i="2" s="1"/>
  <c r="B822" i="2" s="1"/>
  <c r="B824" i="2" s="1"/>
  <c r="B826" i="2" s="1"/>
  <c r="B828" i="2" s="1"/>
  <c r="B830" i="2" s="1"/>
  <c r="B832" i="2" s="1"/>
  <c r="B834" i="2" s="1"/>
  <c r="B836" i="2" s="1"/>
  <c r="B838" i="2" s="1"/>
  <c r="B840" i="2" s="1"/>
  <c r="B842" i="2" s="1"/>
  <c r="B844" i="2" s="1"/>
  <c r="B846" i="2" s="1"/>
  <c r="B848" i="2" s="1"/>
  <c r="B850" i="2" s="1"/>
  <c r="B852" i="2" s="1"/>
  <c r="B854" i="2" s="1"/>
  <c r="B856" i="2" s="1"/>
  <c r="B858" i="2" s="1"/>
  <c r="B860" i="2" s="1"/>
  <c r="B862" i="2" s="1"/>
  <c r="B864" i="2" s="1"/>
  <c r="B866" i="2" s="1"/>
  <c r="B868" i="2" s="1"/>
  <c r="B870" i="2" s="1"/>
  <c r="B872" i="2" s="1"/>
  <c r="B874" i="2" s="1"/>
  <c r="B876" i="2" s="1"/>
  <c r="B878" i="2" s="1"/>
  <c r="B880" i="2" s="1"/>
  <c r="B882" i="2" s="1"/>
  <c r="B884" i="2" s="1"/>
  <c r="B886" i="2" s="1"/>
  <c r="B888" i="2" s="1"/>
  <c r="B890" i="2" s="1"/>
  <c r="B892" i="2" s="1"/>
  <c r="B894" i="2" s="1"/>
  <c r="B896" i="2" s="1"/>
  <c r="B898" i="2" s="1"/>
  <c r="B900" i="2" s="1"/>
  <c r="B902" i="2" s="1"/>
  <c r="B904" i="2" s="1"/>
  <c r="B906" i="2" s="1"/>
  <c r="B908" i="2" s="1"/>
  <c r="B910" i="2" s="1"/>
  <c r="B912" i="2" s="1"/>
  <c r="B914" i="2" s="1"/>
  <c r="B916" i="2" s="1"/>
  <c r="B918" i="2" s="1"/>
  <c r="B920" i="2" s="1"/>
  <c r="B922" i="2" s="1"/>
  <c r="B924" i="2" s="1"/>
  <c r="B926" i="2" s="1"/>
  <c r="B928" i="2" s="1"/>
  <c r="B930" i="2" s="1"/>
  <c r="B932" i="2" s="1"/>
  <c r="B934" i="2" s="1"/>
  <c r="B936" i="2" s="1"/>
  <c r="B938" i="2" s="1"/>
  <c r="B940" i="2" s="1"/>
  <c r="B942" i="2" s="1"/>
  <c r="B944" i="2" s="1"/>
  <c r="B946" i="2" s="1"/>
  <c r="B948" i="2" s="1"/>
  <c r="B950" i="2" s="1"/>
  <c r="B952" i="2" s="1"/>
  <c r="B954" i="2" s="1"/>
  <c r="B956" i="2" s="1"/>
  <c r="B958" i="2" s="1"/>
  <c r="B960" i="2" s="1"/>
  <c r="B962" i="2" s="1"/>
  <c r="B964" i="2" s="1"/>
  <c r="B966" i="2" s="1"/>
  <c r="B968" i="2" s="1"/>
  <c r="B970" i="2" s="1"/>
  <c r="B972" i="2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351" i="2" s="1"/>
  <c r="A353" i="2" s="1"/>
  <c r="A355" i="2" s="1"/>
  <c r="A357" i="2" s="1"/>
  <c r="A359" i="2" s="1"/>
  <c r="A361" i="2" s="1"/>
  <c r="A363" i="2" s="1"/>
  <c r="A365" i="2" s="1"/>
  <c r="A367" i="2" s="1"/>
  <c r="A369" i="2" s="1"/>
  <c r="A371" i="2" s="1"/>
  <c r="A373" i="2" s="1"/>
  <c r="A375" i="2" s="1"/>
  <c r="A377" i="2" s="1"/>
  <c r="A379" i="2" s="1"/>
  <c r="A381" i="2" s="1"/>
  <c r="A383" i="2" s="1"/>
  <c r="A385" i="2" s="1"/>
  <c r="A387" i="2" s="1"/>
  <c r="A389" i="2" s="1"/>
  <c r="A391" i="2" s="1"/>
  <c r="A393" i="2" s="1"/>
  <c r="A395" i="2" s="1"/>
  <c r="A397" i="2" s="1"/>
  <c r="A399" i="2" s="1"/>
  <c r="A401" i="2" s="1"/>
  <c r="A403" i="2" s="1"/>
  <c r="A405" i="2" s="1"/>
  <c r="A407" i="2" s="1"/>
  <c r="A409" i="2" s="1"/>
  <c r="A411" i="2" s="1"/>
  <c r="A413" i="2" s="1"/>
  <c r="A415" i="2" s="1"/>
  <c r="A417" i="2" s="1"/>
  <c r="A419" i="2" s="1"/>
  <c r="A421" i="2" s="1"/>
  <c r="A423" i="2" s="1"/>
  <c r="A425" i="2" s="1"/>
  <c r="A427" i="2" s="1"/>
  <c r="A429" i="2" s="1"/>
  <c r="A431" i="2" s="1"/>
  <c r="A433" i="2" s="1"/>
  <c r="A435" i="2" s="1"/>
  <c r="A437" i="2" s="1"/>
  <c r="A439" i="2" s="1"/>
  <c r="A441" i="2" s="1"/>
  <c r="A443" i="2" s="1"/>
  <c r="A445" i="2" s="1"/>
  <c r="A447" i="2" s="1"/>
  <c r="A449" i="2" s="1"/>
  <c r="A451" i="2" s="1"/>
  <c r="A453" i="2" s="1"/>
  <c r="A455" i="2" s="1"/>
  <c r="A457" i="2" s="1"/>
  <c r="A459" i="2" s="1"/>
  <c r="A461" i="2" s="1"/>
  <c r="A463" i="2" s="1"/>
  <c r="A465" i="2" s="1"/>
  <c r="A467" i="2" s="1"/>
  <c r="A469" i="2" s="1"/>
  <c r="A471" i="2" s="1"/>
  <c r="A473" i="2" s="1"/>
  <c r="A475" i="2" s="1"/>
  <c r="A477" i="2" s="1"/>
  <c r="A479" i="2" s="1"/>
  <c r="A481" i="2" s="1"/>
  <c r="A483" i="2" s="1"/>
  <c r="A485" i="2" s="1"/>
  <c r="A487" i="2" s="1"/>
  <c r="A489" i="2" s="1"/>
  <c r="A491" i="2" s="1"/>
  <c r="A493" i="2" s="1"/>
  <c r="A495" i="2" s="1"/>
  <c r="A497" i="2" s="1"/>
  <c r="A499" i="2" s="1"/>
  <c r="A501" i="2" s="1"/>
  <c r="A503" i="2" s="1"/>
  <c r="A505" i="2" s="1"/>
  <c r="A507" i="2" s="1"/>
  <c r="A509" i="2" s="1"/>
  <c r="A511" i="2" s="1"/>
  <c r="A513" i="2" s="1"/>
  <c r="A515" i="2" s="1"/>
  <c r="A517" i="2" s="1"/>
  <c r="A519" i="2" s="1"/>
  <c r="A521" i="2" s="1"/>
  <c r="A523" i="2" s="1"/>
  <c r="A525" i="2" s="1"/>
  <c r="A527" i="2" s="1"/>
  <c r="A529" i="2" s="1"/>
  <c r="A531" i="2" s="1"/>
  <c r="A533" i="2" s="1"/>
  <c r="A535" i="2" s="1"/>
  <c r="A537" i="2" s="1"/>
  <c r="A539" i="2" s="1"/>
  <c r="A541" i="2" s="1"/>
  <c r="A543" i="2" s="1"/>
  <c r="A545" i="2" s="1"/>
  <c r="A547" i="2" s="1"/>
  <c r="A549" i="2" s="1"/>
  <c r="A551" i="2" s="1"/>
  <c r="A553" i="2" s="1"/>
  <c r="A555" i="2" s="1"/>
  <c r="A557" i="2" s="1"/>
  <c r="A559" i="2" s="1"/>
  <c r="A561" i="2" s="1"/>
  <c r="A563" i="2" s="1"/>
  <c r="A565" i="2" s="1"/>
  <c r="A567" i="2" s="1"/>
  <c r="A569" i="2" s="1"/>
  <c r="A571" i="2" s="1"/>
  <c r="A573" i="2" s="1"/>
  <c r="A575" i="2" s="1"/>
  <c r="A577" i="2" s="1"/>
  <c r="A579" i="2" s="1"/>
  <c r="A581" i="2" s="1"/>
  <c r="A583" i="2" s="1"/>
  <c r="A585" i="2" s="1"/>
  <c r="A587" i="2" s="1"/>
  <c r="A589" i="2" s="1"/>
  <c r="A591" i="2" s="1"/>
  <c r="A593" i="2" s="1"/>
  <c r="A595" i="2" s="1"/>
  <c r="A597" i="2" s="1"/>
  <c r="A599" i="2" s="1"/>
  <c r="A601" i="2" s="1"/>
  <c r="A603" i="2" s="1"/>
  <c r="A605" i="2" s="1"/>
  <c r="A607" i="2" s="1"/>
  <c r="A609" i="2" s="1"/>
  <c r="A611" i="2" s="1"/>
  <c r="A613" i="2" s="1"/>
  <c r="A615" i="2" s="1"/>
  <c r="A617" i="2" s="1"/>
  <c r="A619" i="2" s="1"/>
  <c r="A621" i="2" s="1"/>
  <c r="A623" i="2" s="1"/>
  <c r="A625" i="2" s="1"/>
  <c r="A627" i="2" s="1"/>
  <c r="A629" i="2" s="1"/>
  <c r="A631" i="2" s="1"/>
  <c r="A633" i="2" s="1"/>
  <c r="A635" i="2" s="1"/>
  <c r="A637" i="2" s="1"/>
  <c r="A639" i="2" s="1"/>
  <c r="A641" i="2" s="1"/>
  <c r="A643" i="2" s="1"/>
  <c r="A645" i="2" s="1"/>
  <c r="A647" i="2" s="1"/>
  <c r="A649" i="2" s="1"/>
  <c r="A651" i="2" s="1"/>
  <c r="A653" i="2" s="1"/>
  <c r="A655" i="2" s="1"/>
  <c r="A657" i="2" s="1"/>
  <c r="A659" i="2" s="1"/>
  <c r="A661" i="2" s="1"/>
  <c r="A663" i="2" s="1"/>
  <c r="A665" i="2" s="1"/>
  <c r="A667" i="2" s="1"/>
  <c r="A669" i="2" s="1"/>
  <c r="A671" i="2" s="1"/>
  <c r="A673" i="2" s="1"/>
  <c r="A675" i="2" s="1"/>
  <c r="A677" i="2" s="1"/>
  <c r="A679" i="2" s="1"/>
  <c r="A681" i="2" s="1"/>
  <c r="A683" i="2" s="1"/>
  <c r="A685" i="2" s="1"/>
  <c r="A687" i="2" s="1"/>
  <c r="A689" i="2" s="1"/>
  <c r="A691" i="2" s="1"/>
  <c r="A693" i="2" s="1"/>
  <c r="A695" i="2" s="1"/>
  <c r="A697" i="2" s="1"/>
  <c r="A699" i="2" s="1"/>
  <c r="A701" i="2" s="1"/>
  <c r="A703" i="2" s="1"/>
  <c r="A705" i="2" s="1"/>
  <c r="A707" i="2" s="1"/>
  <c r="A709" i="2" s="1"/>
  <c r="A711" i="2" s="1"/>
  <c r="A713" i="2" s="1"/>
  <c r="A715" i="2" s="1"/>
  <c r="A717" i="2" s="1"/>
  <c r="A719" i="2" s="1"/>
  <c r="A721" i="2" s="1"/>
  <c r="A723" i="2" s="1"/>
  <c r="A725" i="2" s="1"/>
  <c r="A727" i="2" s="1"/>
  <c r="A729" i="2" s="1"/>
  <c r="A731" i="2" s="1"/>
  <c r="A733" i="2" s="1"/>
  <c r="A735" i="2" s="1"/>
  <c r="A737" i="2" s="1"/>
  <c r="A739" i="2" s="1"/>
  <c r="A741" i="2" s="1"/>
  <c r="A743" i="2" s="1"/>
  <c r="A745" i="2" s="1"/>
  <c r="A747" i="2" s="1"/>
  <c r="A749" i="2" s="1"/>
  <c r="A751" i="2" s="1"/>
  <c r="A753" i="2" s="1"/>
  <c r="A755" i="2" s="1"/>
  <c r="A757" i="2" s="1"/>
  <c r="A759" i="2" s="1"/>
  <c r="A761" i="2" s="1"/>
  <c r="A763" i="2" s="1"/>
  <c r="A765" i="2" s="1"/>
  <c r="A767" i="2" s="1"/>
  <c r="A769" i="2" s="1"/>
  <c r="A771" i="2" s="1"/>
  <c r="A773" i="2" s="1"/>
  <c r="A775" i="2" s="1"/>
  <c r="A777" i="2" s="1"/>
  <c r="A779" i="2" s="1"/>
  <c r="A781" i="2" s="1"/>
  <c r="A783" i="2" s="1"/>
  <c r="A785" i="2" s="1"/>
  <c r="A787" i="2" s="1"/>
  <c r="A789" i="2" s="1"/>
  <c r="A791" i="2" s="1"/>
  <c r="A793" i="2" s="1"/>
  <c r="A795" i="2" s="1"/>
  <c r="A797" i="2" s="1"/>
  <c r="A799" i="2" s="1"/>
  <c r="A801" i="2" s="1"/>
  <c r="A803" i="2" s="1"/>
  <c r="A805" i="2" s="1"/>
  <c r="A807" i="2" s="1"/>
  <c r="A809" i="2" s="1"/>
  <c r="A811" i="2" s="1"/>
  <c r="A813" i="2" s="1"/>
  <c r="A815" i="2" s="1"/>
  <c r="A817" i="2" s="1"/>
  <c r="A819" i="2" s="1"/>
  <c r="A821" i="2" s="1"/>
  <c r="A823" i="2" s="1"/>
  <c r="A825" i="2" s="1"/>
  <c r="A827" i="2" s="1"/>
  <c r="A829" i="2" s="1"/>
  <c r="A831" i="2" s="1"/>
  <c r="A833" i="2" s="1"/>
  <c r="A835" i="2" s="1"/>
  <c r="A837" i="2" s="1"/>
  <c r="A839" i="2" s="1"/>
  <c r="A841" i="2" s="1"/>
  <c r="A843" i="2" s="1"/>
  <c r="A845" i="2" s="1"/>
  <c r="A847" i="2" s="1"/>
  <c r="A849" i="2" s="1"/>
  <c r="A851" i="2" s="1"/>
  <c r="A853" i="2" s="1"/>
  <c r="A855" i="2" s="1"/>
  <c r="A857" i="2" s="1"/>
  <c r="A859" i="2" s="1"/>
  <c r="A861" i="2" s="1"/>
  <c r="A863" i="2" s="1"/>
  <c r="A865" i="2" s="1"/>
  <c r="A867" i="2" s="1"/>
  <c r="A869" i="2" s="1"/>
  <c r="A871" i="2" s="1"/>
  <c r="A873" i="2" s="1"/>
  <c r="A875" i="2" s="1"/>
  <c r="A877" i="2" s="1"/>
  <c r="A879" i="2" s="1"/>
  <c r="A881" i="2" s="1"/>
  <c r="A883" i="2" s="1"/>
  <c r="A885" i="2" s="1"/>
  <c r="A887" i="2" s="1"/>
  <c r="A889" i="2" s="1"/>
  <c r="A891" i="2" s="1"/>
  <c r="A893" i="2" s="1"/>
  <c r="A895" i="2" s="1"/>
  <c r="A897" i="2" s="1"/>
  <c r="A899" i="2" s="1"/>
  <c r="A901" i="2" s="1"/>
  <c r="A903" i="2" s="1"/>
  <c r="A905" i="2" s="1"/>
  <c r="A907" i="2" s="1"/>
  <c r="A909" i="2" s="1"/>
  <c r="A911" i="2" s="1"/>
  <c r="A913" i="2" s="1"/>
  <c r="A915" i="2" s="1"/>
  <c r="A917" i="2" s="1"/>
  <c r="A919" i="2" s="1"/>
  <c r="A921" i="2" s="1"/>
  <c r="A923" i="2" s="1"/>
  <c r="A925" i="2" s="1"/>
  <c r="A927" i="2" s="1"/>
  <c r="A929" i="2" s="1"/>
  <c r="A931" i="2" s="1"/>
  <c r="A933" i="2" s="1"/>
  <c r="A935" i="2" s="1"/>
  <c r="A937" i="2" s="1"/>
  <c r="A939" i="2" s="1"/>
  <c r="A941" i="2" s="1"/>
  <c r="A943" i="2" s="1"/>
  <c r="A945" i="2" s="1"/>
  <c r="A947" i="2" s="1"/>
  <c r="A949" i="2" s="1"/>
  <c r="A951" i="2" s="1"/>
  <c r="A953" i="2" s="1"/>
  <c r="A955" i="2" s="1"/>
  <c r="A957" i="2" s="1"/>
  <c r="A959" i="2" s="1"/>
  <c r="A961" i="2" s="1"/>
  <c r="A963" i="2" s="1"/>
  <c r="A965" i="2" s="1"/>
  <c r="A967" i="2" s="1"/>
  <c r="A969" i="2" s="1"/>
  <c r="A971" i="2" s="1"/>
  <c r="A973" i="2" s="1"/>
  <c r="A975" i="2" s="1"/>
  <c r="A977" i="2" s="1"/>
  <c r="A979" i="2" s="1"/>
  <c r="A981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38" i="2" s="1"/>
  <c r="A40" i="2" s="1"/>
  <c r="A42" i="2" s="1"/>
  <c r="A44" i="2" s="1"/>
  <c r="A46" i="2" s="1"/>
  <c r="A48" i="2" s="1"/>
  <c r="A50" i="2" s="1"/>
  <c r="A52" i="2" s="1"/>
  <c r="A54" i="2" s="1"/>
  <c r="A56" i="2" s="1"/>
  <c r="A58" i="2" s="1"/>
  <c r="A60" i="2" s="1"/>
  <c r="A62" i="2" s="1"/>
  <c r="A64" i="2" s="1"/>
  <c r="A66" i="2" s="1"/>
  <c r="A68" i="2" s="1"/>
  <c r="A70" i="2" s="1"/>
  <c r="A72" i="2" s="1"/>
  <c r="A74" i="2" s="1"/>
  <c r="A76" i="2" s="1"/>
  <c r="A78" i="2" s="1"/>
  <c r="A80" i="2" s="1"/>
  <c r="A82" i="2" s="1"/>
  <c r="A84" i="2" s="1"/>
  <c r="A86" i="2" s="1"/>
  <c r="A88" i="2" s="1"/>
  <c r="A90" i="2" s="1"/>
  <c r="A92" i="2" s="1"/>
  <c r="A94" i="2" s="1"/>
  <c r="A96" i="2" s="1"/>
  <c r="A98" i="2" s="1"/>
  <c r="A100" i="2" s="1"/>
  <c r="A102" i="2" s="1"/>
  <c r="A104" i="2" s="1"/>
  <c r="A106" i="2" s="1"/>
  <c r="A108" i="2" s="1"/>
  <c r="A110" i="2" s="1"/>
  <c r="A112" i="2" s="1"/>
  <c r="A114" i="2" s="1"/>
  <c r="A116" i="2" s="1"/>
  <c r="A118" i="2" s="1"/>
  <c r="A120" i="2" s="1"/>
  <c r="A122" i="2" s="1"/>
  <c r="A124" i="2" s="1"/>
  <c r="A126" i="2" s="1"/>
  <c r="A128" i="2" s="1"/>
  <c r="A130" i="2" s="1"/>
  <c r="A132" i="2" s="1"/>
  <c r="A134" i="2" s="1"/>
  <c r="A136" i="2" s="1"/>
  <c r="A138" i="2" s="1"/>
  <c r="A140" i="2" s="1"/>
  <c r="A142" i="2" s="1"/>
  <c r="A144" i="2" s="1"/>
  <c r="A146" i="2" s="1"/>
  <c r="A148" i="2" s="1"/>
  <c r="A150" i="2" s="1"/>
  <c r="A152" i="2" s="1"/>
  <c r="A154" i="2" s="1"/>
  <c r="A156" i="2" s="1"/>
  <c r="A158" i="2" s="1"/>
  <c r="A160" i="2" s="1"/>
  <c r="A162" i="2" s="1"/>
  <c r="A164" i="2" s="1"/>
  <c r="A166" i="2" s="1"/>
  <c r="A168" i="2" s="1"/>
  <c r="A170" i="2" s="1"/>
  <c r="A172" i="2" s="1"/>
  <c r="A174" i="2" s="1"/>
  <c r="A176" i="2" s="1"/>
  <c r="A178" i="2" s="1"/>
  <c r="A180" i="2" s="1"/>
  <c r="A182" i="2" s="1"/>
  <c r="A184" i="2" s="1"/>
  <c r="A186" i="2" s="1"/>
  <c r="A188" i="2" s="1"/>
  <c r="A190" i="2" s="1"/>
  <c r="A192" i="2" s="1"/>
  <c r="A194" i="2" s="1"/>
  <c r="A196" i="2" s="1"/>
  <c r="A198" i="2" s="1"/>
  <c r="A200" i="2" s="1"/>
  <c r="A202" i="2" s="1"/>
  <c r="A204" i="2" s="1"/>
  <c r="A206" i="2" s="1"/>
  <c r="A208" i="2" s="1"/>
  <c r="A210" i="2" s="1"/>
  <c r="A212" i="2" s="1"/>
  <c r="A214" i="2" s="1"/>
  <c r="A216" i="2" s="1"/>
  <c r="A218" i="2" s="1"/>
  <c r="A220" i="2" s="1"/>
  <c r="A222" i="2" s="1"/>
  <c r="A224" i="2" s="1"/>
  <c r="A226" i="2" s="1"/>
  <c r="A228" i="2" s="1"/>
  <c r="A230" i="2" s="1"/>
  <c r="A232" i="2" s="1"/>
  <c r="A234" i="2" s="1"/>
  <c r="A236" i="2" s="1"/>
  <c r="A238" i="2" s="1"/>
  <c r="A240" i="2" s="1"/>
  <c r="A242" i="2" s="1"/>
  <c r="A244" i="2" s="1"/>
  <c r="A246" i="2" s="1"/>
  <c r="A248" i="2" s="1"/>
  <c r="A250" i="2" s="1"/>
  <c r="A252" i="2" s="1"/>
  <c r="A254" i="2" s="1"/>
  <c r="A256" i="2" s="1"/>
  <c r="A258" i="2" s="1"/>
  <c r="A260" i="2" s="1"/>
  <c r="A262" i="2" s="1"/>
  <c r="A264" i="2" s="1"/>
  <c r="A266" i="2" s="1"/>
  <c r="A268" i="2" s="1"/>
  <c r="A270" i="2" s="1"/>
  <c r="A272" i="2" s="1"/>
  <c r="A274" i="2" s="1"/>
  <c r="A276" i="2" s="1"/>
  <c r="A278" i="2" s="1"/>
  <c r="A280" i="2" s="1"/>
  <c r="A282" i="2" s="1"/>
  <c r="A284" i="2" s="1"/>
  <c r="A286" i="2" s="1"/>
  <c r="A288" i="2" s="1"/>
  <c r="A290" i="2" s="1"/>
  <c r="A292" i="2" s="1"/>
  <c r="A294" i="2" s="1"/>
  <c r="A296" i="2" s="1"/>
  <c r="A298" i="2" s="1"/>
  <c r="A300" i="2" s="1"/>
  <c r="A302" i="2" s="1"/>
  <c r="A304" i="2" s="1"/>
  <c r="A306" i="2" s="1"/>
  <c r="A308" i="2" s="1"/>
  <c r="A310" i="2" s="1"/>
  <c r="A312" i="2" s="1"/>
  <c r="A314" i="2" s="1"/>
  <c r="A316" i="2" s="1"/>
  <c r="A318" i="2" s="1"/>
  <c r="A320" i="2" s="1"/>
  <c r="A322" i="2" s="1"/>
  <c r="A324" i="2" s="1"/>
  <c r="A326" i="2" s="1"/>
  <c r="A328" i="2" s="1"/>
  <c r="A330" i="2" s="1"/>
  <c r="A332" i="2" s="1"/>
  <c r="A334" i="2" s="1"/>
  <c r="A336" i="2" s="1"/>
  <c r="A338" i="2" s="1"/>
  <c r="A340" i="2" s="1"/>
  <c r="A342" i="2" s="1"/>
  <c r="A344" i="2" s="1"/>
  <c r="A346" i="2" s="1"/>
  <c r="A348" i="2" s="1"/>
  <c r="A350" i="2" s="1"/>
  <c r="A352" i="2" s="1"/>
  <c r="A354" i="2" s="1"/>
  <c r="A356" i="2" s="1"/>
  <c r="A358" i="2" s="1"/>
  <c r="A360" i="2" s="1"/>
  <c r="A362" i="2" s="1"/>
  <c r="A364" i="2" s="1"/>
  <c r="A366" i="2" s="1"/>
  <c r="A368" i="2" s="1"/>
  <c r="A370" i="2" s="1"/>
  <c r="A372" i="2" s="1"/>
  <c r="A374" i="2" s="1"/>
  <c r="A376" i="2" s="1"/>
  <c r="A378" i="2" s="1"/>
  <c r="A380" i="2" s="1"/>
  <c r="A382" i="2" s="1"/>
  <c r="A384" i="2" s="1"/>
  <c r="A386" i="2" s="1"/>
  <c r="A388" i="2" s="1"/>
  <c r="A390" i="2" s="1"/>
  <c r="A392" i="2" s="1"/>
  <c r="A394" i="2" s="1"/>
  <c r="A396" i="2" s="1"/>
  <c r="A398" i="2" s="1"/>
  <c r="A400" i="2" s="1"/>
  <c r="A402" i="2" s="1"/>
  <c r="A404" i="2" s="1"/>
  <c r="A406" i="2" s="1"/>
  <c r="A408" i="2" s="1"/>
  <c r="A410" i="2" s="1"/>
  <c r="A412" i="2" s="1"/>
  <c r="A414" i="2" s="1"/>
  <c r="A416" i="2" s="1"/>
  <c r="A418" i="2" s="1"/>
  <c r="A420" i="2" s="1"/>
  <c r="A422" i="2" s="1"/>
  <c r="A424" i="2" s="1"/>
  <c r="A426" i="2" s="1"/>
  <c r="A428" i="2" s="1"/>
  <c r="A430" i="2" s="1"/>
  <c r="A432" i="2" s="1"/>
  <c r="A434" i="2" s="1"/>
  <c r="A436" i="2" s="1"/>
  <c r="A438" i="2" s="1"/>
  <c r="A440" i="2" s="1"/>
  <c r="A442" i="2" s="1"/>
  <c r="A444" i="2" s="1"/>
  <c r="A446" i="2" s="1"/>
  <c r="A448" i="2" s="1"/>
  <c r="A450" i="2" s="1"/>
  <c r="A452" i="2" s="1"/>
  <c r="A454" i="2" s="1"/>
  <c r="A456" i="2" s="1"/>
  <c r="A458" i="2" s="1"/>
  <c r="A460" i="2" s="1"/>
  <c r="A462" i="2" s="1"/>
  <c r="A464" i="2" s="1"/>
  <c r="A466" i="2" s="1"/>
  <c r="A468" i="2" s="1"/>
  <c r="A470" i="2" s="1"/>
  <c r="A472" i="2" s="1"/>
  <c r="A474" i="2" s="1"/>
  <c r="A476" i="2" s="1"/>
  <c r="A478" i="2" s="1"/>
  <c r="A480" i="2" s="1"/>
  <c r="A482" i="2" s="1"/>
  <c r="A484" i="2" s="1"/>
  <c r="A486" i="2" s="1"/>
  <c r="A488" i="2" s="1"/>
  <c r="A490" i="2" s="1"/>
  <c r="A492" i="2" s="1"/>
  <c r="A494" i="2" s="1"/>
  <c r="A496" i="2" s="1"/>
  <c r="A498" i="2" s="1"/>
  <c r="A500" i="2" s="1"/>
  <c r="A502" i="2" s="1"/>
  <c r="A504" i="2" s="1"/>
  <c r="A506" i="2" s="1"/>
  <c r="A508" i="2" s="1"/>
  <c r="A510" i="2" s="1"/>
  <c r="A512" i="2" s="1"/>
  <c r="A514" i="2" s="1"/>
  <c r="A516" i="2" s="1"/>
  <c r="A518" i="2" s="1"/>
  <c r="A520" i="2" s="1"/>
  <c r="A522" i="2" s="1"/>
  <c r="A524" i="2" s="1"/>
  <c r="A526" i="2" s="1"/>
  <c r="A528" i="2" s="1"/>
  <c r="A530" i="2" s="1"/>
  <c r="A532" i="2" s="1"/>
  <c r="A534" i="2" s="1"/>
  <c r="A536" i="2" s="1"/>
  <c r="A538" i="2" s="1"/>
  <c r="A540" i="2" s="1"/>
  <c r="A542" i="2" s="1"/>
  <c r="A544" i="2" s="1"/>
  <c r="A546" i="2" s="1"/>
  <c r="A548" i="2" s="1"/>
  <c r="A550" i="2" s="1"/>
  <c r="A552" i="2" s="1"/>
  <c r="A554" i="2" s="1"/>
  <c r="A556" i="2" s="1"/>
  <c r="A558" i="2" s="1"/>
  <c r="A560" i="2" s="1"/>
  <c r="A562" i="2" s="1"/>
  <c r="A564" i="2" s="1"/>
  <c r="A566" i="2" s="1"/>
  <c r="A568" i="2" s="1"/>
  <c r="A570" i="2" s="1"/>
  <c r="A572" i="2" s="1"/>
  <c r="A574" i="2" s="1"/>
  <c r="A576" i="2" s="1"/>
  <c r="A578" i="2" s="1"/>
  <c r="A580" i="2" s="1"/>
  <c r="A582" i="2" s="1"/>
  <c r="A584" i="2" s="1"/>
  <c r="A586" i="2" s="1"/>
  <c r="A588" i="2" s="1"/>
  <c r="A590" i="2" s="1"/>
  <c r="A592" i="2" s="1"/>
  <c r="A594" i="2" s="1"/>
  <c r="A596" i="2" s="1"/>
  <c r="A598" i="2" s="1"/>
  <c r="A600" i="2" s="1"/>
  <c r="A602" i="2" s="1"/>
  <c r="A604" i="2" s="1"/>
  <c r="A606" i="2" s="1"/>
  <c r="A608" i="2" s="1"/>
  <c r="A610" i="2" s="1"/>
  <c r="A612" i="2" s="1"/>
  <c r="A614" i="2" s="1"/>
  <c r="A616" i="2" s="1"/>
  <c r="A618" i="2" s="1"/>
  <c r="A620" i="2" s="1"/>
  <c r="A622" i="2" s="1"/>
  <c r="A624" i="2" s="1"/>
  <c r="A626" i="2" s="1"/>
  <c r="A628" i="2" s="1"/>
  <c r="A630" i="2" s="1"/>
  <c r="A632" i="2" s="1"/>
  <c r="A634" i="2" s="1"/>
  <c r="A636" i="2" s="1"/>
  <c r="A638" i="2" s="1"/>
  <c r="A640" i="2" s="1"/>
  <c r="A642" i="2" s="1"/>
  <c r="A644" i="2" s="1"/>
  <c r="A646" i="2" s="1"/>
  <c r="A648" i="2" s="1"/>
  <c r="A650" i="2" s="1"/>
  <c r="A652" i="2" s="1"/>
  <c r="A654" i="2" s="1"/>
  <c r="A656" i="2" s="1"/>
  <c r="A658" i="2" s="1"/>
  <c r="A660" i="2" s="1"/>
  <c r="A662" i="2" s="1"/>
  <c r="A664" i="2" s="1"/>
  <c r="A666" i="2" s="1"/>
  <c r="A668" i="2" s="1"/>
  <c r="A670" i="2" s="1"/>
  <c r="A672" i="2" s="1"/>
  <c r="A674" i="2" s="1"/>
  <c r="A676" i="2" s="1"/>
  <c r="A678" i="2" s="1"/>
  <c r="A680" i="2" s="1"/>
  <c r="A682" i="2" s="1"/>
  <c r="A684" i="2" s="1"/>
  <c r="A686" i="2" s="1"/>
  <c r="A688" i="2" s="1"/>
  <c r="A690" i="2" s="1"/>
  <c r="A692" i="2" s="1"/>
  <c r="A694" i="2" s="1"/>
  <c r="A696" i="2" s="1"/>
  <c r="A698" i="2" s="1"/>
  <c r="A700" i="2" s="1"/>
  <c r="A702" i="2" s="1"/>
  <c r="A704" i="2" s="1"/>
  <c r="A706" i="2" s="1"/>
  <c r="A708" i="2" s="1"/>
  <c r="A710" i="2" s="1"/>
  <c r="A712" i="2" s="1"/>
  <c r="A714" i="2" s="1"/>
  <c r="A716" i="2" s="1"/>
  <c r="A718" i="2" s="1"/>
  <c r="A720" i="2" s="1"/>
  <c r="A722" i="2" s="1"/>
  <c r="A724" i="2" s="1"/>
  <c r="A726" i="2" s="1"/>
  <c r="A728" i="2" s="1"/>
  <c r="A730" i="2" s="1"/>
  <c r="A732" i="2" s="1"/>
  <c r="A734" i="2" s="1"/>
  <c r="A736" i="2" s="1"/>
  <c r="A738" i="2" s="1"/>
  <c r="A740" i="2" s="1"/>
  <c r="A742" i="2" s="1"/>
  <c r="A744" i="2" s="1"/>
  <c r="A746" i="2" s="1"/>
  <c r="A748" i="2" s="1"/>
  <c r="A750" i="2" s="1"/>
  <c r="A752" i="2" s="1"/>
  <c r="A754" i="2" s="1"/>
  <c r="A756" i="2" s="1"/>
  <c r="A758" i="2" s="1"/>
  <c r="A760" i="2" s="1"/>
  <c r="A762" i="2" s="1"/>
  <c r="A764" i="2" s="1"/>
  <c r="A766" i="2" s="1"/>
  <c r="A768" i="2" s="1"/>
  <c r="A770" i="2" s="1"/>
  <c r="A772" i="2" s="1"/>
  <c r="A774" i="2" s="1"/>
  <c r="A776" i="2" s="1"/>
  <c r="A778" i="2" s="1"/>
  <c r="A780" i="2" s="1"/>
  <c r="A782" i="2" s="1"/>
  <c r="A784" i="2" s="1"/>
  <c r="A786" i="2" s="1"/>
  <c r="A788" i="2" s="1"/>
  <c r="A790" i="2" s="1"/>
  <c r="A792" i="2" s="1"/>
  <c r="A794" i="2" s="1"/>
  <c r="A796" i="2" s="1"/>
  <c r="A798" i="2" s="1"/>
  <c r="A800" i="2" s="1"/>
  <c r="A802" i="2" s="1"/>
  <c r="A804" i="2" s="1"/>
  <c r="A806" i="2" s="1"/>
  <c r="A808" i="2" s="1"/>
  <c r="A810" i="2" s="1"/>
  <c r="A812" i="2" s="1"/>
  <c r="A814" i="2" s="1"/>
  <c r="A816" i="2" s="1"/>
  <c r="A818" i="2" s="1"/>
  <c r="A820" i="2" s="1"/>
  <c r="A822" i="2" s="1"/>
  <c r="A824" i="2" s="1"/>
  <c r="A826" i="2" s="1"/>
  <c r="A828" i="2" s="1"/>
  <c r="A830" i="2" s="1"/>
  <c r="A832" i="2" s="1"/>
  <c r="A834" i="2" s="1"/>
  <c r="A836" i="2" s="1"/>
  <c r="A838" i="2" s="1"/>
  <c r="A840" i="2" s="1"/>
  <c r="A842" i="2" s="1"/>
  <c r="A844" i="2" s="1"/>
  <c r="A846" i="2" s="1"/>
  <c r="A848" i="2" s="1"/>
  <c r="A850" i="2" s="1"/>
  <c r="A852" i="2" s="1"/>
  <c r="A854" i="2" s="1"/>
  <c r="A856" i="2" s="1"/>
  <c r="A858" i="2" s="1"/>
  <c r="A860" i="2" s="1"/>
  <c r="A862" i="2" s="1"/>
  <c r="A864" i="2" s="1"/>
  <c r="A866" i="2" s="1"/>
  <c r="A868" i="2" s="1"/>
  <c r="A870" i="2" s="1"/>
  <c r="A872" i="2" s="1"/>
  <c r="A874" i="2" s="1"/>
  <c r="A876" i="2" s="1"/>
  <c r="A878" i="2" s="1"/>
  <c r="A880" i="2" s="1"/>
  <c r="A882" i="2" s="1"/>
  <c r="A884" i="2" s="1"/>
  <c r="A886" i="2" s="1"/>
  <c r="A888" i="2" s="1"/>
  <c r="A890" i="2" s="1"/>
  <c r="A892" i="2" s="1"/>
  <c r="A894" i="2" s="1"/>
  <c r="A896" i="2" s="1"/>
  <c r="A898" i="2" s="1"/>
  <c r="A900" i="2" s="1"/>
  <c r="A902" i="2" s="1"/>
  <c r="A904" i="2" s="1"/>
  <c r="A906" i="2" s="1"/>
  <c r="A908" i="2" s="1"/>
  <c r="A910" i="2" s="1"/>
  <c r="A912" i="2" s="1"/>
  <c r="A914" i="2" s="1"/>
  <c r="A916" i="2" s="1"/>
  <c r="A918" i="2" s="1"/>
  <c r="A920" i="2" s="1"/>
  <c r="A922" i="2" s="1"/>
  <c r="A924" i="2" s="1"/>
  <c r="A926" i="2" s="1"/>
  <c r="A928" i="2" s="1"/>
  <c r="A930" i="2" s="1"/>
  <c r="A932" i="2" s="1"/>
  <c r="A934" i="2" s="1"/>
  <c r="A936" i="2" s="1"/>
  <c r="A938" i="2" s="1"/>
  <c r="A940" i="2" s="1"/>
  <c r="A942" i="2" s="1"/>
  <c r="A944" i="2" s="1"/>
  <c r="A946" i="2" s="1"/>
  <c r="A948" i="2" s="1"/>
  <c r="A950" i="2" s="1"/>
  <c r="A952" i="2" s="1"/>
  <c r="A954" i="2" s="1"/>
  <c r="A956" i="2" s="1"/>
  <c r="A958" i="2" s="1"/>
  <c r="A960" i="2" s="1"/>
  <c r="A962" i="2" s="1"/>
  <c r="A964" i="2" s="1"/>
  <c r="A966" i="2" s="1"/>
  <c r="A968" i="2" s="1"/>
  <c r="A970" i="2" s="1"/>
  <c r="A972" i="2" s="1"/>
  <c r="A974" i="2" s="1"/>
  <c r="A976" i="2" s="1"/>
  <c r="A978" i="2" s="1"/>
  <c r="A980" i="2" s="1"/>
  <c r="A982" i="2" s="1"/>
  <c r="C2" i="1"/>
  <c r="R810" i="2" l="1"/>
  <c r="P811" i="2"/>
  <c r="O811" i="2"/>
  <c r="L811" i="2"/>
  <c r="N811" i="2"/>
  <c r="M811" i="2"/>
  <c r="D813" i="2"/>
  <c r="E812" i="2"/>
  <c r="C863" i="2"/>
  <c r="H863" i="2" s="1"/>
  <c r="C969" i="2"/>
  <c r="H969" i="2" s="1"/>
  <c r="C970" i="2"/>
  <c r="H970" i="2" s="1"/>
  <c r="C968" i="2"/>
  <c r="H968" i="2" s="1"/>
  <c r="C971" i="2"/>
  <c r="H971" i="2" s="1"/>
  <c r="B973" i="2"/>
  <c r="B974" i="2"/>
  <c r="C972" i="2"/>
  <c r="H972" i="2" s="1"/>
  <c r="C34" i="2"/>
  <c r="H34" i="2" s="1"/>
  <c r="C669" i="2"/>
  <c r="J669" i="2" s="1"/>
  <c r="C911" i="2"/>
  <c r="H911" i="2" s="1"/>
  <c r="C36" i="2"/>
  <c r="H36" i="2" s="1"/>
  <c r="C435" i="2"/>
  <c r="J435" i="2" s="1"/>
  <c r="C37" i="2"/>
  <c r="H37" i="2" s="1"/>
  <c r="C707" i="2"/>
  <c r="J707" i="2" s="1"/>
  <c r="C69" i="2"/>
  <c r="J69" i="2" s="1"/>
  <c r="C708" i="2"/>
  <c r="J708" i="2" s="1"/>
  <c r="C246" i="2"/>
  <c r="H246" i="2" s="1"/>
  <c r="C723" i="2"/>
  <c r="J723" i="2" s="1"/>
  <c r="C247" i="2"/>
  <c r="H247" i="2" s="1"/>
  <c r="C755" i="2"/>
  <c r="H755" i="2" s="1"/>
  <c r="C291" i="2"/>
  <c r="H291" i="2" s="1"/>
  <c r="C113" i="2"/>
  <c r="H113" i="2" s="1"/>
  <c r="C433" i="2"/>
  <c r="H433" i="2" s="1"/>
  <c r="C670" i="2"/>
  <c r="H670" i="2" s="1"/>
  <c r="C912" i="2"/>
  <c r="H912" i="2" s="1"/>
  <c r="C948" i="2"/>
  <c r="C470" i="2"/>
  <c r="C964" i="2"/>
  <c r="H964" i="2" s="1"/>
  <c r="C485" i="2"/>
  <c r="H485" i="2" s="1"/>
  <c r="C72" i="2"/>
  <c r="H72" i="2" s="1"/>
  <c r="C756" i="2"/>
  <c r="H756" i="2" s="1"/>
  <c r="C292" i="2"/>
  <c r="H292" i="2" s="1"/>
  <c r="C757" i="2"/>
  <c r="J757" i="2" s="1"/>
  <c r="C293" i="2"/>
  <c r="H293" i="2" s="1"/>
  <c r="C763" i="2"/>
  <c r="H763" i="2" s="1"/>
  <c r="C115" i="2"/>
  <c r="H115" i="2" s="1"/>
  <c r="C336" i="2"/>
  <c r="H336" i="2" s="1"/>
  <c r="C808" i="2"/>
  <c r="H808" i="2" s="1"/>
  <c r="C163" i="2"/>
  <c r="J163" i="2" s="1"/>
  <c r="C387" i="2"/>
  <c r="H387" i="2" s="1"/>
  <c r="C616" i="2"/>
  <c r="H616" i="2" s="1"/>
  <c r="C857" i="2"/>
  <c r="J857" i="2" s="1"/>
  <c r="C195" i="2"/>
  <c r="H195" i="2" s="1"/>
  <c r="C35" i="2"/>
  <c r="H35" i="2" s="1"/>
  <c r="C209" i="2"/>
  <c r="H209" i="2" s="1"/>
  <c r="C210" i="2"/>
  <c r="C244" i="2"/>
  <c r="C963" i="2"/>
  <c r="H963" i="2" s="1"/>
  <c r="C471" i="2"/>
  <c r="H471" i="2" s="1"/>
  <c r="C724" i="2"/>
  <c r="J724" i="2" s="1"/>
  <c r="C515" i="2"/>
  <c r="H515" i="2" s="1"/>
  <c r="C343" i="2"/>
  <c r="H343" i="2" s="1"/>
  <c r="C811" i="2"/>
  <c r="J811" i="2" s="1"/>
  <c r="C386" i="2"/>
  <c r="J386" i="2" s="1"/>
  <c r="C164" i="2"/>
  <c r="J164" i="2" s="1"/>
  <c r="C388" i="2"/>
  <c r="J388" i="2" s="1"/>
  <c r="C617" i="2"/>
  <c r="H617" i="2" s="1"/>
  <c r="C962" i="2"/>
  <c r="H962" i="2" s="1"/>
  <c r="C957" i="2"/>
  <c r="H957" i="2" s="1"/>
  <c r="C932" i="2"/>
  <c r="H932" i="2" s="1"/>
  <c r="C907" i="2"/>
  <c r="J907" i="2" s="1"/>
  <c r="C877" i="2"/>
  <c r="H877" i="2" s="1"/>
  <c r="C852" i="2"/>
  <c r="H852" i="2" s="1"/>
  <c r="C827" i="2"/>
  <c r="H827" i="2" s="1"/>
  <c r="C797" i="2"/>
  <c r="H797" i="2" s="1"/>
  <c r="C772" i="2"/>
  <c r="C747" i="2"/>
  <c r="H747" i="2" s="1"/>
  <c r="C717" i="2"/>
  <c r="H717" i="2" s="1"/>
  <c r="C692" i="2"/>
  <c r="J692" i="2" s="1"/>
  <c r="C667" i="2"/>
  <c r="J667" i="2" s="1"/>
  <c r="C637" i="2"/>
  <c r="H637" i="2" s="1"/>
  <c r="C612" i="2"/>
  <c r="H612" i="2" s="1"/>
  <c r="C587" i="2"/>
  <c r="H587" i="2" s="1"/>
  <c r="C557" i="2"/>
  <c r="H557" i="2" s="1"/>
  <c r="C532" i="2"/>
  <c r="H532" i="2" s="1"/>
  <c r="C508" i="2"/>
  <c r="J508" i="2" s="1"/>
  <c r="C484" i="2"/>
  <c r="H484" i="2" s="1"/>
  <c r="C456" i="2"/>
  <c r="H456" i="2" s="1"/>
  <c r="C432" i="2"/>
  <c r="H432" i="2" s="1"/>
  <c r="C408" i="2"/>
  <c r="J408" i="2" s="1"/>
  <c r="C384" i="2"/>
  <c r="H384" i="2" s="1"/>
  <c r="C356" i="2"/>
  <c r="H356" i="2" s="1"/>
  <c r="C332" i="2"/>
  <c r="J332" i="2" s="1"/>
  <c r="C308" i="2"/>
  <c r="H308" i="2" s="1"/>
  <c r="C284" i="2"/>
  <c r="H284" i="2" s="1"/>
  <c r="C256" i="2"/>
  <c r="C232" i="2"/>
  <c r="C208" i="2"/>
  <c r="J208" i="2" s="1"/>
  <c r="C184" i="2"/>
  <c r="H184" i="2" s="1"/>
  <c r="C156" i="2"/>
  <c r="H156" i="2" s="1"/>
  <c r="C132" i="2"/>
  <c r="H132" i="2" s="1"/>
  <c r="C108" i="2"/>
  <c r="H108" i="2" s="1"/>
  <c r="C84" i="2"/>
  <c r="H84" i="2" s="1"/>
  <c r="C56" i="2"/>
  <c r="H56" i="2" s="1"/>
  <c r="C32" i="2"/>
  <c r="H32" i="2" s="1"/>
  <c r="C8" i="2"/>
  <c r="H8" i="2" s="1"/>
  <c r="C255" i="2"/>
  <c r="H255" i="2" s="1"/>
  <c r="C183" i="2"/>
  <c r="H183" i="2" s="1"/>
  <c r="C131" i="2"/>
  <c r="H131" i="2" s="1"/>
  <c r="C83" i="2"/>
  <c r="H83" i="2" s="1"/>
  <c r="C31" i="2"/>
  <c r="H31" i="2" s="1"/>
  <c r="C7" i="2"/>
  <c r="H7" i="2" s="1"/>
  <c r="C54" i="2"/>
  <c r="H54" i="2" s="1"/>
  <c r="C6" i="2"/>
  <c r="H6" i="2" s="1"/>
  <c r="C5" i="2"/>
  <c r="H5" i="2" s="1"/>
  <c r="C903" i="2"/>
  <c r="C823" i="2"/>
  <c r="H823" i="2" s="1"/>
  <c r="C688" i="2"/>
  <c r="H688" i="2" s="1"/>
  <c r="C583" i="2"/>
  <c r="J583" i="2" s="1"/>
  <c r="C476" i="2"/>
  <c r="H476" i="2" s="1"/>
  <c r="C376" i="2"/>
  <c r="H376" i="2" s="1"/>
  <c r="C252" i="2"/>
  <c r="H252" i="2" s="1"/>
  <c r="C152" i="2"/>
  <c r="J152" i="2" s="1"/>
  <c r="C52" i="2"/>
  <c r="H52" i="2" s="1"/>
  <c r="C952" i="2"/>
  <c r="H952" i="2" s="1"/>
  <c r="C847" i="2"/>
  <c r="H847" i="2" s="1"/>
  <c r="C767" i="2"/>
  <c r="J767" i="2" s="1"/>
  <c r="C687" i="2"/>
  <c r="J687" i="2" s="1"/>
  <c r="C607" i="2"/>
  <c r="J607" i="2" s="1"/>
  <c r="C527" i="2"/>
  <c r="H527" i="2" s="1"/>
  <c r="C451" i="2"/>
  <c r="H451" i="2" s="1"/>
  <c r="C403" i="2"/>
  <c r="J403" i="2" s="1"/>
  <c r="C351" i="2"/>
  <c r="H351" i="2" s="1"/>
  <c r="C275" i="2"/>
  <c r="J275" i="2" s="1"/>
  <c r="C227" i="2"/>
  <c r="J227" i="2" s="1"/>
  <c r="C151" i="2"/>
  <c r="C51" i="2"/>
  <c r="C325" i="2"/>
  <c r="J325" i="2" s="1"/>
  <c r="C149" i="2"/>
  <c r="J149" i="2" s="1"/>
  <c r="C949" i="2"/>
  <c r="J949" i="2" s="1"/>
  <c r="C814" i="2"/>
  <c r="H814" i="2" s="1"/>
  <c r="C734" i="2"/>
  <c r="H734" i="2" s="1"/>
  <c r="C629" i="2"/>
  <c r="J629" i="2" s="1"/>
  <c r="C524" i="2"/>
  <c r="H524" i="2" s="1"/>
  <c r="C424" i="2"/>
  <c r="H424" i="2" s="1"/>
  <c r="C324" i="2"/>
  <c r="H324" i="2" s="1"/>
  <c r="C224" i="2"/>
  <c r="H224" i="2" s="1"/>
  <c r="C956" i="2"/>
  <c r="H956" i="2" s="1"/>
  <c r="C931" i="2"/>
  <c r="H931" i="2" s="1"/>
  <c r="C906" i="2"/>
  <c r="J906" i="2" s="1"/>
  <c r="C876" i="2"/>
  <c r="H876" i="2" s="1"/>
  <c r="C851" i="2"/>
  <c r="H851" i="2" s="1"/>
  <c r="C826" i="2"/>
  <c r="J826" i="2" s="1"/>
  <c r="C796" i="2"/>
  <c r="H796" i="2" s="1"/>
  <c r="C771" i="2"/>
  <c r="H771" i="2" s="1"/>
  <c r="C746" i="2"/>
  <c r="C716" i="2"/>
  <c r="C691" i="2"/>
  <c r="H691" i="2" s="1"/>
  <c r="C666" i="2"/>
  <c r="J666" i="2" s="1"/>
  <c r="C636" i="2"/>
  <c r="H636" i="2" s="1"/>
  <c r="C611" i="2"/>
  <c r="H611" i="2" s="1"/>
  <c r="C586" i="2"/>
  <c r="H586" i="2" s="1"/>
  <c r="C556" i="2"/>
  <c r="H556" i="2" s="1"/>
  <c r="C531" i="2"/>
  <c r="H531" i="2" s="1"/>
  <c r="C507" i="2"/>
  <c r="H507" i="2" s="1"/>
  <c r="C483" i="2"/>
  <c r="J483" i="2" s="1"/>
  <c r="C455" i="2"/>
  <c r="H455" i="2" s="1"/>
  <c r="C431" i="2"/>
  <c r="H431" i="2" s="1"/>
  <c r="C407" i="2"/>
  <c r="J407" i="2" s="1"/>
  <c r="C383" i="2"/>
  <c r="J383" i="2" s="1"/>
  <c r="C355" i="2"/>
  <c r="H355" i="2" s="1"/>
  <c r="C331" i="2"/>
  <c r="J331" i="2" s="1"/>
  <c r="C307" i="2"/>
  <c r="J307" i="2" s="1"/>
  <c r="C283" i="2"/>
  <c r="H283" i="2" s="1"/>
  <c r="C231" i="2"/>
  <c r="J231" i="2" s="1"/>
  <c r="C207" i="2"/>
  <c r="C155" i="2"/>
  <c r="C107" i="2"/>
  <c r="H107" i="2" s="1"/>
  <c r="C55" i="2"/>
  <c r="J55" i="2" s="1"/>
  <c r="C30" i="2"/>
  <c r="H30" i="2" s="1"/>
  <c r="C53" i="2"/>
  <c r="H53" i="2" s="1"/>
  <c r="C928" i="2"/>
  <c r="H928" i="2" s="1"/>
  <c r="C768" i="2"/>
  <c r="H768" i="2" s="1"/>
  <c r="C713" i="2"/>
  <c r="H713" i="2" s="1"/>
  <c r="C633" i="2"/>
  <c r="H633" i="2" s="1"/>
  <c r="C528" i="2"/>
  <c r="J528" i="2" s="1"/>
  <c r="C428" i="2"/>
  <c r="H428" i="2" s="1"/>
  <c r="C328" i="2"/>
  <c r="H328" i="2" s="1"/>
  <c r="C228" i="2"/>
  <c r="J228" i="2" s="1"/>
  <c r="C128" i="2"/>
  <c r="H128" i="2" s="1"/>
  <c r="C28" i="2"/>
  <c r="H28" i="2" s="1"/>
  <c r="C927" i="2"/>
  <c r="H927" i="2" s="1"/>
  <c r="C872" i="2"/>
  <c r="H872" i="2" s="1"/>
  <c r="C792" i="2"/>
  <c r="H792" i="2" s="1"/>
  <c r="C712" i="2"/>
  <c r="J712" i="2" s="1"/>
  <c r="C632" i="2"/>
  <c r="C552" i="2"/>
  <c r="C475" i="2"/>
  <c r="H475" i="2" s="1"/>
  <c r="C375" i="2"/>
  <c r="H375" i="2" s="1"/>
  <c r="C303" i="2"/>
  <c r="J303" i="2" s="1"/>
  <c r="C251" i="2"/>
  <c r="H251" i="2" s="1"/>
  <c r="C175" i="2"/>
  <c r="J175" i="2" s="1"/>
  <c r="C127" i="2"/>
  <c r="H127" i="2" s="1"/>
  <c r="C27" i="2"/>
  <c r="H27" i="2" s="1"/>
  <c r="C951" i="2"/>
  <c r="H951" i="2" s="1"/>
  <c r="C816" i="2"/>
  <c r="H816" i="2" s="1"/>
  <c r="C766" i="2"/>
  <c r="J766" i="2" s="1"/>
  <c r="C711" i="2"/>
  <c r="H711" i="2" s="1"/>
  <c r="C656" i="2"/>
  <c r="H656" i="2" s="1"/>
  <c r="C606" i="2"/>
  <c r="H606" i="2" s="1"/>
  <c r="C526" i="2"/>
  <c r="J526" i="2" s="1"/>
  <c r="C450" i="2"/>
  <c r="H450" i="2" s="1"/>
  <c r="C350" i="2"/>
  <c r="H350" i="2" s="1"/>
  <c r="C298" i="2"/>
  <c r="H298" i="2" s="1"/>
  <c r="C198" i="2"/>
  <c r="H198" i="2" s="1"/>
  <c r="C126" i="2"/>
  <c r="H126" i="2" s="1"/>
  <c r="C26" i="2"/>
  <c r="C895" i="2"/>
  <c r="H895" i="2" s="1"/>
  <c r="C630" i="2"/>
  <c r="H630" i="2" s="1"/>
  <c r="C525" i="2"/>
  <c r="H525" i="2" s="1"/>
  <c r="C397" i="2"/>
  <c r="H397" i="2" s="1"/>
  <c r="C297" i="2"/>
  <c r="H297" i="2" s="1"/>
  <c r="C197" i="2"/>
  <c r="H197" i="2" s="1"/>
  <c r="C125" i="2"/>
  <c r="H125" i="2" s="1"/>
  <c r="C924" i="2"/>
  <c r="H924" i="2" s="1"/>
  <c r="C789" i="2"/>
  <c r="H789" i="2" s="1"/>
  <c r="C709" i="2"/>
  <c r="J709" i="2" s="1"/>
  <c r="C654" i="2"/>
  <c r="H654" i="2" s="1"/>
  <c r="C549" i="2"/>
  <c r="H549" i="2" s="1"/>
  <c r="C448" i="2"/>
  <c r="H448" i="2" s="1"/>
  <c r="C348" i="2"/>
  <c r="H348" i="2" s="1"/>
  <c r="C248" i="2"/>
  <c r="J248" i="2" s="1"/>
  <c r="C955" i="2"/>
  <c r="H955" i="2" s="1"/>
  <c r="C930" i="2"/>
  <c r="H930" i="2" s="1"/>
  <c r="C905" i="2"/>
  <c r="H905" i="2" s="1"/>
  <c r="C875" i="2"/>
  <c r="C850" i="2"/>
  <c r="C825" i="2"/>
  <c r="H825" i="2" s="1"/>
  <c r="C795" i="2"/>
  <c r="H795" i="2" s="1"/>
  <c r="C770" i="2"/>
  <c r="H770" i="2" s="1"/>
  <c r="C745" i="2"/>
  <c r="H745" i="2" s="1"/>
  <c r="C715" i="2"/>
  <c r="H715" i="2" s="1"/>
  <c r="C690" i="2"/>
  <c r="H690" i="2" s="1"/>
  <c r="C665" i="2"/>
  <c r="H665" i="2" s="1"/>
  <c r="C635" i="2"/>
  <c r="H635" i="2" s="1"/>
  <c r="C610" i="2"/>
  <c r="H610" i="2" s="1"/>
  <c r="C585" i="2"/>
  <c r="J585" i="2" s="1"/>
  <c r="C555" i="2"/>
  <c r="H555" i="2" s="1"/>
  <c r="C530" i="2"/>
  <c r="H530" i="2" s="1"/>
  <c r="C506" i="2"/>
  <c r="J506" i="2" s="1"/>
  <c r="C478" i="2"/>
  <c r="H478" i="2" s="1"/>
  <c r="C454" i="2"/>
  <c r="H454" i="2" s="1"/>
  <c r="C430" i="2"/>
  <c r="H430" i="2" s="1"/>
  <c r="C406" i="2"/>
  <c r="J406" i="2" s="1"/>
  <c r="C378" i="2"/>
  <c r="H378" i="2" s="1"/>
  <c r="C354" i="2"/>
  <c r="C330" i="2"/>
  <c r="C306" i="2"/>
  <c r="H306" i="2" s="1"/>
  <c r="C278" i="2"/>
  <c r="H278" i="2" s="1"/>
  <c r="C254" i="2"/>
  <c r="H254" i="2" s="1"/>
  <c r="C230" i="2"/>
  <c r="J230" i="2" s="1"/>
  <c r="C206" i="2"/>
  <c r="H206" i="2" s="1"/>
  <c r="C178" i="2"/>
  <c r="H178" i="2" s="1"/>
  <c r="C154" i="2"/>
  <c r="H154" i="2" s="1"/>
  <c r="C130" i="2"/>
  <c r="H130" i="2" s="1"/>
  <c r="C106" i="2"/>
  <c r="J106" i="2" s="1"/>
  <c r="C78" i="2"/>
  <c r="H78" i="2" s="1"/>
  <c r="C953" i="2"/>
  <c r="H953" i="2" s="1"/>
  <c r="C848" i="2"/>
  <c r="J848" i="2" s="1"/>
  <c r="C743" i="2"/>
  <c r="H743" i="2" s="1"/>
  <c r="C608" i="2"/>
  <c r="H608" i="2" s="1"/>
  <c r="C504" i="2"/>
  <c r="H504" i="2" s="1"/>
  <c r="C404" i="2"/>
  <c r="H404" i="2" s="1"/>
  <c r="C304" i="2"/>
  <c r="H304" i="2" s="1"/>
  <c r="C176" i="2"/>
  <c r="H176" i="2" s="1"/>
  <c r="C76" i="2"/>
  <c r="C103" i="2"/>
  <c r="C896" i="2"/>
  <c r="H896" i="2" s="1"/>
  <c r="C576" i="2"/>
  <c r="H576" i="2" s="1"/>
  <c r="C474" i="2"/>
  <c r="H474" i="2" s="1"/>
  <c r="C374" i="2"/>
  <c r="H374" i="2" s="1"/>
  <c r="C226" i="2"/>
  <c r="J226" i="2" s="1"/>
  <c r="C98" i="2"/>
  <c r="H98" i="2" s="1"/>
  <c r="C950" i="2"/>
  <c r="H950" i="2" s="1"/>
  <c r="C685" i="2"/>
  <c r="H685" i="2" s="1"/>
  <c r="C550" i="2"/>
  <c r="H550" i="2" s="1"/>
  <c r="C449" i="2"/>
  <c r="H449" i="2" s="1"/>
  <c r="C349" i="2"/>
  <c r="J349" i="2" s="1"/>
  <c r="C249" i="2"/>
  <c r="H249" i="2" s="1"/>
  <c r="C49" i="2"/>
  <c r="J49" i="2" s="1"/>
  <c r="C894" i="2"/>
  <c r="H894" i="2" s="1"/>
  <c r="C844" i="2"/>
  <c r="H844" i="2" s="1"/>
  <c r="C764" i="2"/>
  <c r="H764" i="2" s="1"/>
  <c r="C684" i="2"/>
  <c r="H684" i="2" s="1"/>
  <c r="C574" i="2"/>
  <c r="H574" i="2" s="1"/>
  <c r="C496" i="2"/>
  <c r="C396" i="2"/>
  <c r="C296" i="2"/>
  <c r="H296" i="2" s="1"/>
  <c r="C172" i="2"/>
  <c r="H172" i="2" s="1"/>
  <c r="C954" i="2"/>
  <c r="H954" i="2" s="1"/>
  <c r="C929" i="2"/>
  <c r="J929" i="2" s="1"/>
  <c r="C904" i="2"/>
  <c r="H904" i="2" s="1"/>
  <c r="C874" i="2"/>
  <c r="H874" i="2" s="1"/>
  <c r="C849" i="2"/>
  <c r="J849" i="2" s="1"/>
  <c r="C824" i="2"/>
  <c r="H824" i="2" s="1"/>
  <c r="C794" i="2"/>
  <c r="H794" i="2" s="1"/>
  <c r="C769" i="2"/>
  <c r="H769" i="2" s="1"/>
  <c r="C744" i="2"/>
  <c r="H744" i="2" s="1"/>
  <c r="C714" i="2"/>
  <c r="H714" i="2" s="1"/>
  <c r="C689" i="2"/>
  <c r="H689" i="2" s="1"/>
  <c r="C664" i="2"/>
  <c r="H664" i="2" s="1"/>
  <c r="C634" i="2"/>
  <c r="H634" i="2" s="1"/>
  <c r="C609" i="2"/>
  <c r="H609" i="2" s="1"/>
  <c r="C584" i="2"/>
  <c r="H584" i="2" s="1"/>
  <c r="C554" i="2"/>
  <c r="H554" i="2" s="1"/>
  <c r="C529" i="2"/>
  <c r="C505" i="2"/>
  <c r="C477" i="2"/>
  <c r="H477" i="2" s="1"/>
  <c r="C453" i="2"/>
  <c r="H453" i="2" s="1"/>
  <c r="C429" i="2"/>
  <c r="H429" i="2" s="1"/>
  <c r="C405" i="2"/>
  <c r="J405" i="2" s="1"/>
  <c r="C377" i="2"/>
  <c r="H377" i="2" s="1"/>
  <c r="C353" i="2"/>
  <c r="H353" i="2" s="1"/>
  <c r="C329" i="2"/>
  <c r="H329" i="2" s="1"/>
  <c r="C305" i="2"/>
  <c r="J305" i="2" s="1"/>
  <c r="C277" i="2"/>
  <c r="H277" i="2" s="1"/>
  <c r="C253" i="2"/>
  <c r="H253" i="2" s="1"/>
  <c r="C229" i="2"/>
  <c r="J229" i="2" s="1"/>
  <c r="C205" i="2"/>
  <c r="H205" i="2" s="1"/>
  <c r="C177" i="2"/>
  <c r="H177" i="2" s="1"/>
  <c r="C153" i="2"/>
  <c r="J153" i="2" s="1"/>
  <c r="C129" i="2"/>
  <c r="H129" i="2" s="1"/>
  <c r="C105" i="2"/>
  <c r="H105" i="2" s="1"/>
  <c r="C77" i="2"/>
  <c r="H77" i="2" s="1"/>
  <c r="C29" i="2"/>
  <c r="J29" i="2" s="1"/>
  <c r="C873" i="2"/>
  <c r="C793" i="2"/>
  <c r="C663" i="2"/>
  <c r="H663" i="2" s="1"/>
  <c r="C553" i="2"/>
  <c r="H553" i="2" s="1"/>
  <c r="C452" i="2"/>
  <c r="H452" i="2" s="1"/>
  <c r="C352" i="2"/>
  <c r="H352" i="2" s="1"/>
  <c r="C276" i="2"/>
  <c r="H276" i="2" s="1"/>
  <c r="C204" i="2"/>
  <c r="H204" i="2" s="1"/>
  <c r="C104" i="2"/>
  <c r="H104" i="2" s="1"/>
  <c r="C4" i="2"/>
  <c r="H4" i="2" s="1"/>
  <c r="C897" i="2"/>
  <c r="H897" i="2" s="1"/>
  <c r="C817" i="2"/>
  <c r="H817" i="2" s="1"/>
  <c r="C737" i="2"/>
  <c r="H737" i="2" s="1"/>
  <c r="C657" i="2"/>
  <c r="H657" i="2" s="1"/>
  <c r="C577" i="2"/>
  <c r="H577" i="2" s="1"/>
  <c r="C503" i="2"/>
  <c r="H503" i="2" s="1"/>
  <c r="C427" i="2"/>
  <c r="H427" i="2" s="1"/>
  <c r="C327" i="2"/>
  <c r="H327" i="2" s="1"/>
  <c r="C203" i="2"/>
  <c r="J203" i="2" s="1"/>
  <c r="C75" i="2"/>
  <c r="J75" i="2" s="1"/>
  <c r="C3" i="2"/>
  <c r="J3" i="2" s="1"/>
  <c r="C926" i="2"/>
  <c r="C846" i="2"/>
  <c r="H846" i="2" s="1"/>
  <c r="C791" i="2"/>
  <c r="H791" i="2" s="1"/>
  <c r="C736" i="2"/>
  <c r="H736" i="2" s="1"/>
  <c r="C686" i="2"/>
  <c r="J686" i="2" s="1"/>
  <c r="C631" i="2"/>
  <c r="H631" i="2" s="1"/>
  <c r="C551" i="2"/>
  <c r="H551" i="2" s="1"/>
  <c r="C498" i="2"/>
  <c r="H498" i="2" s="1"/>
  <c r="C398" i="2"/>
  <c r="H398" i="2" s="1"/>
  <c r="C326" i="2"/>
  <c r="H326" i="2" s="1"/>
  <c r="C250" i="2"/>
  <c r="H250" i="2" s="1"/>
  <c r="C174" i="2"/>
  <c r="H174" i="2" s="1"/>
  <c r="C74" i="2"/>
  <c r="H74" i="2" s="1"/>
  <c r="C73" i="2"/>
  <c r="H73" i="2" s="1"/>
  <c r="C869" i="2"/>
  <c r="H869" i="2" s="1"/>
  <c r="C472" i="2"/>
  <c r="H472" i="2" s="1"/>
  <c r="C272" i="2"/>
  <c r="H272" i="2" s="1"/>
  <c r="C871" i="2"/>
  <c r="H871" i="2" s="1"/>
  <c r="C426" i="2"/>
  <c r="H426" i="2" s="1"/>
  <c r="C274" i="2"/>
  <c r="C150" i="2"/>
  <c r="C50" i="2"/>
  <c r="H50" i="2" s="1"/>
  <c r="C925" i="2"/>
  <c r="H925" i="2" s="1"/>
  <c r="C870" i="2"/>
  <c r="H870" i="2" s="1"/>
  <c r="C845" i="2"/>
  <c r="H845" i="2" s="1"/>
  <c r="C815" i="2"/>
  <c r="J815" i="2" s="1"/>
  <c r="C790" i="2"/>
  <c r="H790" i="2" s="1"/>
  <c r="C765" i="2"/>
  <c r="H765" i="2" s="1"/>
  <c r="C735" i="2"/>
  <c r="H735" i="2" s="1"/>
  <c r="C710" i="2"/>
  <c r="H710" i="2" s="1"/>
  <c r="C655" i="2"/>
  <c r="J655" i="2" s="1"/>
  <c r="C605" i="2"/>
  <c r="H605" i="2" s="1"/>
  <c r="C575" i="2"/>
  <c r="J575" i="2" s="1"/>
  <c r="C497" i="2"/>
  <c r="H497" i="2" s="1"/>
  <c r="C473" i="2"/>
  <c r="H473" i="2" s="1"/>
  <c r="C425" i="2"/>
  <c r="H425" i="2" s="1"/>
  <c r="C373" i="2"/>
  <c r="H373" i="2" s="1"/>
  <c r="C273" i="2"/>
  <c r="J273" i="2" s="1"/>
  <c r="C225" i="2"/>
  <c r="H225" i="2" s="1"/>
  <c r="C173" i="2"/>
  <c r="C97" i="2"/>
  <c r="C25" i="2"/>
  <c r="J25" i="2" s="1"/>
  <c r="C604" i="2"/>
  <c r="H604" i="2" s="1"/>
  <c r="C372" i="2"/>
  <c r="H372" i="2" s="1"/>
  <c r="C196" i="2"/>
  <c r="H196" i="2" s="1"/>
  <c r="C947" i="2"/>
  <c r="H947" i="2" s="1"/>
  <c r="C908" i="2"/>
  <c r="C855" i="2"/>
  <c r="H855" i="2" s="1"/>
  <c r="C807" i="2"/>
  <c r="H807" i="2" s="1"/>
  <c r="C754" i="2"/>
  <c r="H754" i="2" s="1"/>
  <c r="C706" i="2"/>
  <c r="J706" i="2" s="1"/>
  <c r="C653" i="2"/>
  <c r="H653" i="2" s="1"/>
  <c r="C614" i="2"/>
  <c r="H614" i="2" s="1"/>
  <c r="C566" i="2"/>
  <c r="H566" i="2" s="1"/>
  <c r="C514" i="2"/>
  <c r="H514" i="2" s="1"/>
  <c r="C468" i="2"/>
  <c r="H468" i="2" s="1"/>
  <c r="C418" i="2"/>
  <c r="H418" i="2" s="1"/>
  <c r="C385" i="2"/>
  <c r="J385" i="2" s="1"/>
  <c r="C335" i="2"/>
  <c r="J335" i="2" s="1"/>
  <c r="C289" i="2"/>
  <c r="H289" i="2" s="1"/>
  <c r="C243" i="2"/>
  <c r="J243" i="2" s="1"/>
  <c r="C193" i="2"/>
  <c r="H193" i="2" s="1"/>
  <c r="C148" i="2"/>
  <c r="H148" i="2" s="1"/>
  <c r="C112" i="2"/>
  <c r="H112" i="2" s="1"/>
  <c r="C68" i="2"/>
  <c r="J68" i="2" s="1"/>
  <c r="C24" i="2"/>
  <c r="H24" i="2" s="1"/>
  <c r="C889" i="2"/>
  <c r="J889" i="2" s="1"/>
  <c r="C595" i="2"/>
  <c r="H595" i="2" s="1"/>
  <c r="C367" i="2"/>
  <c r="H367" i="2" s="1"/>
  <c r="C63" i="2"/>
  <c r="J63" i="2" s="1"/>
  <c r="C787" i="2"/>
  <c r="H787" i="2" s="1"/>
  <c r="C647" i="2"/>
  <c r="H647" i="2" s="1"/>
  <c r="C366" i="2"/>
  <c r="H366" i="2" s="1"/>
  <c r="C58" i="2"/>
  <c r="J58" i="2" s="1"/>
  <c r="C887" i="2"/>
  <c r="J887" i="2" s="1"/>
  <c r="C411" i="2"/>
  <c r="H411" i="2" s="1"/>
  <c r="C93" i="2"/>
  <c r="H93" i="2" s="1"/>
  <c r="C833" i="2"/>
  <c r="H833" i="2" s="1"/>
  <c r="C693" i="2"/>
  <c r="H693" i="2" s="1"/>
  <c r="C493" i="2"/>
  <c r="C314" i="2"/>
  <c r="H314" i="2" s="1"/>
  <c r="C185" i="2"/>
  <c r="H185" i="2" s="1"/>
  <c r="C776" i="2"/>
  <c r="H776" i="2" s="1"/>
  <c r="C535" i="2"/>
  <c r="H535" i="2" s="1"/>
  <c r="C347" i="2"/>
  <c r="H347" i="2" s="1"/>
  <c r="C124" i="2"/>
  <c r="H124" i="2" s="1"/>
  <c r="C867" i="2"/>
  <c r="H867" i="2" s="1"/>
  <c r="C392" i="2"/>
  <c r="H392" i="2" s="1"/>
  <c r="C123" i="2"/>
  <c r="H123" i="2" s="1"/>
  <c r="C866" i="2"/>
  <c r="H866" i="2" s="1"/>
  <c r="C625" i="2"/>
  <c r="H625" i="2" s="1"/>
  <c r="C295" i="2"/>
  <c r="H295" i="2" s="1"/>
  <c r="C946" i="2"/>
  <c r="J946" i="2" s="1"/>
  <c r="C893" i="2"/>
  <c r="H893" i="2" s="1"/>
  <c r="C854" i="2"/>
  <c r="H854" i="2" s="1"/>
  <c r="C806" i="2"/>
  <c r="J806" i="2" s="1"/>
  <c r="C753" i="2"/>
  <c r="H753" i="2" s="1"/>
  <c r="C705" i="2"/>
  <c r="J705" i="2" s="1"/>
  <c r="C652" i="2"/>
  <c r="H652" i="2" s="1"/>
  <c r="C613" i="2"/>
  <c r="C565" i="2"/>
  <c r="C513" i="2"/>
  <c r="H513" i="2" s="1"/>
  <c r="C467" i="2"/>
  <c r="H467" i="2" s="1"/>
  <c r="C417" i="2"/>
  <c r="H417" i="2" s="1"/>
  <c r="C371" i="2"/>
  <c r="H371" i="2" s="1"/>
  <c r="C334" i="2"/>
  <c r="H334" i="2" s="1"/>
  <c r="C288" i="2"/>
  <c r="H288" i="2" s="1"/>
  <c r="C238" i="2"/>
  <c r="H238" i="2" s="1"/>
  <c r="C192" i="2"/>
  <c r="H192" i="2" s="1"/>
  <c r="C147" i="2"/>
  <c r="J147" i="2" s="1"/>
  <c r="C111" i="2"/>
  <c r="H111" i="2" s="1"/>
  <c r="C67" i="2"/>
  <c r="J67" i="2" s="1"/>
  <c r="C23" i="2"/>
  <c r="H23" i="2" s="1"/>
  <c r="C937" i="2"/>
  <c r="H937" i="2" s="1"/>
  <c r="C509" i="2"/>
  <c r="H509" i="2" s="1"/>
  <c r="C271" i="2"/>
  <c r="H271" i="2" s="1"/>
  <c r="C936" i="2"/>
  <c r="H936" i="2" s="1"/>
  <c r="C495" i="2"/>
  <c r="J495" i="2" s="1"/>
  <c r="C138" i="2"/>
  <c r="H138" i="2" s="1"/>
  <c r="C834" i="2"/>
  <c r="C365" i="2"/>
  <c r="C57" i="2"/>
  <c r="J57" i="2" s="1"/>
  <c r="C785" i="2"/>
  <c r="J785" i="2" s="1"/>
  <c r="C732" i="2"/>
  <c r="H732" i="2" s="1"/>
  <c r="C544" i="2"/>
  <c r="H544" i="2" s="1"/>
  <c r="C410" i="2"/>
  <c r="H410" i="2" s="1"/>
  <c r="C218" i="2"/>
  <c r="H218" i="2" s="1"/>
  <c r="C12" i="2"/>
  <c r="H12" i="2" s="1"/>
  <c r="C885" i="2"/>
  <c r="H885" i="2" s="1"/>
  <c r="C644" i="2"/>
  <c r="J644" i="2" s="1"/>
  <c r="C446" i="2"/>
  <c r="H446" i="2" s="1"/>
  <c r="C267" i="2"/>
  <c r="J267" i="2" s="1"/>
  <c r="C91" i="2"/>
  <c r="H91" i="2" s="1"/>
  <c r="C923" i="2"/>
  <c r="H923" i="2" s="1"/>
  <c r="C643" i="2"/>
  <c r="H643" i="2" s="1"/>
  <c r="C395" i="2"/>
  <c r="H395" i="2" s="1"/>
  <c r="C170" i="2"/>
  <c r="H170" i="2" s="1"/>
  <c r="C10" i="2"/>
  <c r="J10" i="2" s="1"/>
  <c r="C830" i="2"/>
  <c r="H830" i="2" s="1"/>
  <c r="C729" i="2"/>
  <c r="C589" i="2"/>
  <c r="C444" i="2"/>
  <c r="H444" i="2" s="1"/>
  <c r="C311" i="2"/>
  <c r="H311" i="2" s="1"/>
  <c r="C215" i="2"/>
  <c r="H215" i="2" s="1"/>
  <c r="C89" i="2"/>
  <c r="H89" i="2" s="1"/>
  <c r="C916" i="2"/>
  <c r="H916" i="2" s="1"/>
  <c r="C627" i="2"/>
  <c r="J627" i="2" s="1"/>
  <c r="C393" i="2"/>
  <c r="H393" i="2" s="1"/>
  <c r="C168" i="2"/>
  <c r="H168" i="2" s="1"/>
  <c r="C828" i="2"/>
  <c r="H828" i="2" s="1"/>
  <c r="C438" i="2"/>
  <c r="H438" i="2" s="1"/>
  <c r="C167" i="2"/>
  <c r="H167" i="2" s="1"/>
  <c r="C914" i="2"/>
  <c r="H914" i="2" s="1"/>
  <c r="C533" i="2"/>
  <c r="H533" i="2" s="1"/>
  <c r="C258" i="2"/>
  <c r="H258" i="2" s="1"/>
  <c r="C38" i="2"/>
  <c r="J38" i="2" s="1"/>
  <c r="C812" i="2"/>
  <c r="J812" i="2" s="1"/>
  <c r="C523" i="2"/>
  <c r="H523" i="2" s="1"/>
  <c r="C257" i="2"/>
  <c r="H257" i="2" s="1"/>
  <c r="C945" i="2"/>
  <c r="C892" i="2"/>
  <c r="C853" i="2"/>
  <c r="H853" i="2" s="1"/>
  <c r="C805" i="2"/>
  <c r="H805" i="2" s="1"/>
  <c r="C752" i="2"/>
  <c r="H752" i="2" s="1"/>
  <c r="C704" i="2"/>
  <c r="H704" i="2" s="1"/>
  <c r="C651" i="2"/>
  <c r="H651" i="2" s="1"/>
  <c r="C603" i="2"/>
  <c r="H603" i="2" s="1"/>
  <c r="C564" i="2"/>
  <c r="H564" i="2" s="1"/>
  <c r="C512" i="2"/>
  <c r="H512" i="2" s="1"/>
  <c r="C466" i="2"/>
  <c r="J466" i="2" s="1"/>
  <c r="C416" i="2"/>
  <c r="H416" i="2" s="1"/>
  <c r="C370" i="2"/>
  <c r="H370" i="2" s="1"/>
  <c r="C333" i="2"/>
  <c r="J333" i="2" s="1"/>
  <c r="C287" i="2"/>
  <c r="H287" i="2" s="1"/>
  <c r="C237" i="2"/>
  <c r="H237" i="2" s="1"/>
  <c r="C191" i="2"/>
  <c r="H191" i="2" s="1"/>
  <c r="C146" i="2"/>
  <c r="H146" i="2" s="1"/>
  <c r="C110" i="2"/>
  <c r="H110" i="2" s="1"/>
  <c r="C66" i="2"/>
  <c r="H66" i="2" s="1"/>
  <c r="C18" i="2"/>
  <c r="C547" i="2"/>
  <c r="C234" i="2"/>
  <c r="H234" i="2" s="1"/>
  <c r="C835" i="2"/>
  <c r="J835" i="2" s="1"/>
  <c r="C695" i="2"/>
  <c r="H695" i="2" s="1"/>
  <c r="C458" i="2"/>
  <c r="J458" i="2" s="1"/>
  <c r="C233" i="2"/>
  <c r="J233" i="2" s="1"/>
  <c r="C935" i="2"/>
  <c r="H935" i="2" s="1"/>
  <c r="C545" i="2"/>
  <c r="H545" i="2" s="1"/>
  <c r="C186" i="2"/>
  <c r="J186" i="2" s="1"/>
  <c r="C886" i="2"/>
  <c r="H886" i="2" s="1"/>
  <c r="C592" i="2"/>
  <c r="H592" i="2" s="1"/>
  <c r="C364" i="2"/>
  <c r="J364" i="2" s="1"/>
  <c r="C136" i="2"/>
  <c r="H136" i="2" s="1"/>
  <c r="C933" i="2"/>
  <c r="H933" i="2" s="1"/>
  <c r="C731" i="2"/>
  <c r="H731" i="2" s="1"/>
  <c r="C492" i="2"/>
  <c r="H492" i="2" s="1"/>
  <c r="C313" i="2"/>
  <c r="H313" i="2" s="1"/>
  <c r="C135" i="2"/>
  <c r="H135" i="2" s="1"/>
  <c r="C884" i="2"/>
  <c r="H884" i="2" s="1"/>
  <c r="C730" i="2"/>
  <c r="H730" i="2" s="1"/>
  <c r="C537" i="2"/>
  <c r="C358" i="2"/>
  <c r="H358" i="2" s="1"/>
  <c r="C216" i="2"/>
  <c r="H216" i="2" s="1"/>
  <c r="C46" i="2"/>
  <c r="H46" i="2" s="1"/>
  <c r="C883" i="2"/>
  <c r="J883" i="2" s="1"/>
  <c r="C676" i="2"/>
  <c r="H676" i="2" s="1"/>
  <c r="C490" i="2"/>
  <c r="H490" i="2" s="1"/>
  <c r="C265" i="2"/>
  <c r="H265" i="2" s="1"/>
  <c r="C9" i="2"/>
  <c r="H9" i="2" s="1"/>
  <c r="C829" i="2"/>
  <c r="H829" i="2" s="1"/>
  <c r="C675" i="2"/>
  <c r="J675" i="2" s="1"/>
  <c r="C443" i="2"/>
  <c r="H443" i="2" s="1"/>
  <c r="C214" i="2"/>
  <c r="H214" i="2" s="1"/>
  <c r="C44" i="2"/>
  <c r="H44" i="2" s="1"/>
  <c r="C775" i="2"/>
  <c r="H775" i="2" s="1"/>
  <c r="C534" i="2"/>
  <c r="H534" i="2" s="1"/>
  <c r="C213" i="2"/>
  <c r="H213" i="2" s="1"/>
  <c r="C774" i="2"/>
  <c r="H774" i="2" s="1"/>
  <c r="C673" i="2"/>
  <c r="H673" i="2" s="1"/>
  <c r="C487" i="2"/>
  <c r="C391" i="2"/>
  <c r="C166" i="2"/>
  <c r="J166" i="2" s="1"/>
  <c r="C913" i="2"/>
  <c r="H913" i="2" s="1"/>
  <c r="C390" i="2"/>
  <c r="H390" i="2" s="1"/>
  <c r="C944" i="2"/>
  <c r="H944" i="2" s="1"/>
  <c r="C891" i="2"/>
  <c r="H891" i="2" s="1"/>
  <c r="C843" i="2"/>
  <c r="H843" i="2" s="1"/>
  <c r="C804" i="2"/>
  <c r="H804" i="2" s="1"/>
  <c r="C751" i="2"/>
  <c r="H751" i="2" s="1"/>
  <c r="C703" i="2"/>
  <c r="H703" i="2" s="1"/>
  <c r="C650" i="2"/>
  <c r="H650" i="2" s="1"/>
  <c r="C597" i="2"/>
  <c r="H597" i="2" s="1"/>
  <c r="C563" i="2"/>
  <c r="J563" i="2" s="1"/>
  <c r="C511" i="2"/>
  <c r="J511" i="2" s="1"/>
  <c r="C465" i="2"/>
  <c r="H465" i="2" s="1"/>
  <c r="C415" i="2"/>
  <c r="H415" i="2" s="1"/>
  <c r="C369" i="2"/>
  <c r="H369" i="2" s="1"/>
  <c r="C323" i="2"/>
  <c r="J323" i="2" s="1"/>
  <c r="C286" i="2"/>
  <c r="H286" i="2" s="1"/>
  <c r="C236" i="2"/>
  <c r="C190" i="2"/>
  <c r="C145" i="2"/>
  <c r="H145" i="2" s="1"/>
  <c r="C109" i="2"/>
  <c r="J109" i="2" s="1"/>
  <c r="C65" i="2"/>
  <c r="J65" i="2" s="1"/>
  <c r="C17" i="2"/>
  <c r="H17" i="2" s="1"/>
  <c r="C16" i="2"/>
  <c r="H16" i="2" s="1"/>
  <c r="C836" i="2"/>
  <c r="H836" i="2" s="1"/>
  <c r="C696" i="2"/>
  <c r="H696" i="2" s="1"/>
  <c r="C463" i="2"/>
  <c r="J463" i="2" s="1"/>
  <c r="C143" i="2"/>
  <c r="J143" i="2" s="1"/>
  <c r="C888" i="2"/>
  <c r="J888" i="2" s="1"/>
  <c r="C594" i="2"/>
  <c r="H594" i="2" s="1"/>
  <c r="C316" i="2"/>
  <c r="H316" i="2" s="1"/>
  <c r="C14" i="2"/>
  <c r="H14" i="2" s="1"/>
  <c r="C786" i="2"/>
  <c r="J786" i="2" s="1"/>
  <c r="C494" i="2"/>
  <c r="H494" i="2" s="1"/>
  <c r="C223" i="2"/>
  <c r="J223" i="2" s="1"/>
  <c r="C934" i="2"/>
  <c r="H934" i="2" s="1"/>
  <c r="C645" i="2"/>
  <c r="J645" i="2" s="1"/>
  <c r="C447" i="2"/>
  <c r="C268" i="2"/>
  <c r="C48" i="2"/>
  <c r="H48" i="2" s="1"/>
  <c r="C832" i="2"/>
  <c r="H832" i="2" s="1"/>
  <c r="C683" i="2"/>
  <c r="H683" i="2" s="1"/>
  <c r="C543" i="2"/>
  <c r="H543" i="2" s="1"/>
  <c r="C363" i="2"/>
  <c r="J363" i="2" s="1"/>
  <c r="C171" i="2"/>
  <c r="H171" i="2" s="1"/>
  <c r="C11" i="2"/>
  <c r="J11" i="2" s="1"/>
  <c r="C831" i="2"/>
  <c r="H831" i="2" s="1"/>
  <c r="C783" i="2"/>
  <c r="J783" i="2" s="1"/>
  <c r="C590" i="2"/>
  <c r="H590" i="2" s="1"/>
  <c r="C445" i="2"/>
  <c r="H445" i="2" s="1"/>
  <c r="C312" i="2"/>
  <c r="H312" i="2" s="1"/>
  <c r="C134" i="2"/>
  <c r="H134" i="2" s="1"/>
  <c r="C917" i="2"/>
  <c r="H917" i="2" s="1"/>
  <c r="C628" i="2"/>
  <c r="J628" i="2" s="1"/>
  <c r="C394" i="2"/>
  <c r="H394" i="2" s="1"/>
  <c r="C133" i="2"/>
  <c r="H133" i="2" s="1"/>
  <c r="C868" i="2"/>
  <c r="H868" i="2" s="1"/>
  <c r="C728" i="2"/>
  <c r="C489" i="2"/>
  <c r="C264" i="2"/>
  <c r="H264" i="2" s="1"/>
  <c r="C915" i="2"/>
  <c r="J915" i="2" s="1"/>
  <c r="C346" i="2"/>
  <c r="H346" i="2" s="1"/>
  <c r="C43" i="2"/>
  <c r="H43" i="2" s="1"/>
  <c r="C813" i="2"/>
  <c r="H813" i="2" s="1"/>
  <c r="C572" i="2"/>
  <c r="H572" i="2" s="1"/>
  <c r="C345" i="2"/>
  <c r="J345" i="2" s="1"/>
  <c r="C118" i="2"/>
  <c r="H118" i="2" s="1"/>
  <c r="C865" i="2"/>
  <c r="J865" i="2" s="1"/>
  <c r="C486" i="2"/>
  <c r="J486" i="2" s="1"/>
  <c r="C943" i="2"/>
  <c r="J943" i="2" s="1"/>
  <c r="C890" i="2"/>
  <c r="H890" i="2" s="1"/>
  <c r="C837" i="2"/>
  <c r="H837" i="2" s="1"/>
  <c r="C803" i="2"/>
  <c r="J803" i="2" s="1"/>
  <c r="C750" i="2"/>
  <c r="H750" i="2" s="1"/>
  <c r="C697" i="2"/>
  <c r="J697" i="2" s="1"/>
  <c r="C649" i="2"/>
  <c r="H649" i="2" s="1"/>
  <c r="C596" i="2"/>
  <c r="H596" i="2" s="1"/>
  <c r="C548" i="2"/>
  <c r="H548" i="2" s="1"/>
  <c r="C510" i="2"/>
  <c r="C464" i="2"/>
  <c r="H464" i="2" s="1"/>
  <c r="C414" i="2"/>
  <c r="H414" i="2" s="1"/>
  <c r="C368" i="2"/>
  <c r="J368" i="2" s="1"/>
  <c r="C318" i="2"/>
  <c r="H318" i="2" s="1"/>
  <c r="C285" i="2"/>
  <c r="J285" i="2" s="1"/>
  <c r="C235" i="2"/>
  <c r="J235" i="2" s="1"/>
  <c r="C189" i="2"/>
  <c r="H189" i="2" s="1"/>
  <c r="C144" i="2"/>
  <c r="H144" i="2" s="1"/>
  <c r="C96" i="2"/>
  <c r="H96" i="2" s="1"/>
  <c r="C64" i="2"/>
  <c r="H64" i="2" s="1"/>
  <c r="C788" i="2"/>
  <c r="H788" i="2" s="1"/>
  <c r="C749" i="2"/>
  <c r="J749" i="2" s="1"/>
  <c r="C648" i="2"/>
  <c r="H648" i="2" s="1"/>
  <c r="C413" i="2"/>
  <c r="H413" i="2" s="1"/>
  <c r="C317" i="2"/>
  <c r="H317" i="2" s="1"/>
  <c r="C188" i="2"/>
  <c r="J188" i="2" s="1"/>
  <c r="C95" i="2"/>
  <c r="H95" i="2" s="1"/>
  <c r="C15" i="2"/>
  <c r="H15" i="2" s="1"/>
  <c r="C748" i="2"/>
  <c r="C546" i="2"/>
  <c r="C412" i="2"/>
  <c r="H412" i="2" s="1"/>
  <c r="C270" i="2"/>
  <c r="H270" i="2" s="1"/>
  <c r="C187" i="2"/>
  <c r="J187" i="2" s="1"/>
  <c r="C94" i="2"/>
  <c r="H94" i="2" s="1"/>
  <c r="C733" i="2"/>
  <c r="H733" i="2" s="1"/>
  <c r="C694" i="2"/>
  <c r="H694" i="2" s="1"/>
  <c r="C646" i="2"/>
  <c r="H646" i="2" s="1"/>
  <c r="C593" i="2"/>
  <c r="H593" i="2" s="1"/>
  <c r="C457" i="2"/>
  <c r="H457" i="2" s="1"/>
  <c r="C315" i="2"/>
  <c r="H315" i="2" s="1"/>
  <c r="C269" i="2"/>
  <c r="H269" i="2" s="1"/>
  <c r="C137" i="2"/>
  <c r="H137" i="2" s="1"/>
  <c r="C13" i="2"/>
  <c r="H13" i="2" s="1"/>
  <c r="C92" i="2"/>
  <c r="H92" i="2" s="1"/>
  <c r="C784" i="2"/>
  <c r="H784" i="2" s="1"/>
  <c r="C591" i="2"/>
  <c r="H591" i="2" s="1"/>
  <c r="C409" i="2"/>
  <c r="J409" i="2" s="1"/>
  <c r="C217" i="2"/>
  <c r="H217" i="2" s="1"/>
  <c r="C47" i="2"/>
  <c r="C677" i="2"/>
  <c r="H677" i="2" s="1"/>
  <c r="C491" i="2"/>
  <c r="H491" i="2" s="1"/>
  <c r="C266" i="2"/>
  <c r="H266" i="2" s="1"/>
  <c r="C90" i="2"/>
  <c r="H90" i="2" s="1"/>
  <c r="C777" i="2"/>
  <c r="J777" i="2" s="1"/>
  <c r="C536" i="2"/>
  <c r="H536" i="2" s="1"/>
  <c r="C357" i="2"/>
  <c r="J357" i="2" s="1"/>
  <c r="C169" i="2"/>
  <c r="H169" i="2" s="1"/>
  <c r="C45" i="2"/>
  <c r="H45" i="2" s="1"/>
  <c r="C588" i="2"/>
  <c r="H588" i="2" s="1"/>
  <c r="C310" i="2"/>
  <c r="H310" i="2" s="1"/>
  <c r="C88" i="2"/>
  <c r="H88" i="2" s="1"/>
  <c r="C727" i="2"/>
  <c r="H727" i="2" s="1"/>
  <c r="C674" i="2"/>
  <c r="H674" i="2" s="1"/>
  <c r="C626" i="2"/>
  <c r="J626" i="2" s="1"/>
  <c r="C573" i="2"/>
  <c r="H573" i="2" s="1"/>
  <c r="C488" i="2"/>
  <c r="H488" i="2" s="1"/>
  <c r="C309" i="2"/>
  <c r="H309" i="2" s="1"/>
  <c r="C263" i="2"/>
  <c r="C87" i="2"/>
  <c r="H87" i="2" s="1"/>
  <c r="C967" i="2"/>
  <c r="H967" i="2" s="1"/>
  <c r="C726" i="2"/>
  <c r="J726" i="2" s="1"/>
  <c r="C437" i="2"/>
  <c r="J437" i="2" s="1"/>
  <c r="C212" i="2"/>
  <c r="H212" i="2" s="1"/>
  <c r="C86" i="2"/>
  <c r="J86" i="2" s="1"/>
  <c r="C966" i="2"/>
  <c r="H966" i="2" s="1"/>
  <c r="C773" i="2"/>
  <c r="H773" i="2" s="1"/>
  <c r="C725" i="2"/>
  <c r="H725" i="2" s="1"/>
  <c r="C672" i="2"/>
  <c r="H672" i="2" s="1"/>
  <c r="C624" i="2"/>
  <c r="H624" i="2" s="1"/>
  <c r="C571" i="2"/>
  <c r="H571" i="2" s="1"/>
  <c r="C436" i="2"/>
  <c r="H436" i="2" s="1"/>
  <c r="C344" i="2"/>
  <c r="H344" i="2" s="1"/>
  <c r="C294" i="2"/>
  <c r="H294" i="2" s="1"/>
  <c r="C211" i="2"/>
  <c r="H211" i="2" s="1"/>
  <c r="C116" i="2"/>
  <c r="H116" i="2" s="1"/>
  <c r="C337" i="2"/>
  <c r="H337" i="2" s="1"/>
  <c r="C568" i="2"/>
  <c r="J568" i="2" s="1"/>
  <c r="C809" i="2"/>
  <c r="C117" i="2"/>
  <c r="C338" i="2"/>
  <c r="H338" i="2" s="1"/>
  <c r="C569" i="2"/>
  <c r="J569" i="2" s="1"/>
  <c r="C810" i="2"/>
  <c r="H810" i="2" s="1"/>
  <c r="C157" i="2"/>
  <c r="H157" i="2" s="1"/>
  <c r="C570" i="2"/>
  <c r="H570" i="2" s="1"/>
  <c r="C158" i="2"/>
  <c r="H158" i="2" s="1"/>
  <c r="C856" i="2"/>
  <c r="H856" i="2" s="1"/>
  <c r="C165" i="2"/>
  <c r="H165" i="2" s="1"/>
  <c r="C389" i="2"/>
  <c r="H389" i="2" s="1"/>
  <c r="C623" i="2"/>
  <c r="J623" i="2" s="1"/>
  <c r="C864" i="2"/>
  <c r="H864" i="2" s="1"/>
  <c r="C910" i="2"/>
  <c r="H910" i="2" s="1"/>
  <c r="C434" i="2"/>
  <c r="H434" i="2" s="1"/>
  <c r="C671" i="2"/>
  <c r="H671" i="2" s="1"/>
  <c r="C469" i="2"/>
  <c r="H469" i="2" s="1"/>
  <c r="C245" i="2"/>
  <c r="H245" i="2" s="1"/>
  <c r="C70" i="2"/>
  <c r="H70" i="2" s="1"/>
  <c r="C71" i="2"/>
  <c r="H71" i="2" s="1"/>
  <c r="C965" i="2"/>
  <c r="H965" i="2" s="1"/>
  <c r="C290" i="2"/>
  <c r="C85" i="2"/>
  <c r="J85" i="2" s="1"/>
  <c r="C516" i="2"/>
  <c r="H516" i="2" s="1"/>
  <c r="C517" i="2"/>
  <c r="H517" i="2" s="1"/>
  <c r="C114" i="2"/>
  <c r="H114" i="2" s="1"/>
  <c r="C518" i="2"/>
  <c r="H518" i="2" s="1"/>
  <c r="C567" i="2"/>
  <c r="H567" i="2" s="1"/>
  <c r="C615" i="2"/>
  <c r="H615" i="2" s="1"/>
  <c r="C33" i="2"/>
  <c r="H33" i="2" s="1"/>
  <c r="C194" i="2"/>
  <c r="H194" i="2" s="1"/>
  <c r="C423" i="2"/>
  <c r="J423" i="2" s="1"/>
  <c r="C668" i="2"/>
  <c r="J668" i="2" s="1"/>
  <c r="C909" i="2"/>
  <c r="H909" i="2" s="1"/>
  <c r="C39" i="2"/>
  <c r="H39" i="2" s="1"/>
  <c r="C99" i="2"/>
  <c r="H99" i="2" s="1"/>
  <c r="C159" i="2"/>
  <c r="H159" i="2" s="1"/>
  <c r="C239" i="2"/>
  <c r="H239" i="2" s="1"/>
  <c r="C279" i="2"/>
  <c r="H279" i="2" s="1"/>
  <c r="C339" i="2"/>
  <c r="H339" i="2" s="1"/>
  <c r="C379" i="2"/>
  <c r="J379" i="2" s="1"/>
  <c r="C399" i="2"/>
  <c r="H399" i="2" s="1"/>
  <c r="C459" i="2"/>
  <c r="H459" i="2" s="1"/>
  <c r="C479" i="2"/>
  <c r="H479" i="2" s="1"/>
  <c r="C519" i="2"/>
  <c r="H519" i="2" s="1"/>
  <c r="C539" i="2"/>
  <c r="H539" i="2" s="1"/>
  <c r="C559" i="2"/>
  <c r="H559" i="2" s="1"/>
  <c r="C599" i="2"/>
  <c r="H599" i="2" s="1"/>
  <c r="C619" i="2"/>
  <c r="J619" i="2" s="1"/>
  <c r="C639" i="2"/>
  <c r="J639" i="2" s="1"/>
  <c r="C659" i="2"/>
  <c r="H659" i="2" s="1"/>
  <c r="C679" i="2"/>
  <c r="H679" i="2" s="1"/>
  <c r="C699" i="2"/>
  <c r="H699" i="2" s="1"/>
  <c r="C719" i="2"/>
  <c r="J719" i="2" s="1"/>
  <c r="C759" i="2"/>
  <c r="H759" i="2" s="1"/>
  <c r="C779" i="2"/>
  <c r="H779" i="2" s="1"/>
  <c r="C819" i="2"/>
  <c r="H819" i="2" s="1"/>
  <c r="C839" i="2"/>
  <c r="H839" i="2" s="1"/>
  <c r="C859" i="2"/>
  <c r="H859" i="2" s="1"/>
  <c r="C879" i="2"/>
  <c r="H879" i="2" s="1"/>
  <c r="C899" i="2"/>
  <c r="J899" i="2" s="1"/>
  <c r="C919" i="2"/>
  <c r="C939" i="2"/>
  <c r="H939" i="2" s="1"/>
  <c r="C959" i="2"/>
  <c r="H959" i="2" s="1"/>
  <c r="D2" i="1"/>
  <c r="D3" i="1" s="1"/>
  <c r="C20" i="2"/>
  <c r="H20" i="2" s="1"/>
  <c r="C40" i="2"/>
  <c r="H40" i="2" s="1"/>
  <c r="C60" i="2"/>
  <c r="J60" i="2" s="1"/>
  <c r="C80" i="2"/>
  <c r="H80" i="2" s="1"/>
  <c r="C100" i="2"/>
  <c r="H100" i="2" s="1"/>
  <c r="C120" i="2"/>
  <c r="H120" i="2" s="1"/>
  <c r="C140" i="2"/>
  <c r="J140" i="2" s="1"/>
  <c r="C160" i="2"/>
  <c r="H160" i="2" s="1"/>
  <c r="C180" i="2"/>
  <c r="H180" i="2" s="1"/>
  <c r="C200" i="2"/>
  <c r="H200" i="2" s="1"/>
  <c r="C220" i="2"/>
  <c r="J220" i="2" s="1"/>
  <c r="C240" i="2"/>
  <c r="H240" i="2" s="1"/>
  <c r="C260" i="2"/>
  <c r="H260" i="2" s="1"/>
  <c r="C280" i="2"/>
  <c r="H280" i="2" s="1"/>
  <c r="C300" i="2"/>
  <c r="J300" i="2" s="1"/>
  <c r="C320" i="2"/>
  <c r="H320" i="2" s="1"/>
  <c r="C340" i="2"/>
  <c r="H340" i="2" s="1"/>
  <c r="C360" i="2"/>
  <c r="H360" i="2" s="1"/>
  <c r="C380" i="2"/>
  <c r="J380" i="2" s="1"/>
  <c r="C400" i="2"/>
  <c r="H400" i="2" s="1"/>
  <c r="C420" i="2"/>
  <c r="H420" i="2" s="1"/>
  <c r="C440" i="2"/>
  <c r="H440" i="2" s="1"/>
  <c r="C460" i="2"/>
  <c r="J460" i="2" s="1"/>
  <c r="C480" i="2"/>
  <c r="H480" i="2" s="1"/>
  <c r="C500" i="2"/>
  <c r="J500" i="2" s="1"/>
  <c r="C520" i="2"/>
  <c r="H520" i="2" s="1"/>
  <c r="C540" i="2"/>
  <c r="J540" i="2" s="1"/>
  <c r="C560" i="2"/>
  <c r="H560" i="2" s="1"/>
  <c r="C580" i="2"/>
  <c r="J580" i="2" s="1"/>
  <c r="C600" i="2"/>
  <c r="H600" i="2" s="1"/>
  <c r="C620" i="2"/>
  <c r="J620" i="2" s="1"/>
  <c r="C640" i="2"/>
  <c r="J640" i="2" s="1"/>
  <c r="C660" i="2"/>
  <c r="H660" i="2" s="1"/>
  <c r="C680" i="2"/>
  <c r="H680" i="2" s="1"/>
  <c r="C700" i="2"/>
  <c r="H700" i="2" s="1"/>
  <c r="C720" i="2"/>
  <c r="J720" i="2" s="1"/>
  <c r="C740" i="2"/>
  <c r="C760" i="2"/>
  <c r="H760" i="2" s="1"/>
  <c r="C780" i="2"/>
  <c r="H780" i="2" s="1"/>
  <c r="C800" i="2"/>
  <c r="J800" i="2" s="1"/>
  <c r="C820" i="2"/>
  <c r="H820" i="2" s="1"/>
  <c r="C840" i="2"/>
  <c r="H840" i="2" s="1"/>
  <c r="C860" i="2"/>
  <c r="J860" i="2" s="1"/>
  <c r="C880" i="2"/>
  <c r="J880" i="2" s="1"/>
  <c r="C900" i="2"/>
  <c r="H900" i="2" s="1"/>
  <c r="C920" i="2"/>
  <c r="H920" i="2" s="1"/>
  <c r="C940" i="2"/>
  <c r="J940" i="2" s="1"/>
  <c r="C960" i="2"/>
  <c r="J960" i="2" s="1"/>
  <c r="C538" i="2"/>
  <c r="H538" i="2" s="1"/>
  <c r="C578" i="2"/>
  <c r="H578" i="2" s="1"/>
  <c r="C598" i="2"/>
  <c r="H598" i="2" s="1"/>
  <c r="C618" i="2"/>
  <c r="H618" i="2" s="1"/>
  <c r="C638" i="2"/>
  <c r="H638" i="2" s="1"/>
  <c r="C678" i="2"/>
  <c r="H678" i="2" s="1"/>
  <c r="C698" i="2"/>
  <c r="H698" i="2" s="1"/>
  <c r="C718" i="2"/>
  <c r="H718" i="2" s="1"/>
  <c r="C738" i="2"/>
  <c r="C758" i="2"/>
  <c r="H758" i="2" s="1"/>
  <c r="C778" i="2"/>
  <c r="H778" i="2" s="1"/>
  <c r="C818" i="2"/>
  <c r="H818" i="2" s="1"/>
  <c r="C838" i="2"/>
  <c r="J838" i="2" s="1"/>
  <c r="C858" i="2"/>
  <c r="H858" i="2" s="1"/>
  <c r="C878" i="2"/>
  <c r="H878" i="2" s="1"/>
  <c r="C898" i="2"/>
  <c r="H898" i="2" s="1"/>
  <c r="C918" i="2"/>
  <c r="J918" i="2" s="1"/>
  <c r="C938" i="2"/>
  <c r="H938" i="2" s="1"/>
  <c r="C958" i="2"/>
  <c r="H958" i="2" s="1"/>
  <c r="C59" i="2"/>
  <c r="J59" i="2" s="1"/>
  <c r="C119" i="2"/>
  <c r="H119" i="2" s="1"/>
  <c r="C179" i="2"/>
  <c r="H179" i="2" s="1"/>
  <c r="C219" i="2"/>
  <c r="J219" i="2" s="1"/>
  <c r="C259" i="2"/>
  <c r="H259" i="2" s="1"/>
  <c r="C319" i="2"/>
  <c r="H319" i="2" s="1"/>
  <c r="C359" i="2"/>
  <c r="H359" i="2" s="1"/>
  <c r="C419" i="2"/>
  <c r="H419" i="2" s="1"/>
  <c r="C499" i="2"/>
  <c r="J499" i="2" s="1"/>
  <c r="C579" i="2"/>
  <c r="H579" i="2" s="1"/>
  <c r="C739" i="2"/>
  <c r="H739" i="2" s="1"/>
  <c r="C21" i="2"/>
  <c r="J21" i="2" s="1"/>
  <c r="C41" i="2"/>
  <c r="H41" i="2" s="1"/>
  <c r="C61" i="2"/>
  <c r="J61" i="2" s="1"/>
  <c r="C81" i="2"/>
  <c r="J81" i="2" s="1"/>
  <c r="C101" i="2"/>
  <c r="H101" i="2" s="1"/>
  <c r="C121" i="2"/>
  <c r="H121" i="2" s="1"/>
  <c r="C141" i="2"/>
  <c r="J141" i="2" s="1"/>
  <c r="C161" i="2"/>
  <c r="J161" i="2" s="1"/>
  <c r="C181" i="2"/>
  <c r="H181" i="2" s="1"/>
  <c r="C201" i="2"/>
  <c r="H201" i="2" s="1"/>
  <c r="C221" i="2"/>
  <c r="J221" i="2" s="1"/>
  <c r="C241" i="2"/>
  <c r="J241" i="2" s="1"/>
  <c r="C261" i="2"/>
  <c r="J261" i="2" s="1"/>
  <c r="C281" i="2"/>
  <c r="H281" i="2" s="1"/>
  <c r="C301" i="2"/>
  <c r="H301" i="2" s="1"/>
  <c r="C321" i="2"/>
  <c r="J321" i="2" s="1"/>
  <c r="C341" i="2"/>
  <c r="H341" i="2" s="1"/>
  <c r="C361" i="2"/>
  <c r="H361" i="2" s="1"/>
  <c r="C381" i="2"/>
  <c r="J381" i="2" s="1"/>
  <c r="C401" i="2"/>
  <c r="H401" i="2" s="1"/>
  <c r="C421" i="2"/>
  <c r="H421" i="2" s="1"/>
  <c r="C441" i="2"/>
  <c r="H441" i="2" s="1"/>
  <c r="C461" i="2"/>
  <c r="H461" i="2" s="1"/>
  <c r="C481" i="2"/>
  <c r="H481" i="2" s="1"/>
  <c r="C501" i="2"/>
  <c r="J501" i="2" s="1"/>
  <c r="C521" i="2"/>
  <c r="H521" i="2" s="1"/>
  <c r="C541" i="2"/>
  <c r="H541" i="2" s="1"/>
  <c r="C561" i="2"/>
  <c r="H561" i="2" s="1"/>
  <c r="C581" i="2"/>
  <c r="J581" i="2" s="1"/>
  <c r="C601" i="2"/>
  <c r="H601" i="2" s="1"/>
  <c r="C621" i="2"/>
  <c r="H621" i="2" s="1"/>
  <c r="C641" i="2"/>
  <c r="H641" i="2" s="1"/>
  <c r="C661" i="2"/>
  <c r="H661" i="2" s="1"/>
  <c r="C681" i="2"/>
  <c r="H681" i="2" s="1"/>
  <c r="C701" i="2"/>
  <c r="H701" i="2" s="1"/>
  <c r="C721" i="2"/>
  <c r="J721" i="2" s="1"/>
  <c r="C741" i="2"/>
  <c r="H741" i="2" s="1"/>
  <c r="C761" i="2"/>
  <c r="H761" i="2" s="1"/>
  <c r="C781" i="2"/>
  <c r="J781" i="2" s="1"/>
  <c r="C801" i="2"/>
  <c r="J801" i="2" s="1"/>
  <c r="C821" i="2"/>
  <c r="H821" i="2" s="1"/>
  <c r="C841" i="2"/>
  <c r="H841" i="2" s="1"/>
  <c r="C861" i="2"/>
  <c r="J861" i="2" s="1"/>
  <c r="C881" i="2"/>
  <c r="J881" i="2" s="1"/>
  <c r="C901" i="2"/>
  <c r="J901" i="2" s="1"/>
  <c r="C921" i="2"/>
  <c r="H921" i="2" s="1"/>
  <c r="C941" i="2"/>
  <c r="H941" i="2" s="1"/>
  <c r="C961" i="2"/>
  <c r="J961" i="2" s="1"/>
  <c r="C558" i="2"/>
  <c r="H558" i="2" s="1"/>
  <c r="C658" i="2"/>
  <c r="H658" i="2" s="1"/>
  <c r="C798" i="2"/>
  <c r="H798" i="2" s="1"/>
  <c r="C19" i="2"/>
  <c r="J19" i="2" s="1"/>
  <c r="C79" i="2"/>
  <c r="J79" i="2" s="1"/>
  <c r="C139" i="2"/>
  <c r="H139" i="2" s="1"/>
  <c r="C199" i="2"/>
  <c r="H199" i="2" s="1"/>
  <c r="C299" i="2"/>
  <c r="H299" i="2" s="1"/>
  <c r="C439" i="2"/>
  <c r="J439" i="2" s="1"/>
  <c r="C799" i="2"/>
  <c r="H799" i="2" s="1"/>
  <c r="C2" i="2"/>
  <c r="H2" i="2" s="1"/>
  <c r="C22" i="2"/>
  <c r="H22" i="2" s="1"/>
  <c r="C42" i="2"/>
  <c r="H42" i="2" s="1"/>
  <c r="C62" i="2"/>
  <c r="J62" i="2" s="1"/>
  <c r="C82" i="2"/>
  <c r="J82" i="2" s="1"/>
  <c r="C102" i="2"/>
  <c r="H102" i="2" s="1"/>
  <c r="C122" i="2"/>
  <c r="H122" i="2" s="1"/>
  <c r="C142" i="2"/>
  <c r="J142" i="2" s="1"/>
  <c r="C162" i="2"/>
  <c r="J162" i="2" s="1"/>
  <c r="C182" i="2"/>
  <c r="H182" i="2" s="1"/>
  <c r="C202" i="2"/>
  <c r="H202" i="2" s="1"/>
  <c r="C222" i="2"/>
  <c r="J222" i="2" s="1"/>
  <c r="C242" i="2"/>
  <c r="J242" i="2" s="1"/>
  <c r="C262" i="2"/>
  <c r="J262" i="2" s="1"/>
  <c r="C282" i="2"/>
  <c r="H282" i="2" s="1"/>
  <c r="C302" i="2"/>
  <c r="H302" i="2" s="1"/>
  <c r="C322" i="2"/>
  <c r="H322" i="2" s="1"/>
  <c r="C342" i="2"/>
  <c r="H342" i="2" s="1"/>
  <c r="C362" i="2"/>
  <c r="H362" i="2" s="1"/>
  <c r="C382" i="2"/>
  <c r="J382" i="2" s="1"/>
  <c r="C402" i="2"/>
  <c r="C422" i="2"/>
  <c r="H422" i="2" s="1"/>
  <c r="C442" i="2"/>
  <c r="H442" i="2" s="1"/>
  <c r="C462" i="2"/>
  <c r="H462" i="2" s="1"/>
  <c r="C482" i="2"/>
  <c r="J482" i="2" s="1"/>
  <c r="C502" i="2"/>
  <c r="H502" i="2" s="1"/>
  <c r="C522" i="2"/>
  <c r="H522" i="2" s="1"/>
  <c r="C542" i="2"/>
  <c r="J542" i="2" s="1"/>
  <c r="C562" i="2"/>
  <c r="H562" i="2" s="1"/>
  <c r="C582" i="2"/>
  <c r="J582" i="2" s="1"/>
  <c r="C602" i="2"/>
  <c r="H602" i="2" s="1"/>
  <c r="C622" i="2"/>
  <c r="J622" i="2" s="1"/>
  <c r="C642" i="2"/>
  <c r="H642" i="2" s="1"/>
  <c r="C662" i="2"/>
  <c r="H662" i="2" s="1"/>
  <c r="C682" i="2"/>
  <c r="H682" i="2" s="1"/>
  <c r="C702" i="2"/>
  <c r="H702" i="2" s="1"/>
  <c r="C722" i="2"/>
  <c r="J722" i="2" s="1"/>
  <c r="C742" i="2"/>
  <c r="H742" i="2" s="1"/>
  <c r="C762" i="2"/>
  <c r="H762" i="2" s="1"/>
  <c r="C782" i="2"/>
  <c r="J782" i="2" s="1"/>
  <c r="C802" i="2"/>
  <c r="J802" i="2" s="1"/>
  <c r="C822" i="2"/>
  <c r="H822" i="2" s="1"/>
  <c r="C842" i="2"/>
  <c r="H842" i="2" s="1"/>
  <c r="C862" i="2"/>
  <c r="J862" i="2" s="1"/>
  <c r="C882" i="2"/>
  <c r="J882" i="2" s="1"/>
  <c r="C902" i="2"/>
  <c r="J902" i="2" s="1"/>
  <c r="C922" i="2"/>
  <c r="H922" i="2" s="1"/>
  <c r="C942" i="2"/>
  <c r="H942" i="2" s="1"/>
  <c r="H233" i="2"/>
  <c r="J52" i="2"/>
  <c r="J631" i="2"/>
  <c r="J715" i="2"/>
  <c r="H305" i="2"/>
  <c r="J566" i="2"/>
  <c r="H285" i="2"/>
  <c r="J608" i="2"/>
  <c r="J891" i="2"/>
  <c r="J288" i="2"/>
  <c r="H908" i="2"/>
  <c r="J908" i="2"/>
  <c r="F4" i="2"/>
  <c r="J643" i="2" l="1"/>
  <c r="H666" i="2"/>
  <c r="J755" i="2"/>
  <c r="J576" i="2"/>
  <c r="J516" i="2"/>
  <c r="J266" i="2"/>
  <c r="J663" i="2"/>
  <c r="H166" i="2"/>
  <c r="J913" i="2"/>
  <c r="J296" i="2"/>
  <c r="J491" i="2"/>
  <c r="J688" i="2"/>
  <c r="J306" i="2"/>
  <c r="J954" i="2"/>
  <c r="J683" i="2"/>
  <c r="J145" i="2"/>
  <c r="J535" i="2"/>
  <c r="J131" i="2"/>
  <c r="J371" i="2"/>
  <c r="J156" i="2"/>
  <c r="J36" i="2"/>
  <c r="J717" i="2"/>
  <c r="J376" i="2"/>
  <c r="P812" i="2"/>
  <c r="O812" i="2"/>
  <c r="L812" i="2"/>
  <c r="R812" i="2" s="1"/>
  <c r="N812" i="2"/>
  <c r="M812" i="2"/>
  <c r="J467" i="2"/>
  <c r="J776" i="2"/>
  <c r="D814" i="2"/>
  <c r="E813" i="2"/>
  <c r="H724" i="2"/>
  <c r="J358" i="2"/>
  <c r="J444" i="2"/>
  <c r="J185" i="2"/>
  <c r="R811" i="2"/>
  <c r="J434" i="2"/>
  <c r="J853" i="2"/>
  <c r="H85" i="2"/>
  <c r="J476" i="2"/>
  <c r="H707" i="2"/>
  <c r="J48" i="2"/>
  <c r="H57" i="2"/>
  <c r="J517" i="2"/>
  <c r="J276" i="2"/>
  <c r="J752" i="2"/>
  <c r="J944" i="2"/>
  <c r="H435" i="2"/>
  <c r="J682" i="2"/>
  <c r="J832" i="2"/>
  <c r="J695" i="2"/>
  <c r="J790" i="2"/>
  <c r="J676" i="2"/>
  <c r="J84" i="2"/>
  <c r="J148" i="2"/>
  <c r="J513" i="2"/>
  <c r="J475" i="2"/>
  <c r="J390" i="2"/>
  <c r="H325" i="2"/>
  <c r="J50" i="2"/>
  <c r="J12" i="2"/>
  <c r="H569" i="2"/>
  <c r="J72" i="2"/>
  <c r="J646" i="2"/>
  <c r="H69" i="2"/>
  <c r="H25" i="2"/>
  <c r="J713" i="2"/>
  <c r="H692" i="2"/>
  <c r="J108" i="2"/>
  <c r="H669" i="2"/>
  <c r="H363" i="2"/>
  <c r="J417" i="2"/>
  <c r="J696" i="2"/>
  <c r="J112" i="2"/>
  <c r="H458" i="2"/>
  <c r="J375" i="2"/>
  <c r="J124" i="2"/>
  <c r="J37" i="2"/>
  <c r="J733" i="2"/>
  <c r="J311" i="2"/>
  <c r="J584" i="2"/>
  <c r="J604" i="2"/>
  <c r="H368" i="2"/>
  <c r="H883" i="2"/>
  <c r="J464" i="2"/>
  <c r="J477" i="2"/>
  <c r="H620" i="2"/>
  <c r="J56" i="2"/>
  <c r="J795" i="2"/>
  <c r="J107" i="2"/>
  <c r="J346" i="2"/>
  <c r="J193" i="2"/>
  <c r="H68" i="2"/>
  <c r="J816" i="2"/>
  <c r="J34" i="2"/>
  <c r="H766" i="2"/>
  <c r="J436" i="2"/>
  <c r="H388" i="2"/>
  <c r="H540" i="2"/>
  <c r="J246" i="2"/>
  <c r="H483" i="2"/>
  <c r="J855" i="2"/>
  <c r="J754" i="2"/>
  <c r="H466" i="2"/>
  <c r="J557" i="2"/>
  <c r="J532" i="2"/>
  <c r="J874" i="2"/>
  <c r="J789" i="2"/>
  <c r="H918" i="2"/>
  <c r="H226" i="2"/>
  <c r="H186" i="2"/>
  <c r="J238" i="2"/>
  <c r="J518" i="2"/>
  <c r="J603" i="2"/>
  <c r="J251" i="2"/>
  <c r="J586" i="2"/>
  <c r="J544" i="2"/>
  <c r="J374" i="2"/>
  <c r="J115" i="2"/>
  <c r="J694" i="2"/>
  <c r="J33" i="2"/>
  <c r="J612" i="2"/>
  <c r="H949" i="2"/>
  <c r="J429" i="2"/>
  <c r="J144" i="2"/>
  <c r="J46" i="2"/>
  <c r="J278" i="2"/>
  <c r="J16" i="2"/>
  <c r="J595" i="2"/>
  <c r="H915" i="2"/>
  <c r="J452" i="2"/>
  <c r="J184" i="2"/>
  <c r="H437" i="2"/>
  <c r="J925" i="2"/>
  <c r="H364" i="2"/>
  <c r="J911" i="2"/>
  <c r="J935" i="2"/>
  <c r="J89" i="2"/>
  <c r="J909" i="2"/>
  <c r="H386" i="2"/>
  <c r="H357" i="2"/>
  <c r="J825" i="2"/>
  <c r="J630" i="2"/>
  <c r="J234" i="2"/>
  <c r="H175" i="2"/>
  <c r="J206" i="2"/>
  <c r="J297" i="2"/>
  <c r="H667" i="2"/>
  <c r="H777" i="2"/>
  <c r="J870" i="2"/>
  <c r="J414" i="2"/>
  <c r="J732" i="2"/>
  <c r="H208" i="2"/>
  <c r="H109" i="2"/>
  <c r="H149" i="2"/>
  <c r="J805" i="2"/>
  <c r="J846" i="2"/>
  <c r="J867" i="2"/>
  <c r="H164" i="2"/>
  <c r="H147" i="2"/>
  <c r="H785" i="2"/>
  <c r="J617" i="2"/>
  <c r="J474" i="2"/>
  <c r="J264" i="2"/>
  <c r="J896" i="2"/>
  <c r="J895" i="2"/>
  <c r="J791" i="2"/>
  <c r="J512" i="2"/>
  <c r="H686" i="2"/>
  <c r="J43" i="2"/>
  <c r="J172" i="2"/>
  <c r="J269" i="2"/>
  <c r="J947" i="2"/>
  <c r="J270" i="2"/>
  <c r="J928" i="2"/>
  <c r="J127" i="2"/>
  <c r="J334" i="2"/>
  <c r="J813" i="2"/>
  <c r="J392" i="2"/>
  <c r="H86" i="2"/>
  <c r="J389" i="2"/>
  <c r="H303" i="2"/>
  <c r="H811" i="2"/>
  <c r="J30" i="2"/>
  <c r="J347" i="2"/>
  <c r="J453" i="2"/>
  <c r="J810" i="2"/>
  <c r="H627" i="2"/>
  <c r="J4" i="2"/>
  <c r="J525" i="2"/>
  <c r="J457" i="2"/>
  <c r="J904" i="2"/>
  <c r="J736" i="2"/>
  <c r="J292" i="2"/>
  <c r="J90" i="2"/>
  <c r="H528" i="2"/>
  <c r="J485" i="2"/>
  <c r="H726" i="2"/>
  <c r="J377" i="2"/>
  <c r="J215" i="2"/>
  <c r="H583" i="2"/>
  <c r="J572" i="2"/>
  <c r="J735" i="2"/>
  <c r="J252" i="2"/>
  <c r="J455" i="2"/>
  <c r="H849" i="2"/>
  <c r="J770" i="2"/>
  <c r="H508" i="2"/>
  <c r="J765" i="2"/>
  <c r="J254" i="2"/>
  <c r="H65" i="2"/>
  <c r="J24" i="2"/>
  <c r="J768" i="2"/>
  <c r="J745" i="2"/>
  <c r="H345" i="2"/>
  <c r="J843" i="2"/>
  <c r="J343" i="2"/>
  <c r="H55" i="2"/>
  <c r="J556" i="2"/>
  <c r="J192" i="2"/>
  <c r="H815" i="2"/>
  <c r="J651" i="2"/>
  <c r="J536" i="2"/>
  <c r="J570" i="2"/>
  <c r="J216" i="2"/>
  <c r="J410" i="2"/>
  <c r="H767" i="2"/>
  <c r="H152" i="2"/>
  <c r="J916" i="2"/>
  <c r="J471" i="2"/>
  <c r="H835" i="2"/>
  <c r="H757" i="2"/>
  <c r="J353" i="2"/>
  <c r="H889" i="2"/>
  <c r="J428" i="2"/>
  <c r="H187" i="2"/>
  <c r="J27" i="2"/>
  <c r="J734" i="2"/>
  <c r="J372" i="2"/>
  <c r="H629" i="2"/>
  <c r="J636" i="2"/>
  <c r="J553" i="2"/>
  <c r="H708" i="2"/>
  <c r="J691" i="2"/>
  <c r="J756" i="2"/>
  <c r="B976" i="2"/>
  <c r="C974" i="2"/>
  <c r="H974" i="2" s="1"/>
  <c r="C973" i="2"/>
  <c r="H973" i="2" s="1"/>
  <c r="B975" i="2"/>
  <c r="J205" i="2"/>
  <c r="J597" i="2"/>
  <c r="H230" i="2"/>
  <c r="J212" i="2"/>
  <c r="H929" i="2"/>
  <c r="J845" i="2"/>
  <c r="J543" i="2"/>
  <c r="J189" i="2"/>
  <c r="J214" i="2"/>
  <c r="J515" i="2"/>
  <c r="J352" i="2"/>
  <c r="H906" i="2"/>
  <c r="J933" i="2"/>
  <c r="J102" i="2"/>
  <c r="H383" i="2"/>
  <c r="J704" i="2"/>
  <c r="J611" i="2"/>
  <c r="J387" i="2"/>
  <c r="J247" i="2"/>
  <c r="J498" i="2"/>
  <c r="H163" i="2"/>
  <c r="H11" i="2"/>
  <c r="J814" i="2"/>
  <c r="H575" i="2"/>
  <c r="H563" i="2"/>
  <c r="H408" i="2"/>
  <c r="J250" i="2"/>
  <c r="H865" i="2"/>
  <c r="J856" i="2"/>
  <c r="H486" i="2"/>
  <c r="J653" i="2"/>
  <c r="H697" i="2"/>
  <c r="J869" i="2"/>
  <c r="J93" i="2"/>
  <c r="J555" i="2"/>
  <c r="H783" i="2"/>
  <c r="J769" i="2"/>
  <c r="J829" i="2"/>
  <c r="H106" i="2"/>
  <c r="J398" i="2"/>
  <c r="H644" i="2"/>
  <c r="J637" i="2"/>
  <c r="H423" i="2"/>
  <c r="J196" i="2"/>
  <c r="J412" i="2"/>
  <c r="H229" i="2"/>
  <c r="J561" i="2"/>
  <c r="J170" i="2"/>
  <c r="J78" i="2"/>
  <c r="J484" i="2"/>
  <c r="J397" i="2"/>
  <c r="J318" i="2"/>
  <c r="J763" i="2"/>
  <c r="J351" i="2"/>
  <c r="J324" i="2"/>
  <c r="H405" i="2"/>
  <c r="J132" i="2"/>
  <c r="J94" i="2"/>
  <c r="J952" i="2"/>
  <c r="J367" i="2"/>
  <c r="J923" i="2"/>
  <c r="J520" i="2"/>
  <c r="J53" i="2"/>
  <c r="J114" i="2"/>
  <c r="J44" i="2"/>
  <c r="H668" i="2"/>
  <c r="J17" i="2"/>
  <c r="J157" i="2"/>
  <c r="J751" i="2"/>
  <c r="H675" i="2"/>
  <c r="H709" i="2"/>
  <c r="J284" i="2"/>
  <c r="H568" i="2"/>
  <c r="J126" i="2"/>
  <c r="J116" i="2"/>
  <c r="J468" i="2"/>
  <c r="H75" i="2"/>
  <c r="J448" i="2"/>
  <c r="J6" i="2"/>
  <c r="J287" i="2"/>
  <c r="H826" i="2"/>
  <c r="J808" i="2"/>
  <c r="J167" i="2"/>
  <c r="H385" i="2"/>
  <c r="J727" i="2"/>
  <c r="J449" i="2"/>
  <c r="H58" i="2"/>
  <c r="H786" i="2"/>
  <c r="J298" i="2"/>
  <c r="J956" i="2"/>
  <c r="J88" i="2"/>
  <c r="J469" i="2"/>
  <c r="J884" i="2"/>
  <c r="J174" i="2"/>
  <c r="H67" i="2"/>
  <c r="J545" i="2"/>
  <c r="J665" i="2"/>
  <c r="J725" i="2"/>
  <c r="J635" i="2"/>
  <c r="H349" i="2"/>
  <c r="H881" i="2"/>
  <c r="J587" i="2"/>
  <c r="J647" i="2"/>
  <c r="J606" i="2"/>
  <c r="J804" i="2"/>
  <c r="J590" i="2"/>
  <c r="J373" i="2"/>
  <c r="J338" i="2"/>
  <c r="J616" i="2"/>
  <c r="J750" i="2"/>
  <c r="J154" i="2"/>
  <c r="J41" i="2"/>
  <c r="H3" i="2"/>
  <c r="H223" i="2"/>
  <c r="H749" i="2"/>
  <c r="J549" i="2"/>
  <c r="J775" i="2"/>
  <c r="J932" i="2"/>
  <c r="J249" i="2"/>
  <c r="J327" i="2"/>
  <c r="H946" i="2"/>
  <c r="J265" i="2"/>
  <c r="J685" i="2"/>
  <c r="J218" i="2"/>
  <c r="J533" i="2"/>
  <c r="J693" i="2"/>
  <c r="J23" i="2"/>
  <c r="J550" i="2"/>
  <c r="H228" i="2"/>
  <c r="J821" i="2"/>
  <c r="J868" i="2"/>
  <c r="J959" i="2"/>
  <c r="J344" i="2"/>
  <c r="J917" i="2"/>
  <c r="J479" i="2"/>
  <c r="J9" i="2"/>
  <c r="J866" i="2"/>
  <c r="J272" i="2"/>
  <c r="J596" i="2"/>
  <c r="J393" i="2"/>
  <c r="J456" i="2"/>
  <c r="H706" i="2"/>
  <c r="J450" i="2"/>
  <c r="J710" i="2"/>
  <c r="J113" i="2"/>
  <c r="J177" i="2"/>
  <c r="J433" i="2"/>
  <c r="J312" i="2"/>
  <c r="J329" i="2"/>
  <c r="J8" i="2"/>
  <c r="H63" i="2"/>
  <c r="H723" i="2"/>
  <c r="J125" i="2"/>
  <c r="J165" i="2"/>
  <c r="J625" i="2"/>
  <c r="J118" i="2"/>
  <c r="J158" i="2"/>
  <c r="J213" i="2"/>
  <c r="J394" i="2"/>
  <c r="J684" i="2"/>
  <c r="J35" i="2"/>
  <c r="J787" i="2"/>
  <c r="J369" i="2"/>
  <c r="J169" i="2"/>
  <c r="J424" i="2"/>
  <c r="J824" i="2"/>
  <c r="H307" i="2"/>
  <c r="J336" i="2"/>
  <c r="J64" i="2"/>
  <c r="J594" i="2"/>
  <c r="H655" i="2"/>
  <c r="J592" i="2"/>
  <c r="J451" i="2"/>
  <c r="J117" i="2"/>
  <c r="H117" i="2"/>
  <c r="H510" i="2"/>
  <c r="J510" i="2"/>
  <c r="J268" i="2"/>
  <c r="H268" i="2"/>
  <c r="H190" i="2"/>
  <c r="J190" i="2"/>
  <c r="J547" i="2"/>
  <c r="H547" i="2"/>
  <c r="H892" i="2"/>
  <c r="J892" i="2"/>
  <c r="H565" i="2"/>
  <c r="J565" i="2"/>
  <c r="H150" i="2"/>
  <c r="J150" i="2"/>
  <c r="H396" i="2"/>
  <c r="J396" i="2"/>
  <c r="H103" i="2"/>
  <c r="J103" i="2"/>
  <c r="H850" i="2"/>
  <c r="J850" i="2"/>
  <c r="H552" i="2"/>
  <c r="J552" i="2"/>
  <c r="J155" i="2"/>
  <c r="H155" i="2"/>
  <c r="H716" i="2"/>
  <c r="J716" i="2"/>
  <c r="H51" i="2"/>
  <c r="J51" i="2"/>
  <c r="H470" i="2"/>
  <c r="J470" i="2"/>
  <c r="J809" i="2"/>
  <c r="H809" i="2"/>
  <c r="H447" i="2"/>
  <c r="J447" i="2"/>
  <c r="J487" i="2"/>
  <c r="H487" i="2"/>
  <c r="H18" i="2"/>
  <c r="J18" i="2"/>
  <c r="H613" i="2"/>
  <c r="J613" i="2"/>
  <c r="H274" i="2"/>
  <c r="J274" i="2"/>
  <c r="H529" i="2"/>
  <c r="J529" i="2"/>
  <c r="H76" i="2"/>
  <c r="J76" i="2"/>
  <c r="H354" i="2"/>
  <c r="J354" i="2"/>
  <c r="H632" i="2"/>
  <c r="J632" i="2"/>
  <c r="J207" i="2"/>
  <c r="H207" i="2"/>
  <c r="H746" i="2"/>
  <c r="J746" i="2"/>
  <c r="J151" i="2"/>
  <c r="H151" i="2"/>
  <c r="H948" i="2"/>
  <c r="J948" i="2"/>
  <c r="J677" i="2"/>
  <c r="H738" i="2"/>
  <c r="J738" i="2"/>
  <c r="H243" i="2"/>
  <c r="J747" i="2"/>
  <c r="J730" i="2"/>
  <c r="J87" i="2"/>
  <c r="H793" i="2"/>
  <c r="J793" i="2"/>
  <c r="J26" i="2"/>
  <c r="H26" i="2"/>
  <c r="H244" i="2"/>
  <c r="J244" i="2"/>
  <c r="H748" i="2"/>
  <c r="J748" i="2"/>
  <c r="J945" i="2"/>
  <c r="H945" i="2"/>
  <c r="H903" i="2"/>
  <c r="J903" i="2"/>
  <c r="H402" i="2"/>
  <c r="J402" i="2"/>
  <c r="H740" i="2"/>
  <c r="J740" i="2"/>
  <c r="J314" i="2"/>
  <c r="H290" i="2"/>
  <c r="J290" i="2"/>
  <c r="H489" i="2"/>
  <c r="J489" i="2"/>
  <c r="J589" i="2"/>
  <c r="H589" i="2"/>
  <c r="H505" i="2"/>
  <c r="J505" i="2"/>
  <c r="H493" i="2"/>
  <c r="J493" i="2"/>
  <c r="H873" i="2"/>
  <c r="J873" i="2"/>
  <c r="H875" i="2"/>
  <c r="J875" i="2"/>
  <c r="H210" i="2"/>
  <c r="J210" i="2"/>
  <c r="J546" i="2"/>
  <c r="H546" i="2"/>
  <c r="H391" i="2"/>
  <c r="J391" i="2"/>
  <c r="J365" i="2"/>
  <c r="H365" i="2"/>
  <c r="J926" i="2"/>
  <c r="H926" i="2"/>
  <c r="J330" i="2"/>
  <c r="H330" i="2"/>
  <c r="H232" i="2"/>
  <c r="J232" i="2"/>
  <c r="H47" i="2"/>
  <c r="J47" i="2"/>
  <c r="H236" i="2"/>
  <c r="J236" i="2"/>
  <c r="H834" i="2"/>
  <c r="J834" i="2"/>
  <c r="H173" i="2"/>
  <c r="J173" i="2"/>
  <c r="H496" i="2"/>
  <c r="J496" i="2"/>
  <c r="H772" i="2"/>
  <c r="J772" i="2"/>
  <c r="H919" i="2"/>
  <c r="J919" i="2"/>
  <c r="J548" i="2"/>
  <c r="J537" i="2"/>
  <c r="H537" i="2"/>
  <c r="H97" i="2"/>
  <c r="J97" i="2"/>
  <c r="H263" i="2"/>
  <c r="J263" i="2"/>
  <c r="H728" i="2"/>
  <c r="J728" i="2"/>
  <c r="H729" i="2"/>
  <c r="J729" i="2"/>
  <c r="H256" i="2"/>
  <c r="J256" i="2"/>
  <c r="J289" i="2"/>
  <c r="J823" i="2"/>
  <c r="J257" i="2"/>
  <c r="J652" i="2"/>
  <c r="J110" i="2"/>
  <c r="J146" i="2"/>
  <c r="J245" i="2"/>
  <c r="J465" i="2"/>
  <c r="J404" i="2"/>
  <c r="J670" i="2"/>
  <c r="J854" i="2"/>
  <c r="J95" i="2"/>
  <c r="J128" i="2"/>
  <c r="J514" i="2"/>
  <c r="J176" i="2"/>
  <c r="J799" i="2"/>
  <c r="J554" i="2"/>
  <c r="J28" i="2"/>
  <c r="J509" i="2"/>
  <c r="H607" i="2"/>
  <c r="H38" i="2"/>
  <c r="J73" i="2"/>
  <c r="H227" i="2"/>
  <c r="J905" i="2"/>
  <c r="H645" i="2"/>
  <c r="J366" i="2"/>
  <c r="J577" i="2"/>
  <c r="J957" i="2"/>
  <c r="J105" i="2"/>
  <c r="J817" i="2"/>
  <c r="H628" i="2"/>
  <c r="J844" i="2"/>
  <c r="J370" i="2"/>
  <c r="J415" i="2"/>
  <c r="J395" i="2"/>
  <c r="H331" i="2"/>
  <c r="H511" i="2"/>
  <c r="J348" i="2"/>
  <c r="J129" i="2"/>
  <c r="J328" i="2"/>
  <c r="J83" i="2"/>
  <c r="H626" i="2"/>
  <c r="H623" i="2"/>
  <c r="H267" i="2"/>
  <c r="H907" i="2"/>
  <c r="H506" i="2"/>
  <c r="H585" i="2"/>
  <c r="J741" i="2"/>
  <c r="H857" i="2"/>
  <c r="J830" i="2"/>
  <c r="J771" i="2"/>
  <c r="J656" i="2"/>
  <c r="J310" i="2"/>
  <c r="H888" i="2"/>
  <c r="J927" i="2"/>
  <c r="J378" i="2"/>
  <c r="J744" i="2"/>
  <c r="J45" i="2"/>
  <c r="J418" i="2"/>
  <c r="J837" i="2"/>
  <c r="H803" i="2"/>
  <c r="J271" i="2"/>
  <c r="J614" i="2"/>
  <c r="J443" i="2"/>
  <c r="J571" i="2"/>
  <c r="J309" i="2"/>
  <c r="J609" i="2"/>
  <c r="J937" i="2"/>
  <c r="J425" i="2"/>
  <c r="H887" i="2"/>
  <c r="J317" i="2"/>
  <c r="J237" i="2"/>
  <c r="J930" i="2"/>
  <c r="J893" i="2"/>
  <c r="H712" i="2"/>
  <c r="J951" i="2"/>
  <c r="H848" i="2"/>
  <c r="J490" i="2"/>
  <c r="J828" i="2"/>
  <c r="H248" i="2"/>
  <c r="H29" i="2"/>
  <c r="J807" i="2"/>
  <c r="J605" i="2"/>
  <c r="H526" i="2"/>
  <c r="H463" i="2"/>
  <c r="J217" i="2"/>
  <c r="J198" i="2"/>
  <c r="J183" i="2"/>
  <c r="J847" i="2"/>
  <c r="H406" i="2"/>
  <c r="J178" i="2"/>
  <c r="J5" i="2"/>
  <c r="H943" i="2"/>
  <c r="J98" i="2"/>
  <c r="J197" i="2"/>
  <c r="J871" i="2"/>
  <c r="J773" i="2"/>
  <c r="J672" i="2"/>
  <c r="J350" i="2"/>
  <c r="J13" i="2"/>
  <c r="J74" i="2"/>
  <c r="J194" i="2"/>
  <c r="J255" i="2"/>
  <c r="J797" i="2"/>
  <c r="J294" i="2"/>
  <c r="J610" i="2"/>
  <c r="J711" i="2"/>
  <c r="J950" i="2"/>
  <c r="J130" i="2"/>
  <c r="J308" i="2"/>
  <c r="J304" i="2"/>
  <c r="J356" i="2"/>
  <c r="J877" i="2"/>
  <c r="J764" i="2"/>
  <c r="H300" i="2"/>
  <c r="J211" i="2"/>
  <c r="J504" i="2"/>
  <c r="J914" i="2"/>
  <c r="J574" i="2"/>
  <c r="J135" i="2"/>
  <c r="J488" i="2"/>
  <c r="J953" i="2"/>
  <c r="J649" i="2"/>
  <c r="J503" i="2"/>
  <c r="J315" i="2"/>
  <c r="J794" i="2"/>
  <c r="J191" i="2"/>
  <c r="H231" i="2"/>
  <c r="H687" i="2"/>
  <c r="J446" i="2"/>
  <c r="J650" i="2"/>
  <c r="J258" i="2"/>
  <c r="J671" i="2"/>
  <c r="J788" i="2"/>
  <c r="J209" i="2"/>
  <c r="J168" i="2"/>
  <c r="J137" i="2"/>
  <c r="J507" i="2"/>
  <c r="J426" i="2"/>
  <c r="H403" i="2"/>
  <c r="J524" i="2"/>
  <c r="J77" i="2"/>
  <c r="J104" i="2"/>
  <c r="J703" i="2"/>
  <c r="J737" i="2"/>
  <c r="J54" i="2"/>
  <c r="J836" i="2"/>
  <c r="J92" i="2"/>
  <c r="H335" i="2"/>
  <c r="H332" i="2"/>
  <c r="H273" i="2"/>
  <c r="J195" i="2"/>
  <c r="H235" i="2"/>
  <c r="J384" i="2"/>
  <c r="J910" i="2"/>
  <c r="J286" i="2"/>
  <c r="J283" i="2"/>
  <c r="J70" i="2"/>
  <c r="J497" i="2"/>
  <c r="J784" i="2"/>
  <c r="J71" i="2"/>
  <c r="J912" i="2"/>
  <c r="J295" i="2"/>
  <c r="H409" i="2"/>
  <c r="J316" i="2"/>
  <c r="J492" i="2"/>
  <c r="J527" i="2"/>
  <c r="J523" i="2"/>
  <c r="J277" i="2"/>
  <c r="J134" i="2"/>
  <c r="J253" i="2"/>
  <c r="H705" i="2"/>
  <c r="H806" i="2"/>
  <c r="J478" i="2"/>
  <c r="J689" i="2"/>
  <c r="J411" i="2"/>
  <c r="J567" i="2"/>
  <c r="J864" i="2"/>
  <c r="J7" i="2"/>
  <c r="J66" i="2"/>
  <c r="J564" i="2"/>
  <c r="J138" i="2"/>
  <c r="J827" i="2"/>
  <c r="J886" i="2"/>
  <c r="J885" i="2"/>
  <c r="J445" i="2"/>
  <c r="H203" i="2"/>
  <c r="J438" i="2"/>
  <c r="J931" i="2"/>
  <c r="J673" i="2"/>
  <c r="J530" i="2"/>
  <c r="J15" i="2"/>
  <c r="J753" i="2"/>
  <c r="J14" i="2"/>
  <c r="J876" i="2"/>
  <c r="J934" i="2"/>
  <c r="H275" i="2"/>
  <c r="J293" i="2"/>
  <c r="J96" i="2"/>
  <c r="J551" i="2"/>
  <c r="J852" i="2"/>
  <c r="H188" i="2"/>
  <c r="J337" i="2"/>
  <c r="J291" i="2"/>
  <c r="J355" i="2"/>
  <c r="J494" i="2"/>
  <c r="H812" i="2"/>
  <c r="H49" i="2"/>
  <c r="J890" i="2"/>
  <c r="H407" i="2"/>
  <c r="J743" i="2"/>
  <c r="J313" i="2"/>
  <c r="J831" i="2"/>
  <c r="J416" i="2"/>
  <c r="J454" i="2"/>
  <c r="J648" i="2"/>
  <c r="J427" i="2"/>
  <c r="J326" i="2"/>
  <c r="J225" i="2"/>
  <c r="H323" i="2"/>
  <c r="J224" i="2"/>
  <c r="J924" i="2"/>
  <c r="J560" i="2"/>
  <c r="J872" i="2"/>
  <c r="J674" i="2"/>
  <c r="J633" i="2"/>
  <c r="J473" i="2"/>
  <c r="J472" i="2"/>
  <c r="J664" i="2"/>
  <c r="J657" i="2"/>
  <c r="H143" i="2"/>
  <c r="H333" i="2"/>
  <c r="J894" i="2"/>
  <c r="J955" i="2"/>
  <c r="J32" i="2"/>
  <c r="J690" i="2"/>
  <c r="J123" i="2"/>
  <c r="J851" i="2"/>
  <c r="J792" i="2"/>
  <c r="H10" i="2"/>
  <c r="H382" i="2"/>
  <c r="J430" i="2"/>
  <c r="J413" i="2"/>
  <c r="J936" i="2"/>
  <c r="H495" i="2"/>
  <c r="J731" i="2"/>
  <c r="J133" i="2"/>
  <c r="J136" i="2"/>
  <c r="H153" i="2"/>
  <c r="J588" i="2"/>
  <c r="J171" i="2"/>
  <c r="J91" i="2"/>
  <c r="H782" i="2"/>
  <c r="J897" i="2"/>
  <c r="J204" i="2"/>
  <c r="J833" i="2"/>
  <c r="J634" i="2"/>
  <c r="J531" i="2"/>
  <c r="J432" i="2"/>
  <c r="J431" i="2"/>
  <c r="J591" i="2"/>
  <c r="J654" i="2"/>
  <c r="J714" i="2"/>
  <c r="J615" i="2"/>
  <c r="J593" i="2"/>
  <c r="J796" i="2"/>
  <c r="J31" i="2"/>
  <c r="J111" i="2"/>
  <c r="J200" i="2"/>
  <c r="H960" i="2"/>
  <c r="H381" i="2"/>
  <c r="J2" i="2"/>
  <c r="J759" i="2"/>
  <c r="J42" i="2"/>
  <c r="J22" i="2"/>
  <c r="J601" i="2"/>
  <c r="H482" i="2"/>
  <c r="H141" i="2"/>
  <c r="J100" i="2"/>
  <c r="H500" i="2"/>
  <c r="H241" i="2"/>
  <c r="J20" i="2"/>
  <c r="H140" i="2"/>
  <c r="H781" i="2"/>
  <c r="H82" i="2"/>
  <c r="H499" i="2"/>
  <c r="H321" i="2"/>
  <c r="J638" i="2"/>
  <c r="J322" i="2"/>
  <c r="J319" i="2"/>
  <c r="J119" i="2"/>
  <c r="J598" i="2"/>
  <c r="J578" i="2"/>
  <c r="J660" i="2"/>
  <c r="H220" i="2"/>
  <c r="J779" i="2"/>
  <c r="H221" i="2"/>
  <c r="H219" i="2"/>
  <c r="H222" i="2"/>
  <c r="J359" i="2"/>
  <c r="H961" i="2"/>
  <c r="J642" i="2"/>
  <c r="J699" i="2"/>
  <c r="J938" i="2"/>
  <c r="J621" i="2"/>
  <c r="H719" i="2"/>
  <c r="J299" i="2"/>
  <c r="J678" i="2"/>
  <c r="J39" i="2"/>
  <c r="J139" i="2"/>
  <c r="J941" i="2"/>
  <c r="J679" i="2"/>
  <c r="J558" i="2"/>
  <c r="J461" i="2"/>
  <c r="J618" i="2"/>
  <c r="J798" i="2"/>
  <c r="H162" i="2"/>
  <c r="J281" i="2"/>
  <c r="J819" i="2"/>
  <c r="J239" i="2"/>
  <c r="J301" i="2"/>
  <c r="J841" i="2"/>
  <c r="H802" i="2"/>
  <c r="J859" i="2"/>
  <c r="J920" i="2"/>
  <c r="J259" i="2"/>
  <c r="J701" i="2"/>
  <c r="J702" i="2"/>
  <c r="J602" i="2"/>
  <c r="J179" i="2"/>
  <c r="J202" i="2"/>
  <c r="H261" i="2"/>
  <c r="J659" i="2"/>
  <c r="H722" i="2"/>
  <c r="J282" i="2"/>
  <c r="J661" i="2"/>
  <c r="J958" i="2"/>
  <c r="J182" i="2"/>
  <c r="H242" i="2"/>
  <c r="H622" i="2"/>
  <c r="H19" i="2"/>
  <c r="H581" i="2"/>
  <c r="H721" i="2"/>
  <c r="J680" i="2"/>
  <c r="J279" i="2"/>
  <c r="H580" i="2"/>
  <c r="J662" i="2"/>
  <c r="H639" i="2"/>
  <c r="J641" i="2"/>
  <c r="J900" i="2"/>
  <c r="H161" i="2"/>
  <c r="J181" i="2"/>
  <c r="J562" i="2"/>
  <c r="H59" i="2"/>
  <c r="J180" i="2"/>
  <c r="H940" i="2"/>
  <c r="H262" i="2"/>
  <c r="J541" i="2"/>
  <c r="J120" i="2"/>
  <c r="J99" i="2"/>
  <c r="H882" i="2"/>
  <c r="J280" i="2"/>
  <c r="J240" i="2"/>
  <c r="J599" i="2"/>
  <c r="H501" i="2"/>
  <c r="J840" i="2"/>
  <c r="H619" i="2"/>
  <c r="J898" i="2"/>
  <c r="J481" i="2"/>
  <c r="J539" i="2"/>
  <c r="J401" i="2"/>
  <c r="J420" i="2"/>
  <c r="J818" i="2"/>
  <c r="J521" i="2"/>
  <c r="J480" i="2"/>
  <c r="H720" i="2"/>
  <c r="J459" i="2"/>
  <c r="J742" i="2"/>
  <c r="J419" i="2"/>
  <c r="J462" i="2"/>
  <c r="H640" i="2"/>
  <c r="J942" i="2"/>
  <c r="J780" i="2"/>
  <c r="J341" i="2"/>
  <c r="J559" i="2"/>
  <c r="J718" i="2"/>
  <c r="H379" i="2"/>
  <c r="J360" i="2"/>
  <c r="H81" i="2"/>
  <c r="H79" i="2"/>
  <c r="J422" i="2"/>
  <c r="J201" i="2"/>
  <c r="J858" i="2"/>
  <c r="J160" i="2"/>
  <c r="J340" i="2"/>
  <c r="J400" i="2"/>
  <c r="J302" i="2"/>
  <c r="J681" i="2"/>
  <c r="J101" i="2"/>
  <c r="J122" i="2"/>
  <c r="J762" i="2"/>
  <c r="J760" i="2"/>
  <c r="H582" i="2"/>
  <c r="H861" i="2"/>
  <c r="J502" i="2"/>
  <c r="J442" i="2"/>
  <c r="H800" i="2"/>
  <c r="J440" i="2"/>
  <c r="H460" i="2"/>
  <c r="J342" i="2"/>
  <c r="H860" i="2"/>
  <c r="H801" i="2"/>
  <c r="J758" i="2"/>
  <c r="J842" i="2"/>
  <c r="J339" i="2"/>
  <c r="H838" i="2"/>
  <c r="J399" i="2"/>
  <c r="J700" i="2"/>
  <c r="J199" i="2"/>
  <c r="J522" i="2"/>
  <c r="J421" i="2"/>
  <c r="J80" i="2"/>
  <c r="J822" i="2"/>
  <c r="J820" i="2"/>
  <c r="H902" i="2"/>
  <c r="J778" i="2"/>
  <c r="J362" i="2"/>
  <c r="J40" i="2"/>
  <c r="J320" i="2"/>
  <c r="H880" i="2"/>
  <c r="J939" i="2"/>
  <c r="J698" i="2"/>
  <c r="H439" i="2"/>
  <c r="J159" i="2"/>
  <c r="J658" i="2"/>
  <c r="H901" i="2"/>
  <c r="J922" i="2"/>
  <c r="J921" i="2"/>
  <c r="H61" i="2"/>
  <c r="H862" i="2"/>
  <c r="H60" i="2"/>
  <c r="J739" i="2"/>
  <c r="H542" i="2"/>
  <c r="H21" i="2"/>
  <c r="J839" i="2"/>
  <c r="H62" i="2"/>
  <c r="H142" i="2"/>
  <c r="J579" i="2"/>
  <c r="J519" i="2"/>
  <c r="J761" i="2"/>
  <c r="J361" i="2"/>
  <c r="H380" i="2"/>
  <c r="J878" i="2"/>
  <c r="J260" i="2"/>
  <c r="J879" i="2"/>
  <c r="H899" i="2"/>
  <c r="J600" i="2"/>
  <c r="J121" i="2"/>
  <c r="J441" i="2"/>
  <c r="F5" i="2"/>
  <c r="P813" i="2" l="1"/>
  <c r="O813" i="2"/>
  <c r="M813" i="2"/>
  <c r="L813" i="2"/>
  <c r="N813" i="2"/>
  <c r="D815" i="2"/>
  <c r="E814" i="2"/>
  <c r="B977" i="2"/>
  <c r="C975" i="2"/>
  <c r="H975" i="2" s="1"/>
  <c r="C976" i="2"/>
  <c r="H976" i="2" s="1"/>
  <c r="B978" i="2"/>
  <c r="G3" i="1"/>
  <c r="F6" i="2"/>
  <c r="D816" i="2" l="1"/>
  <c r="E815" i="2"/>
  <c r="P814" i="2"/>
  <c r="O814" i="2"/>
  <c r="N814" i="2"/>
  <c r="M814" i="2"/>
  <c r="L814" i="2"/>
  <c r="R813" i="2"/>
  <c r="B980" i="2"/>
  <c r="C978" i="2"/>
  <c r="H978" i="2" s="1"/>
  <c r="B979" i="2"/>
  <c r="C977" i="2"/>
  <c r="H977" i="2" s="1"/>
  <c r="G4" i="1"/>
  <c r="G5" i="1" s="1"/>
  <c r="B4" i="1" s="1"/>
  <c r="D4" i="1" s="1"/>
  <c r="D5" i="1" s="1"/>
  <c r="F7" i="2"/>
  <c r="R814" i="2" l="1"/>
  <c r="P815" i="2"/>
  <c r="O815" i="2"/>
  <c r="N815" i="2"/>
  <c r="M815" i="2"/>
  <c r="L815" i="2"/>
  <c r="D817" i="2"/>
  <c r="E816" i="2"/>
  <c r="C979" i="2"/>
  <c r="H979" i="2" s="1"/>
  <c r="B981" i="2"/>
  <c r="C980" i="2"/>
  <c r="H980" i="2" s="1"/>
  <c r="B982" i="2"/>
  <c r="F8" i="2"/>
  <c r="D818" i="2" l="1"/>
  <c r="E817" i="2"/>
  <c r="R815" i="2"/>
  <c r="P816" i="2"/>
  <c r="O816" i="2"/>
  <c r="N816" i="2"/>
  <c r="M816" i="2"/>
  <c r="L816" i="2"/>
  <c r="C981" i="2"/>
  <c r="H981" i="2" s="1"/>
  <c r="C982" i="2"/>
  <c r="H982" i="2" s="1"/>
  <c r="F9" i="2"/>
  <c r="R816" i="2" l="1"/>
  <c r="P817" i="2"/>
  <c r="O817" i="2"/>
  <c r="N817" i="2"/>
  <c r="L817" i="2"/>
  <c r="M817" i="2"/>
  <c r="D819" i="2"/>
  <c r="E818" i="2"/>
  <c r="F10" i="2"/>
  <c r="R817" i="2" l="1"/>
  <c r="D820" i="2"/>
  <c r="E819" i="2"/>
  <c r="O818" i="2"/>
  <c r="N818" i="2"/>
  <c r="M818" i="2"/>
  <c r="P818" i="2"/>
  <c r="L818" i="2"/>
  <c r="F11" i="2"/>
  <c r="R818" i="2" l="1"/>
  <c r="O819" i="2"/>
  <c r="M819" i="2"/>
  <c r="N819" i="2"/>
  <c r="P819" i="2"/>
  <c r="L819" i="2"/>
  <c r="D821" i="2"/>
  <c r="E820" i="2"/>
  <c r="F12" i="2"/>
  <c r="D822" i="2" l="1"/>
  <c r="E821" i="2"/>
  <c r="R819" i="2"/>
  <c r="P820" i="2"/>
  <c r="N820" i="2"/>
  <c r="O820" i="2"/>
  <c r="M820" i="2"/>
  <c r="L820" i="2"/>
  <c r="F13" i="2"/>
  <c r="R820" i="2" l="1"/>
  <c r="P821" i="2"/>
  <c r="M821" i="2"/>
  <c r="N821" i="2"/>
  <c r="O821" i="2"/>
  <c r="L821" i="2"/>
  <c r="D823" i="2"/>
  <c r="E822" i="2"/>
  <c r="F14" i="2"/>
  <c r="R821" i="2" l="1"/>
  <c r="P822" i="2"/>
  <c r="N822" i="2"/>
  <c r="O822" i="2"/>
  <c r="M822" i="2"/>
  <c r="L822" i="2"/>
  <c r="D824" i="2"/>
  <c r="E823" i="2"/>
  <c r="F15" i="2"/>
  <c r="D825" i="2" l="1"/>
  <c r="E824" i="2"/>
  <c r="R822" i="2"/>
  <c r="P823" i="2"/>
  <c r="N823" i="2"/>
  <c r="O823" i="2"/>
  <c r="L823" i="2"/>
  <c r="M823" i="2"/>
  <c r="F16" i="2"/>
  <c r="R823" i="2" l="1"/>
  <c r="P824" i="2"/>
  <c r="N824" i="2"/>
  <c r="O824" i="2"/>
  <c r="L824" i="2"/>
  <c r="M824" i="2"/>
  <c r="D826" i="2"/>
  <c r="E825" i="2"/>
  <c r="F17" i="2"/>
  <c r="D827" i="2" l="1"/>
  <c r="E826" i="2"/>
  <c r="R824" i="2"/>
  <c r="P825" i="2"/>
  <c r="O825" i="2"/>
  <c r="N825" i="2"/>
  <c r="L825" i="2"/>
  <c r="M825" i="2"/>
  <c r="F18" i="2"/>
  <c r="R825" i="2" l="1"/>
  <c r="M826" i="2"/>
  <c r="O826" i="2"/>
  <c r="L826" i="2"/>
  <c r="N826" i="2"/>
  <c r="P826" i="2"/>
  <c r="D828" i="2"/>
  <c r="E827" i="2"/>
  <c r="F19" i="2"/>
  <c r="D829" i="2" l="1"/>
  <c r="E828" i="2"/>
  <c r="R826" i="2"/>
  <c r="M827" i="2"/>
  <c r="O827" i="2"/>
  <c r="L827" i="2"/>
  <c r="N827" i="2"/>
  <c r="P827" i="2"/>
  <c r="F20" i="2"/>
  <c r="R827" i="2" l="1"/>
  <c r="O828" i="2"/>
  <c r="L828" i="2"/>
  <c r="N828" i="2"/>
  <c r="M828" i="2"/>
  <c r="P828" i="2"/>
  <c r="D830" i="2"/>
  <c r="E829" i="2"/>
  <c r="F21" i="2"/>
  <c r="R828" i="2" l="1"/>
  <c r="O829" i="2"/>
  <c r="L829" i="2"/>
  <c r="M829" i="2"/>
  <c r="N829" i="2"/>
  <c r="P829" i="2"/>
  <c r="D831" i="2"/>
  <c r="E830" i="2"/>
  <c r="F22" i="2"/>
  <c r="O830" i="2" l="1"/>
  <c r="L830" i="2"/>
  <c r="P830" i="2"/>
  <c r="M830" i="2"/>
  <c r="N830" i="2"/>
  <c r="D832" i="2"/>
  <c r="E831" i="2"/>
  <c r="R829" i="2"/>
  <c r="F23" i="2"/>
  <c r="D833" i="2" l="1"/>
  <c r="E832" i="2"/>
  <c r="O831" i="2"/>
  <c r="L831" i="2"/>
  <c r="P831" i="2"/>
  <c r="M831" i="2"/>
  <c r="N831" i="2"/>
  <c r="R830" i="2"/>
  <c r="F24" i="2"/>
  <c r="R831" i="2" l="1"/>
  <c r="O832" i="2"/>
  <c r="L832" i="2"/>
  <c r="P832" i="2"/>
  <c r="N832" i="2"/>
  <c r="M832" i="2"/>
  <c r="D834" i="2"/>
  <c r="E833" i="2"/>
  <c r="F25" i="2"/>
  <c r="R832" i="2" l="1"/>
  <c r="O833" i="2"/>
  <c r="L833" i="2"/>
  <c r="P833" i="2"/>
  <c r="M833" i="2"/>
  <c r="N833" i="2"/>
  <c r="D835" i="2"/>
  <c r="E834" i="2"/>
  <c r="F26" i="2"/>
  <c r="R833" i="2" l="1"/>
  <c r="O834" i="2"/>
  <c r="P834" i="2"/>
  <c r="L834" i="2"/>
  <c r="M834" i="2"/>
  <c r="N834" i="2"/>
  <c r="D836" i="2"/>
  <c r="E835" i="2"/>
  <c r="F27" i="2"/>
  <c r="R834" i="2" l="1"/>
  <c r="D837" i="2"/>
  <c r="E836" i="2"/>
  <c r="P835" i="2"/>
  <c r="O835" i="2"/>
  <c r="M835" i="2"/>
  <c r="L835" i="2"/>
  <c r="N835" i="2"/>
  <c r="F28" i="2"/>
  <c r="R835" i="2" l="1"/>
  <c r="P836" i="2"/>
  <c r="M836" i="2"/>
  <c r="O836" i="2"/>
  <c r="L836" i="2"/>
  <c r="N836" i="2"/>
  <c r="D838" i="2"/>
  <c r="E837" i="2"/>
  <c r="F29" i="2"/>
  <c r="R836" i="2" l="1"/>
  <c r="D839" i="2"/>
  <c r="E838" i="2"/>
  <c r="O837" i="2"/>
  <c r="P837" i="2"/>
  <c r="N837" i="2"/>
  <c r="M837" i="2"/>
  <c r="L837" i="2"/>
  <c r="F30" i="2"/>
  <c r="R837" i="2" l="1"/>
  <c r="O838" i="2"/>
  <c r="P838" i="2"/>
  <c r="N838" i="2"/>
  <c r="M838" i="2"/>
  <c r="L838" i="2"/>
  <c r="D840" i="2"/>
  <c r="E839" i="2"/>
  <c r="F31" i="2"/>
  <c r="D841" i="2" l="1"/>
  <c r="E840" i="2"/>
  <c r="R838" i="2"/>
  <c r="P839" i="2"/>
  <c r="O839" i="2"/>
  <c r="N839" i="2"/>
  <c r="M839" i="2"/>
  <c r="L839" i="2"/>
  <c r="F32" i="2"/>
  <c r="R839" i="2" l="1"/>
  <c r="P840" i="2"/>
  <c r="O840" i="2"/>
  <c r="N840" i="2"/>
  <c r="M840" i="2"/>
  <c r="L840" i="2"/>
  <c r="D842" i="2"/>
  <c r="E841" i="2"/>
  <c r="F33" i="2"/>
  <c r="D843" i="2" l="1"/>
  <c r="E842" i="2"/>
  <c r="R840" i="2"/>
  <c r="P841" i="2"/>
  <c r="M841" i="2"/>
  <c r="N841" i="2"/>
  <c r="O841" i="2"/>
  <c r="L841" i="2"/>
  <c r="F34" i="2"/>
  <c r="R841" i="2" l="1"/>
  <c r="P842" i="2"/>
  <c r="M842" i="2"/>
  <c r="N842" i="2"/>
  <c r="O842" i="2"/>
  <c r="L842" i="2"/>
  <c r="D844" i="2"/>
  <c r="E843" i="2"/>
  <c r="F35" i="2"/>
  <c r="P843" i="2" l="1"/>
  <c r="N843" i="2"/>
  <c r="M843" i="2"/>
  <c r="O843" i="2"/>
  <c r="L843" i="2"/>
  <c r="R843" i="2" s="1"/>
  <c r="R842" i="2"/>
  <c r="D845" i="2"/>
  <c r="E844" i="2"/>
  <c r="F36" i="2"/>
  <c r="P844" i="2" l="1"/>
  <c r="N844" i="2"/>
  <c r="M844" i="2"/>
  <c r="O844" i="2"/>
  <c r="L844" i="2"/>
  <c r="D846" i="2"/>
  <c r="E845" i="2"/>
  <c r="F37" i="2"/>
  <c r="D847" i="2" l="1"/>
  <c r="E846" i="2"/>
  <c r="P845" i="2"/>
  <c r="N845" i="2"/>
  <c r="O845" i="2"/>
  <c r="M845" i="2"/>
  <c r="L845" i="2"/>
  <c r="R844" i="2"/>
  <c r="F38" i="2"/>
  <c r="R845" i="2" l="1"/>
  <c r="P846" i="2"/>
  <c r="M846" i="2"/>
  <c r="N846" i="2"/>
  <c r="O846" i="2"/>
  <c r="L846" i="2"/>
  <c r="R846" i="2" s="1"/>
  <c r="D848" i="2"/>
  <c r="E847" i="2"/>
  <c r="F39" i="2"/>
  <c r="P847" i="2" l="1"/>
  <c r="M847" i="2"/>
  <c r="O847" i="2"/>
  <c r="L847" i="2"/>
  <c r="N847" i="2"/>
  <c r="D849" i="2"/>
  <c r="E848" i="2"/>
  <c r="F40" i="2"/>
  <c r="D850" i="2" l="1"/>
  <c r="E849" i="2"/>
  <c r="P848" i="2"/>
  <c r="O848" i="2"/>
  <c r="L848" i="2"/>
  <c r="N848" i="2"/>
  <c r="M848" i="2"/>
  <c r="R847" i="2"/>
  <c r="F41" i="2"/>
  <c r="P849" i="2" l="1"/>
  <c r="O849" i="2"/>
  <c r="L849" i="2"/>
  <c r="N849" i="2"/>
  <c r="M849" i="2"/>
  <c r="R848" i="2"/>
  <c r="D851" i="2"/>
  <c r="E850" i="2"/>
  <c r="F42" i="2"/>
  <c r="P850" i="2" l="1"/>
  <c r="O850" i="2"/>
  <c r="L850" i="2"/>
  <c r="N850" i="2"/>
  <c r="M850" i="2"/>
  <c r="D852" i="2"/>
  <c r="E851" i="2"/>
  <c r="R849" i="2"/>
  <c r="F43" i="2"/>
  <c r="P851" i="2" l="1"/>
  <c r="O851" i="2"/>
  <c r="L851" i="2"/>
  <c r="N851" i="2"/>
  <c r="M851" i="2"/>
  <c r="D853" i="2"/>
  <c r="E852" i="2"/>
  <c r="R850" i="2"/>
  <c r="F44" i="2"/>
  <c r="P852" i="2" l="1"/>
  <c r="O852" i="2"/>
  <c r="L852" i="2"/>
  <c r="N852" i="2"/>
  <c r="M852" i="2"/>
  <c r="D854" i="2"/>
  <c r="E853" i="2"/>
  <c r="R851" i="2"/>
  <c r="F45" i="2"/>
  <c r="P853" i="2" l="1"/>
  <c r="O853" i="2"/>
  <c r="L853" i="2"/>
  <c r="N853" i="2"/>
  <c r="M853" i="2"/>
  <c r="D855" i="2"/>
  <c r="E854" i="2"/>
  <c r="R852" i="2"/>
  <c r="F46" i="2"/>
  <c r="P854" i="2" l="1"/>
  <c r="O854" i="2"/>
  <c r="N854" i="2"/>
  <c r="M854" i="2"/>
  <c r="L854" i="2"/>
  <c r="D856" i="2"/>
  <c r="E855" i="2"/>
  <c r="R853" i="2"/>
  <c r="F47" i="2"/>
  <c r="R854" i="2" l="1"/>
  <c r="P855" i="2"/>
  <c r="O855" i="2"/>
  <c r="M855" i="2"/>
  <c r="L855" i="2"/>
  <c r="N855" i="2"/>
  <c r="D857" i="2"/>
  <c r="E856" i="2"/>
  <c r="F48" i="2"/>
  <c r="P856" i="2" l="1"/>
  <c r="O856" i="2"/>
  <c r="N856" i="2"/>
  <c r="M856" i="2"/>
  <c r="L856" i="2"/>
  <c r="R856" i="2" s="1"/>
  <c r="D858" i="2"/>
  <c r="E857" i="2"/>
  <c r="R855" i="2"/>
  <c r="F49" i="2"/>
  <c r="O857" i="2" l="1"/>
  <c r="P857" i="2"/>
  <c r="N857" i="2"/>
  <c r="L857" i="2"/>
  <c r="M857" i="2"/>
  <c r="D859" i="2"/>
  <c r="E858" i="2"/>
  <c r="F50" i="2"/>
  <c r="O858" i="2" l="1"/>
  <c r="P858" i="2"/>
  <c r="N858" i="2"/>
  <c r="L858" i="2"/>
  <c r="M858" i="2"/>
  <c r="D860" i="2"/>
  <c r="E859" i="2"/>
  <c r="R857" i="2"/>
  <c r="F51" i="2"/>
  <c r="P859" i="2" l="1"/>
  <c r="O859" i="2"/>
  <c r="M859" i="2"/>
  <c r="N859" i="2"/>
  <c r="L859" i="2"/>
  <c r="D861" i="2"/>
  <c r="E860" i="2"/>
  <c r="R858" i="2"/>
  <c r="F52" i="2"/>
  <c r="R859" i="2" l="1"/>
  <c r="P860" i="2"/>
  <c r="O860" i="2"/>
  <c r="N860" i="2"/>
  <c r="L860" i="2"/>
  <c r="M860" i="2"/>
  <c r="D862" i="2"/>
  <c r="E861" i="2"/>
  <c r="F53" i="2"/>
  <c r="P861" i="2" l="1"/>
  <c r="O861" i="2"/>
  <c r="M861" i="2"/>
  <c r="N861" i="2"/>
  <c r="L861" i="2"/>
  <c r="R861" i="2" s="1"/>
  <c r="D863" i="2"/>
  <c r="E862" i="2"/>
  <c r="R860" i="2"/>
  <c r="F54" i="2"/>
  <c r="D864" i="2" l="1"/>
  <c r="E863" i="2"/>
  <c r="P862" i="2"/>
  <c r="O862" i="2"/>
  <c r="N862" i="2"/>
  <c r="L862" i="2"/>
  <c r="M862" i="2"/>
  <c r="F55" i="2"/>
  <c r="R862" i="2" l="1"/>
  <c r="P863" i="2"/>
  <c r="O863" i="2"/>
  <c r="N863" i="2"/>
  <c r="M863" i="2"/>
  <c r="L863" i="2"/>
  <c r="D865" i="2"/>
  <c r="E864" i="2"/>
  <c r="F56" i="2"/>
  <c r="R863" i="2" l="1"/>
  <c r="P864" i="2"/>
  <c r="N864" i="2"/>
  <c r="M864" i="2"/>
  <c r="O864" i="2"/>
  <c r="L864" i="2"/>
  <c r="R864" i="2" s="1"/>
  <c r="D866" i="2"/>
  <c r="E865" i="2"/>
  <c r="F57" i="2"/>
  <c r="P865" i="2" l="1"/>
  <c r="M865" i="2"/>
  <c r="N865" i="2"/>
  <c r="O865" i="2"/>
  <c r="L865" i="2"/>
  <c r="R865" i="2" s="1"/>
  <c r="D867" i="2"/>
  <c r="E866" i="2"/>
  <c r="F58" i="2"/>
  <c r="P866" i="2" l="1"/>
  <c r="M866" i="2"/>
  <c r="N866" i="2"/>
  <c r="L866" i="2"/>
  <c r="O866" i="2"/>
  <c r="D868" i="2"/>
  <c r="E867" i="2"/>
  <c r="F59" i="2"/>
  <c r="D869" i="2" l="1"/>
  <c r="E868" i="2"/>
  <c r="P867" i="2"/>
  <c r="M867" i="2"/>
  <c r="N867" i="2"/>
  <c r="L867" i="2"/>
  <c r="O867" i="2"/>
  <c r="R866" i="2"/>
  <c r="F60" i="2"/>
  <c r="R867" i="2" l="1"/>
  <c r="M868" i="2"/>
  <c r="N868" i="2"/>
  <c r="L868" i="2"/>
  <c r="P868" i="2"/>
  <c r="O868" i="2"/>
  <c r="D870" i="2"/>
  <c r="E869" i="2"/>
  <c r="F61" i="2"/>
  <c r="P869" i="2" l="1"/>
  <c r="N869" i="2"/>
  <c r="M869" i="2"/>
  <c r="L869" i="2"/>
  <c r="O869" i="2"/>
  <c r="D871" i="2"/>
  <c r="E870" i="2"/>
  <c r="R868" i="2"/>
  <c r="F62" i="2"/>
  <c r="D872" i="2" l="1"/>
  <c r="E871" i="2"/>
  <c r="P870" i="2"/>
  <c r="M870" i="2"/>
  <c r="L870" i="2"/>
  <c r="N870" i="2"/>
  <c r="O870" i="2"/>
  <c r="R869" i="2"/>
  <c r="F63" i="2"/>
  <c r="R870" i="2" l="1"/>
  <c r="P871" i="2"/>
  <c r="M871" i="2"/>
  <c r="L871" i="2"/>
  <c r="N871" i="2"/>
  <c r="O871" i="2"/>
  <c r="D873" i="2"/>
  <c r="E872" i="2"/>
  <c r="F64" i="2"/>
  <c r="P872" i="2" l="1"/>
  <c r="M872" i="2"/>
  <c r="L872" i="2"/>
  <c r="N872" i="2"/>
  <c r="O872" i="2"/>
  <c r="D874" i="2"/>
  <c r="E873" i="2"/>
  <c r="R871" i="2"/>
  <c r="F65" i="2"/>
  <c r="P873" i="2" l="1"/>
  <c r="M873" i="2"/>
  <c r="L873" i="2"/>
  <c r="O873" i="2"/>
  <c r="N873" i="2"/>
  <c r="D875" i="2"/>
  <c r="E874" i="2"/>
  <c r="R872" i="2"/>
  <c r="F66" i="2"/>
  <c r="P874" i="2" l="1"/>
  <c r="O874" i="2"/>
  <c r="N874" i="2"/>
  <c r="M874" i="2"/>
  <c r="L874" i="2"/>
  <c r="D876" i="2"/>
  <c r="E875" i="2"/>
  <c r="R873" i="2"/>
  <c r="F67" i="2"/>
  <c r="P875" i="2" l="1"/>
  <c r="O875" i="2"/>
  <c r="L875" i="2"/>
  <c r="N875" i="2"/>
  <c r="M875" i="2"/>
  <c r="R874" i="2"/>
  <c r="D877" i="2"/>
  <c r="E876" i="2"/>
  <c r="F68" i="2"/>
  <c r="D878" i="2" l="1"/>
  <c r="E877" i="2"/>
  <c r="O876" i="2"/>
  <c r="P876" i="2"/>
  <c r="N876" i="2"/>
  <c r="M876" i="2"/>
  <c r="L876" i="2"/>
  <c r="R875" i="2"/>
  <c r="F69" i="2"/>
  <c r="R876" i="2" l="1"/>
  <c r="O877" i="2"/>
  <c r="P877" i="2"/>
  <c r="N877" i="2"/>
  <c r="M877" i="2"/>
  <c r="L877" i="2"/>
  <c r="R877" i="2" s="1"/>
  <c r="D879" i="2"/>
  <c r="E878" i="2"/>
  <c r="F70" i="2"/>
  <c r="D880" i="2" l="1"/>
  <c r="E879" i="2"/>
  <c r="O878" i="2"/>
  <c r="N878" i="2"/>
  <c r="P878" i="2"/>
  <c r="M878" i="2"/>
  <c r="L878" i="2"/>
  <c r="F71" i="2"/>
  <c r="R878" i="2" l="1"/>
  <c r="N879" i="2"/>
  <c r="P879" i="2"/>
  <c r="O879" i="2"/>
  <c r="M879" i="2"/>
  <c r="L879" i="2"/>
  <c r="R879" i="2" s="1"/>
  <c r="D881" i="2"/>
  <c r="E880" i="2"/>
  <c r="F72" i="2"/>
  <c r="P880" i="2" l="1"/>
  <c r="N880" i="2"/>
  <c r="O880" i="2"/>
  <c r="M880" i="2"/>
  <c r="L880" i="2"/>
  <c r="D882" i="2"/>
  <c r="E881" i="2"/>
  <c r="F73" i="2"/>
  <c r="R880" i="2" l="1"/>
  <c r="P881" i="2"/>
  <c r="N881" i="2"/>
  <c r="O881" i="2"/>
  <c r="M881" i="2"/>
  <c r="L881" i="2"/>
  <c r="D883" i="2"/>
  <c r="E882" i="2"/>
  <c r="F74" i="2"/>
  <c r="R881" i="2" l="1"/>
  <c r="P882" i="2"/>
  <c r="N882" i="2"/>
  <c r="O882" i="2"/>
  <c r="M882" i="2"/>
  <c r="L882" i="2"/>
  <c r="D884" i="2"/>
  <c r="E883" i="2"/>
  <c r="F75" i="2"/>
  <c r="P883" i="2" l="1"/>
  <c r="O883" i="2"/>
  <c r="N883" i="2"/>
  <c r="M883" i="2"/>
  <c r="L883" i="2"/>
  <c r="R883" i="2" s="1"/>
  <c r="R882" i="2"/>
  <c r="D885" i="2"/>
  <c r="E884" i="2"/>
  <c r="F76" i="2"/>
  <c r="D886" i="2" l="1"/>
  <c r="E885" i="2"/>
  <c r="P884" i="2"/>
  <c r="O884" i="2"/>
  <c r="N884" i="2"/>
  <c r="M884" i="2"/>
  <c r="L884" i="2"/>
  <c r="F77" i="2"/>
  <c r="R884" i="2" l="1"/>
  <c r="P885" i="2"/>
  <c r="O885" i="2"/>
  <c r="N885" i="2"/>
  <c r="M885" i="2"/>
  <c r="L885" i="2"/>
  <c r="R885" i="2" s="1"/>
  <c r="D887" i="2"/>
  <c r="E886" i="2"/>
  <c r="F78" i="2"/>
  <c r="M886" i="2" l="1"/>
  <c r="O886" i="2"/>
  <c r="P886" i="2"/>
  <c r="N886" i="2"/>
  <c r="L886" i="2"/>
  <c r="D888" i="2"/>
  <c r="E887" i="2"/>
  <c r="F79" i="2"/>
  <c r="M887" i="2" l="1"/>
  <c r="O887" i="2"/>
  <c r="P887" i="2"/>
  <c r="N887" i="2"/>
  <c r="L887" i="2"/>
  <c r="R887" i="2" s="1"/>
  <c r="D889" i="2"/>
  <c r="E888" i="2"/>
  <c r="R886" i="2"/>
  <c r="F80" i="2"/>
  <c r="O888" i="2" l="1"/>
  <c r="P888" i="2"/>
  <c r="N888" i="2"/>
  <c r="L888" i="2"/>
  <c r="M888" i="2"/>
  <c r="D890" i="2"/>
  <c r="E889" i="2"/>
  <c r="F81" i="2"/>
  <c r="P889" i="2" l="1"/>
  <c r="O889" i="2"/>
  <c r="N889" i="2"/>
  <c r="L889" i="2"/>
  <c r="M889" i="2"/>
  <c r="D891" i="2"/>
  <c r="E890" i="2"/>
  <c r="R888" i="2"/>
  <c r="F82" i="2"/>
  <c r="P890" i="2" l="1"/>
  <c r="M890" i="2"/>
  <c r="O890" i="2"/>
  <c r="N890" i="2"/>
  <c r="L890" i="2"/>
  <c r="D892" i="2"/>
  <c r="E891" i="2"/>
  <c r="R889" i="2"/>
  <c r="F83" i="2"/>
  <c r="R890" i="2" l="1"/>
  <c r="D893" i="2"/>
  <c r="E892" i="2"/>
  <c r="P891" i="2"/>
  <c r="M891" i="2"/>
  <c r="O891" i="2"/>
  <c r="N891" i="2"/>
  <c r="L891" i="2"/>
  <c r="F84" i="2"/>
  <c r="R891" i="2" l="1"/>
  <c r="P892" i="2"/>
  <c r="O892" i="2"/>
  <c r="N892" i="2"/>
  <c r="L892" i="2"/>
  <c r="M892" i="2"/>
  <c r="D894" i="2"/>
  <c r="E893" i="2"/>
  <c r="F85" i="2"/>
  <c r="P893" i="2" l="1"/>
  <c r="O893" i="2"/>
  <c r="N893" i="2"/>
  <c r="L893" i="2"/>
  <c r="M893" i="2"/>
  <c r="D895" i="2"/>
  <c r="E894" i="2"/>
  <c r="R892" i="2"/>
  <c r="F86" i="2"/>
  <c r="D896" i="2" l="1"/>
  <c r="E895" i="2"/>
  <c r="P894" i="2"/>
  <c r="O894" i="2"/>
  <c r="N894" i="2"/>
  <c r="L894" i="2"/>
  <c r="M894" i="2"/>
  <c r="R893" i="2"/>
  <c r="F87" i="2"/>
  <c r="R894" i="2" l="1"/>
  <c r="P895" i="2"/>
  <c r="O895" i="2"/>
  <c r="N895" i="2"/>
  <c r="M895" i="2"/>
  <c r="L895" i="2"/>
  <c r="D897" i="2"/>
  <c r="E896" i="2"/>
  <c r="F88" i="2"/>
  <c r="R895" i="2" l="1"/>
  <c r="D898" i="2"/>
  <c r="E897" i="2"/>
  <c r="P896" i="2"/>
  <c r="N896" i="2"/>
  <c r="M896" i="2"/>
  <c r="O896" i="2"/>
  <c r="L896" i="2"/>
  <c r="F89" i="2"/>
  <c r="R896" i="2" l="1"/>
  <c r="O897" i="2"/>
  <c r="P897" i="2"/>
  <c r="N897" i="2"/>
  <c r="M897" i="2"/>
  <c r="L897" i="2"/>
  <c r="D899" i="2"/>
  <c r="E898" i="2"/>
  <c r="F90" i="2"/>
  <c r="R897" i="2" l="1"/>
  <c r="D900" i="2"/>
  <c r="E899" i="2"/>
  <c r="O898" i="2"/>
  <c r="P898" i="2"/>
  <c r="N898" i="2"/>
  <c r="M898" i="2"/>
  <c r="L898" i="2"/>
  <c r="R898" i="2" s="1"/>
  <c r="F91" i="2"/>
  <c r="P899" i="2" l="1"/>
  <c r="N899" i="2"/>
  <c r="M899" i="2"/>
  <c r="O899" i="2"/>
  <c r="L899" i="2"/>
  <c r="R899" i="2" s="1"/>
  <c r="D901" i="2"/>
  <c r="E900" i="2"/>
  <c r="F92" i="2"/>
  <c r="P900" i="2" l="1"/>
  <c r="O900" i="2"/>
  <c r="N900" i="2"/>
  <c r="L900" i="2"/>
  <c r="M900" i="2"/>
  <c r="D902" i="2"/>
  <c r="E901" i="2"/>
  <c r="F93" i="2"/>
  <c r="P901" i="2" l="1"/>
  <c r="N901" i="2"/>
  <c r="M901" i="2"/>
  <c r="L901" i="2"/>
  <c r="O901" i="2"/>
  <c r="D903" i="2"/>
  <c r="E902" i="2"/>
  <c r="R900" i="2"/>
  <c r="F94" i="2"/>
  <c r="D904" i="2" l="1"/>
  <c r="E903" i="2"/>
  <c r="P902" i="2"/>
  <c r="N902" i="2"/>
  <c r="O902" i="2"/>
  <c r="L902" i="2"/>
  <c r="M902" i="2"/>
  <c r="R901" i="2"/>
  <c r="F95" i="2"/>
  <c r="P903" i="2" l="1"/>
  <c r="N903" i="2"/>
  <c r="O903" i="2"/>
  <c r="M903" i="2"/>
  <c r="L903" i="2"/>
  <c r="R902" i="2"/>
  <c r="D905" i="2"/>
  <c r="E904" i="2"/>
  <c r="F96" i="2"/>
  <c r="R903" i="2" l="1"/>
  <c r="D906" i="2"/>
  <c r="E905" i="2"/>
  <c r="P904" i="2"/>
  <c r="N904" i="2"/>
  <c r="L904" i="2"/>
  <c r="M904" i="2"/>
  <c r="O904" i="2"/>
  <c r="F97" i="2"/>
  <c r="P905" i="2" l="1"/>
  <c r="O905" i="2"/>
  <c r="N905" i="2"/>
  <c r="M905" i="2"/>
  <c r="L905" i="2"/>
  <c r="R905" i="2" s="1"/>
  <c r="R904" i="2"/>
  <c r="D907" i="2"/>
  <c r="E906" i="2"/>
  <c r="F98" i="2"/>
  <c r="P906" i="2" l="1"/>
  <c r="O906" i="2"/>
  <c r="M906" i="2"/>
  <c r="L906" i="2"/>
  <c r="N906" i="2"/>
  <c r="D908" i="2"/>
  <c r="E907" i="2"/>
  <c r="F99" i="2"/>
  <c r="P907" i="2" l="1"/>
  <c r="M907" i="2"/>
  <c r="O907" i="2"/>
  <c r="L907" i="2"/>
  <c r="N907" i="2"/>
  <c r="D909" i="2"/>
  <c r="E908" i="2"/>
  <c r="R906" i="2"/>
  <c r="F100" i="2"/>
  <c r="D910" i="2" l="1"/>
  <c r="E909" i="2"/>
  <c r="P908" i="2"/>
  <c r="O908" i="2"/>
  <c r="M908" i="2"/>
  <c r="L908" i="2"/>
  <c r="N908" i="2"/>
  <c r="R907" i="2"/>
  <c r="F101" i="2"/>
  <c r="O909" i="2" l="1"/>
  <c r="L909" i="2"/>
  <c r="P909" i="2"/>
  <c r="M909" i="2"/>
  <c r="N909" i="2"/>
  <c r="R908" i="2"/>
  <c r="D911" i="2"/>
  <c r="E910" i="2"/>
  <c r="F102" i="2"/>
  <c r="O910" i="2" l="1"/>
  <c r="L910" i="2"/>
  <c r="N910" i="2"/>
  <c r="M910" i="2"/>
  <c r="P910" i="2"/>
  <c r="D912" i="2"/>
  <c r="E911" i="2"/>
  <c r="R909" i="2"/>
  <c r="F103" i="2"/>
  <c r="O911" i="2" l="1"/>
  <c r="L911" i="2"/>
  <c r="M911" i="2"/>
  <c r="N911" i="2"/>
  <c r="P911" i="2"/>
  <c r="R910" i="2"/>
  <c r="D913" i="2"/>
  <c r="E912" i="2"/>
  <c r="F104" i="2"/>
  <c r="O912" i="2" l="1"/>
  <c r="L912" i="2"/>
  <c r="P912" i="2"/>
  <c r="M912" i="2"/>
  <c r="N912" i="2"/>
  <c r="D914" i="2"/>
  <c r="E913" i="2"/>
  <c r="R911" i="2"/>
  <c r="F105" i="2"/>
  <c r="O913" i="2" l="1"/>
  <c r="M913" i="2"/>
  <c r="L913" i="2"/>
  <c r="P913" i="2"/>
  <c r="N913" i="2"/>
  <c r="R912" i="2"/>
  <c r="D915" i="2"/>
  <c r="E914" i="2"/>
  <c r="F106" i="2"/>
  <c r="D916" i="2" l="1"/>
  <c r="E915" i="2"/>
  <c r="P914" i="2"/>
  <c r="M914" i="2"/>
  <c r="L914" i="2"/>
  <c r="O914" i="2"/>
  <c r="N914" i="2"/>
  <c r="R913" i="2"/>
  <c r="F107" i="2"/>
  <c r="P915" i="2" l="1"/>
  <c r="L915" i="2"/>
  <c r="O915" i="2"/>
  <c r="N915" i="2"/>
  <c r="M915" i="2"/>
  <c r="R914" i="2"/>
  <c r="D917" i="2"/>
  <c r="E916" i="2"/>
  <c r="F108" i="2"/>
  <c r="D918" i="2" l="1"/>
  <c r="E917" i="2"/>
  <c r="R915" i="2"/>
  <c r="P916" i="2"/>
  <c r="O916" i="2"/>
  <c r="N916" i="2"/>
  <c r="L916" i="2"/>
  <c r="M916" i="2"/>
  <c r="F109" i="2"/>
  <c r="O917" i="2" l="1"/>
  <c r="P917" i="2"/>
  <c r="N917" i="2"/>
  <c r="M917" i="2"/>
  <c r="L917" i="2"/>
  <c r="R917" i="2" s="1"/>
  <c r="R916" i="2"/>
  <c r="D919" i="2"/>
  <c r="E918" i="2"/>
  <c r="F110" i="2"/>
  <c r="O918" i="2" l="1"/>
  <c r="P918" i="2"/>
  <c r="N918" i="2"/>
  <c r="M918" i="2"/>
  <c r="L918" i="2"/>
  <c r="R918" i="2" s="1"/>
  <c r="D920" i="2"/>
  <c r="E919" i="2"/>
  <c r="F111" i="2"/>
  <c r="P919" i="2" l="1"/>
  <c r="N919" i="2"/>
  <c r="M919" i="2"/>
  <c r="O919" i="2"/>
  <c r="L919" i="2"/>
  <c r="D921" i="2"/>
  <c r="E920" i="2"/>
  <c r="F112" i="2"/>
  <c r="P920" i="2" l="1"/>
  <c r="N920" i="2"/>
  <c r="M920" i="2"/>
  <c r="O920" i="2"/>
  <c r="L920" i="2"/>
  <c r="R920" i="2" s="1"/>
  <c r="R919" i="2"/>
  <c r="D922" i="2"/>
  <c r="E921" i="2"/>
  <c r="F113" i="2"/>
  <c r="P921" i="2" l="1"/>
  <c r="N921" i="2"/>
  <c r="M921" i="2"/>
  <c r="L921" i="2"/>
  <c r="O921" i="2"/>
  <c r="D923" i="2"/>
  <c r="E922" i="2"/>
  <c r="F114" i="2"/>
  <c r="R921" i="2" l="1"/>
  <c r="P922" i="2"/>
  <c r="O922" i="2"/>
  <c r="N922" i="2"/>
  <c r="M922" i="2"/>
  <c r="L922" i="2"/>
  <c r="R922" i="2" s="1"/>
  <c r="D924" i="2"/>
  <c r="E923" i="2"/>
  <c r="F115" i="2"/>
  <c r="P923" i="2" l="1"/>
  <c r="N923" i="2"/>
  <c r="M923" i="2"/>
  <c r="O923" i="2"/>
  <c r="L923" i="2"/>
  <c r="D925" i="2"/>
  <c r="E924" i="2"/>
  <c r="F116" i="2"/>
  <c r="R923" i="2" l="1"/>
  <c r="P924" i="2"/>
  <c r="N924" i="2"/>
  <c r="O924" i="2"/>
  <c r="M924" i="2"/>
  <c r="L924" i="2"/>
  <c r="R924" i="2" s="1"/>
  <c r="D926" i="2"/>
  <c r="E925" i="2"/>
  <c r="F117" i="2"/>
  <c r="D927" i="2" l="1"/>
  <c r="E926" i="2"/>
  <c r="P925" i="2"/>
  <c r="O925" i="2"/>
  <c r="N925" i="2"/>
  <c r="M925" i="2"/>
  <c r="L925" i="2"/>
  <c r="F118" i="2"/>
  <c r="R925" i="2" l="1"/>
  <c r="P926" i="2"/>
  <c r="M926" i="2"/>
  <c r="O926" i="2"/>
  <c r="N926" i="2"/>
  <c r="L926" i="2"/>
  <c r="D928" i="2"/>
  <c r="E927" i="2"/>
  <c r="F119" i="2"/>
  <c r="R926" i="2" l="1"/>
  <c r="P927" i="2"/>
  <c r="O927" i="2"/>
  <c r="M927" i="2"/>
  <c r="N927" i="2"/>
  <c r="L927" i="2"/>
  <c r="R927" i="2" s="1"/>
  <c r="D929" i="2"/>
  <c r="E928" i="2"/>
  <c r="F120" i="2"/>
  <c r="P928" i="2" l="1"/>
  <c r="O928" i="2"/>
  <c r="N928" i="2"/>
  <c r="M928" i="2"/>
  <c r="L928" i="2"/>
  <c r="D930" i="2"/>
  <c r="E929" i="2"/>
  <c r="F121" i="2"/>
  <c r="R928" i="2" l="1"/>
  <c r="P929" i="2"/>
  <c r="N929" i="2"/>
  <c r="O929" i="2"/>
  <c r="M929" i="2"/>
  <c r="L929" i="2"/>
  <c r="D931" i="2"/>
  <c r="E930" i="2"/>
  <c r="F122" i="2"/>
  <c r="R929" i="2" l="1"/>
  <c r="D932" i="2"/>
  <c r="E931" i="2"/>
  <c r="P930" i="2"/>
  <c r="N930" i="2"/>
  <c r="O930" i="2"/>
  <c r="L930" i="2"/>
  <c r="M930" i="2"/>
  <c r="F123" i="2"/>
  <c r="P931" i="2" l="1"/>
  <c r="O931" i="2"/>
  <c r="M931" i="2"/>
  <c r="L931" i="2"/>
  <c r="N931" i="2"/>
  <c r="R930" i="2"/>
  <c r="D933" i="2"/>
  <c r="E932" i="2"/>
  <c r="F124" i="2"/>
  <c r="P932" i="2" l="1"/>
  <c r="O932" i="2"/>
  <c r="L932" i="2"/>
  <c r="N932" i="2"/>
  <c r="M932" i="2"/>
  <c r="D934" i="2"/>
  <c r="E933" i="2"/>
  <c r="R931" i="2"/>
  <c r="F125" i="2"/>
  <c r="P933" i="2" l="1"/>
  <c r="O933" i="2"/>
  <c r="L933" i="2"/>
  <c r="N933" i="2"/>
  <c r="M933" i="2"/>
  <c r="D935" i="2"/>
  <c r="E934" i="2"/>
  <c r="R932" i="2"/>
  <c r="F126" i="2"/>
  <c r="R933" i="2" l="1"/>
  <c r="O934" i="2"/>
  <c r="L934" i="2"/>
  <c r="P934" i="2"/>
  <c r="N934" i="2"/>
  <c r="M934" i="2"/>
  <c r="D936" i="2"/>
  <c r="E935" i="2"/>
  <c r="F127" i="2"/>
  <c r="P935" i="2" l="1"/>
  <c r="O935" i="2"/>
  <c r="L935" i="2"/>
  <c r="N935" i="2"/>
  <c r="M935" i="2"/>
  <c r="D937" i="2"/>
  <c r="E936" i="2"/>
  <c r="R934" i="2"/>
  <c r="F128" i="2"/>
  <c r="P936" i="2" l="1"/>
  <c r="O936" i="2"/>
  <c r="M936" i="2"/>
  <c r="L936" i="2"/>
  <c r="N936" i="2"/>
  <c r="D938" i="2"/>
  <c r="E937" i="2"/>
  <c r="R935" i="2"/>
  <c r="F129" i="2"/>
  <c r="R936" i="2" l="1"/>
  <c r="D939" i="2"/>
  <c r="E938" i="2"/>
  <c r="O937" i="2"/>
  <c r="P937" i="2"/>
  <c r="M937" i="2"/>
  <c r="N937" i="2"/>
  <c r="L937" i="2"/>
  <c r="F130" i="2"/>
  <c r="R937" i="2" l="1"/>
  <c r="O938" i="2"/>
  <c r="P938" i="2"/>
  <c r="N938" i="2"/>
  <c r="L938" i="2"/>
  <c r="M938" i="2"/>
  <c r="D940" i="2"/>
  <c r="E939" i="2"/>
  <c r="F131" i="2"/>
  <c r="R938" i="2" l="1"/>
  <c r="D941" i="2"/>
  <c r="E940" i="2"/>
  <c r="P939" i="2"/>
  <c r="O939" i="2"/>
  <c r="N939" i="2"/>
  <c r="L939" i="2"/>
  <c r="M939" i="2"/>
  <c r="F132" i="2"/>
  <c r="R939" i="2" l="1"/>
  <c r="P940" i="2"/>
  <c r="O940" i="2"/>
  <c r="N940" i="2"/>
  <c r="M940" i="2"/>
  <c r="L940" i="2"/>
  <c r="R940" i="2" s="1"/>
  <c r="D942" i="2"/>
  <c r="E941" i="2"/>
  <c r="F133" i="2"/>
  <c r="P941" i="2" l="1"/>
  <c r="N941" i="2"/>
  <c r="M941" i="2"/>
  <c r="O941" i="2"/>
  <c r="L941" i="2"/>
  <c r="D943" i="2"/>
  <c r="E942" i="2"/>
  <c r="F134" i="2"/>
  <c r="R941" i="2" l="1"/>
  <c r="D944" i="2"/>
  <c r="E943" i="2"/>
  <c r="P942" i="2"/>
  <c r="N942" i="2"/>
  <c r="O942" i="2"/>
  <c r="L942" i="2"/>
  <c r="M942" i="2"/>
  <c r="F135" i="2"/>
  <c r="R942" i="2" l="1"/>
  <c r="P943" i="2"/>
  <c r="N943" i="2"/>
  <c r="O943" i="2"/>
  <c r="M943" i="2"/>
  <c r="L943" i="2"/>
  <c r="D945" i="2"/>
  <c r="E944" i="2"/>
  <c r="F136" i="2"/>
  <c r="R943" i="2" l="1"/>
  <c r="P944" i="2"/>
  <c r="O944" i="2"/>
  <c r="N944" i="2"/>
  <c r="L944" i="2"/>
  <c r="M944" i="2"/>
  <c r="D946" i="2"/>
  <c r="E945" i="2"/>
  <c r="F137" i="2"/>
  <c r="R944" i="2" l="1"/>
  <c r="D947" i="2"/>
  <c r="E946" i="2"/>
  <c r="P945" i="2"/>
  <c r="N945" i="2"/>
  <c r="O945" i="2"/>
  <c r="L945" i="2"/>
  <c r="M945" i="2"/>
  <c r="F138" i="2"/>
  <c r="P946" i="2" l="1"/>
  <c r="M946" i="2"/>
  <c r="N946" i="2"/>
  <c r="O946" i="2"/>
  <c r="L946" i="2"/>
  <c r="R945" i="2"/>
  <c r="D948" i="2"/>
  <c r="E947" i="2"/>
  <c r="F139" i="2"/>
  <c r="R946" i="2" l="1"/>
  <c r="P947" i="2"/>
  <c r="M947" i="2"/>
  <c r="N947" i="2"/>
  <c r="O947" i="2"/>
  <c r="L947" i="2"/>
  <c r="R947" i="2" s="1"/>
  <c r="D949" i="2"/>
  <c r="E948" i="2"/>
  <c r="F140" i="2"/>
  <c r="P948" i="2" l="1"/>
  <c r="O948" i="2"/>
  <c r="M948" i="2"/>
  <c r="N948" i="2"/>
  <c r="L948" i="2"/>
  <c r="R948" i="2" s="1"/>
  <c r="D950" i="2"/>
  <c r="E949" i="2"/>
  <c r="F141" i="2"/>
  <c r="D951" i="2" l="1"/>
  <c r="E950" i="2"/>
  <c r="O949" i="2"/>
  <c r="P949" i="2"/>
  <c r="M949" i="2"/>
  <c r="L949" i="2"/>
  <c r="N949" i="2"/>
  <c r="F142" i="2"/>
  <c r="O950" i="2" l="1"/>
  <c r="P950" i="2"/>
  <c r="M950" i="2"/>
  <c r="L950" i="2"/>
  <c r="N950" i="2"/>
  <c r="R949" i="2"/>
  <c r="D952" i="2"/>
  <c r="E951" i="2"/>
  <c r="F143" i="2"/>
  <c r="D953" i="2" l="1"/>
  <c r="E952" i="2"/>
  <c r="N951" i="2"/>
  <c r="P951" i="2"/>
  <c r="M951" i="2"/>
  <c r="O951" i="2"/>
  <c r="L951" i="2"/>
  <c r="R950" i="2"/>
  <c r="F144" i="2"/>
  <c r="R951" i="2" l="1"/>
  <c r="N952" i="2"/>
  <c r="M952" i="2"/>
  <c r="O952" i="2"/>
  <c r="L952" i="2"/>
  <c r="P952" i="2"/>
  <c r="D954" i="2"/>
  <c r="E953" i="2"/>
  <c r="F145" i="2"/>
  <c r="P953" i="2" l="1"/>
  <c r="N953" i="2"/>
  <c r="M953" i="2"/>
  <c r="O953" i="2"/>
  <c r="L953" i="2"/>
  <c r="D955" i="2"/>
  <c r="E954" i="2"/>
  <c r="R952" i="2"/>
  <c r="F146" i="2"/>
  <c r="R953" i="2" l="1"/>
  <c r="D956" i="2"/>
  <c r="E955" i="2"/>
  <c r="P954" i="2"/>
  <c r="N954" i="2"/>
  <c r="M954" i="2"/>
  <c r="O954" i="2"/>
  <c r="L954" i="2"/>
  <c r="F147" i="2"/>
  <c r="R954" i="2" l="1"/>
  <c r="P955" i="2"/>
  <c r="N955" i="2"/>
  <c r="M955" i="2"/>
  <c r="O955" i="2"/>
  <c r="L955" i="2"/>
  <c r="D957" i="2"/>
  <c r="E956" i="2"/>
  <c r="F148" i="2"/>
  <c r="R955" i="2" l="1"/>
  <c r="D958" i="2"/>
  <c r="E957" i="2"/>
  <c r="P956" i="2"/>
  <c r="N956" i="2"/>
  <c r="O956" i="2"/>
  <c r="L956" i="2"/>
  <c r="M956" i="2"/>
  <c r="F149" i="2"/>
  <c r="R956" i="2" l="1"/>
  <c r="O957" i="2"/>
  <c r="P957" i="2"/>
  <c r="N957" i="2"/>
  <c r="L957" i="2"/>
  <c r="M957" i="2"/>
  <c r="D959" i="2"/>
  <c r="E958" i="2"/>
  <c r="F150" i="2"/>
  <c r="O958" i="2" l="1"/>
  <c r="P958" i="2"/>
  <c r="N958" i="2"/>
  <c r="L958" i="2"/>
  <c r="M958" i="2"/>
  <c r="D960" i="2"/>
  <c r="E959" i="2"/>
  <c r="R957" i="2"/>
  <c r="F151" i="2"/>
  <c r="P959" i="2" l="1"/>
  <c r="N959" i="2"/>
  <c r="O959" i="2"/>
  <c r="M959" i="2"/>
  <c r="L959" i="2"/>
  <c r="D961" i="2"/>
  <c r="E960" i="2"/>
  <c r="R958" i="2"/>
  <c r="F152" i="2"/>
  <c r="R959" i="2" l="1"/>
  <c r="D962" i="2"/>
  <c r="E961" i="2"/>
  <c r="P960" i="2"/>
  <c r="N960" i="2"/>
  <c r="O960" i="2"/>
  <c r="M960" i="2"/>
  <c r="L960" i="2"/>
  <c r="F153" i="2"/>
  <c r="R960" i="2" l="1"/>
  <c r="P961" i="2"/>
  <c r="N961" i="2"/>
  <c r="O961" i="2"/>
  <c r="M961" i="2"/>
  <c r="L961" i="2"/>
  <c r="D963" i="2"/>
  <c r="E962" i="2"/>
  <c r="F154" i="2"/>
  <c r="R961" i="2" l="1"/>
  <c r="D964" i="2"/>
  <c r="E963" i="2"/>
  <c r="P962" i="2"/>
  <c r="N962" i="2"/>
  <c r="O962" i="2"/>
  <c r="L962" i="2"/>
  <c r="M962" i="2"/>
  <c r="F155" i="2"/>
  <c r="P963" i="2" l="1"/>
  <c r="N963" i="2"/>
  <c r="O963" i="2"/>
  <c r="L963" i="2"/>
  <c r="M963" i="2"/>
  <c r="R962" i="2"/>
  <c r="D965" i="2"/>
  <c r="E964" i="2"/>
  <c r="F156" i="2"/>
  <c r="R963" i="2" l="1"/>
  <c r="P964" i="2"/>
  <c r="N964" i="2"/>
  <c r="O964" i="2"/>
  <c r="L964" i="2"/>
  <c r="M964" i="2"/>
  <c r="D966" i="2"/>
  <c r="E965" i="2"/>
  <c r="F157" i="2"/>
  <c r="R964" i="2" l="1"/>
  <c r="P965" i="2"/>
  <c r="O965" i="2"/>
  <c r="M965" i="2"/>
  <c r="L965" i="2"/>
  <c r="N965" i="2"/>
  <c r="D967" i="2"/>
  <c r="E966" i="2"/>
  <c r="F158" i="2"/>
  <c r="D968" i="2" l="1"/>
  <c r="E967" i="2"/>
  <c r="O966" i="2"/>
  <c r="M966" i="2"/>
  <c r="L966" i="2"/>
  <c r="P966" i="2"/>
  <c r="N966" i="2"/>
  <c r="R965" i="2"/>
  <c r="F159" i="2"/>
  <c r="M967" i="2" l="1"/>
  <c r="L967" i="2"/>
  <c r="N967" i="2"/>
  <c r="O967" i="2"/>
  <c r="P967" i="2"/>
  <c r="R966" i="2"/>
  <c r="D969" i="2"/>
  <c r="E968" i="2"/>
  <c r="F160" i="2"/>
  <c r="P968" i="2" l="1"/>
  <c r="O968" i="2"/>
  <c r="M968" i="2"/>
  <c r="N968" i="2"/>
  <c r="L968" i="2"/>
  <c r="R968" i="2" s="1"/>
  <c r="D970" i="2"/>
  <c r="E969" i="2"/>
  <c r="R967" i="2"/>
  <c r="F161" i="2"/>
  <c r="P969" i="2" l="1"/>
  <c r="O969" i="2"/>
  <c r="M969" i="2"/>
  <c r="N969" i="2"/>
  <c r="L969" i="2"/>
  <c r="D971" i="2"/>
  <c r="E970" i="2"/>
  <c r="F162" i="2"/>
  <c r="R969" i="2" l="1"/>
  <c r="D972" i="2"/>
  <c r="E971" i="2"/>
  <c r="P970" i="2"/>
  <c r="O970" i="2"/>
  <c r="M970" i="2"/>
  <c r="N970" i="2"/>
  <c r="L970" i="2"/>
  <c r="F163" i="2"/>
  <c r="R970" i="2" l="1"/>
  <c r="O971" i="2"/>
  <c r="P971" i="2"/>
  <c r="M971" i="2"/>
  <c r="N971" i="2"/>
  <c r="L971" i="2"/>
  <c r="D973" i="2"/>
  <c r="E972" i="2"/>
  <c r="F164" i="2"/>
  <c r="R971" i="2" l="1"/>
  <c r="O972" i="2"/>
  <c r="P972" i="2"/>
  <c r="L972" i="2"/>
  <c r="M972" i="2"/>
  <c r="N972" i="2"/>
  <c r="D974" i="2"/>
  <c r="E973" i="2"/>
  <c r="F165" i="2"/>
  <c r="P973" i="2" l="1"/>
  <c r="O973" i="2"/>
  <c r="L973" i="2"/>
  <c r="M973" i="2"/>
  <c r="N973" i="2"/>
  <c r="D975" i="2"/>
  <c r="E974" i="2"/>
  <c r="R972" i="2"/>
  <c r="F166" i="2"/>
  <c r="R973" i="2" l="1"/>
  <c r="D976" i="2"/>
  <c r="E975" i="2"/>
  <c r="P974" i="2"/>
  <c r="O974" i="2"/>
  <c r="L974" i="2"/>
  <c r="N974" i="2"/>
  <c r="M974" i="2"/>
  <c r="F167" i="2"/>
  <c r="R974" i="2" l="1"/>
  <c r="P975" i="2"/>
  <c r="O975" i="2"/>
  <c r="L975" i="2"/>
  <c r="N975" i="2"/>
  <c r="M975" i="2"/>
  <c r="D977" i="2"/>
  <c r="E976" i="2"/>
  <c r="F168" i="2"/>
  <c r="D978" i="2" l="1"/>
  <c r="E977" i="2"/>
  <c r="R975" i="2"/>
  <c r="P976" i="2"/>
  <c r="O976" i="2"/>
  <c r="L976" i="2"/>
  <c r="N976" i="2"/>
  <c r="M976" i="2"/>
  <c r="F169" i="2"/>
  <c r="O977" i="2" l="1"/>
  <c r="P977" i="2"/>
  <c r="M977" i="2"/>
  <c r="L977" i="2"/>
  <c r="N977" i="2"/>
  <c r="R976" i="2"/>
  <c r="D979" i="2"/>
  <c r="E978" i="2"/>
  <c r="F170" i="2"/>
  <c r="R977" i="2" l="1"/>
  <c r="O978" i="2"/>
  <c r="P978" i="2"/>
  <c r="N978" i="2"/>
  <c r="L978" i="2"/>
  <c r="M978" i="2"/>
  <c r="D980" i="2"/>
  <c r="E979" i="2"/>
  <c r="F171" i="2"/>
  <c r="R978" i="2" l="1"/>
  <c r="P979" i="2"/>
  <c r="N979" i="2"/>
  <c r="M979" i="2"/>
  <c r="O979" i="2"/>
  <c r="L979" i="2"/>
  <c r="R979" i="2" s="1"/>
  <c r="D981" i="2"/>
  <c r="E980" i="2"/>
  <c r="F172" i="2"/>
  <c r="P980" i="2" l="1"/>
  <c r="N980" i="2"/>
  <c r="M980" i="2"/>
  <c r="O980" i="2"/>
  <c r="L980" i="2"/>
  <c r="D982" i="2"/>
  <c r="E982" i="2" s="1"/>
  <c r="E981" i="2"/>
  <c r="F173" i="2"/>
  <c r="R980" i="2" l="1"/>
  <c r="P981" i="2"/>
  <c r="N981" i="2"/>
  <c r="M981" i="2"/>
  <c r="L981" i="2"/>
  <c r="O981" i="2"/>
  <c r="P982" i="2"/>
  <c r="N982" i="2"/>
  <c r="M982" i="2"/>
  <c r="O982" i="2"/>
  <c r="L982" i="2"/>
  <c r="F174" i="2"/>
  <c r="R982" i="2" l="1"/>
  <c r="B10" i="1" s="1"/>
  <c r="D10" i="1" s="1"/>
  <c r="D11" i="1" s="1"/>
  <c r="R981" i="2"/>
  <c r="F175" i="2"/>
  <c r="F176" i="2" l="1"/>
  <c r="F177" i="2" l="1"/>
  <c r="F178" i="2" l="1"/>
  <c r="F179" i="2" l="1"/>
  <c r="F180" i="2" l="1"/>
  <c r="F181" i="2" l="1"/>
  <c r="F182" i="2" l="1"/>
  <c r="F183" i="2" l="1"/>
  <c r="F184" i="2" l="1"/>
  <c r="F185" i="2" l="1"/>
  <c r="F186" i="2" l="1"/>
  <c r="F187" i="2" l="1"/>
  <c r="F188" i="2" l="1"/>
  <c r="F189" i="2" l="1"/>
  <c r="F190" i="2" l="1"/>
  <c r="F191" i="2" l="1"/>
  <c r="F192" i="2" l="1"/>
  <c r="F193" i="2" l="1"/>
  <c r="F194" i="2" l="1"/>
  <c r="F195" i="2" l="1"/>
  <c r="F196" i="2" l="1"/>
  <c r="F197" i="2" l="1"/>
  <c r="F198" i="2" l="1"/>
  <c r="F199" i="2" l="1"/>
  <c r="F200" i="2" l="1"/>
  <c r="F201" i="2" l="1"/>
  <c r="F202" i="2" l="1"/>
  <c r="F203" i="2" l="1"/>
  <c r="F204" i="2" l="1"/>
  <c r="F205" i="2" l="1"/>
  <c r="F206" i="2" l="1"/>
  <c r="F207" i="2" l="1"/>
  <c r="F208" i="2" l="1"/>
  <c r="F209" i="2" l="1"/>
  <c r="F210" i="2" l="1"/>
  <c r="F211" i="2" l="1"/>
  <c r="F212" i="2" l="1"/>
  <c r="F213" i="2" l="1"/>
  <c r="F214" i="2" l="1"/>
  <c r="F215" i="2" l="1"/>
  <c r="F216" i="2" l="1"/>
  <c r="F217" i="2" l="1"/>
  <c r="F218" i="2" l="1"/>
  <c r="F219" i="2" l="1"/>
  <c r="F220" i="2" l="1"/>
  <c r="F221" i="2" l="1"/>
  <c r="F222" i="2" l="1"/>
  <c r="F223" i="2" l="1"/>
  <c r="F224" i="2" l="1"/>
  <c r="F225" i="2" l="1"/>
  <c r="F226" i="2" l="1"/>
  <c r="F227" i="2" l="1"/>
  <c r="F228" i="2" l="1"/>
  <c r="F229" i="2" l="1"/>
  <c r="F230" i="2" l="1"/>
  <c r="F231" i="2" l="1"/>
  <c r="F232" i="2" l="1"/>
  <c r="F233" i="2" l="1"/>
  <c r="F234" i="2" l="1"/>
  <c r="F235" i="2" l="1"/>
  <c r="F236" i="2" l="1"/>
  <c r="F237" i="2" l="1"/>
  <c r="F238" i="2" l="1"/>
  <c r="F239" i="2" l="1"/>
  <c r="F240" i="2" l="1"/>
  <c r="F241" i="2" l="1"/>
  <c r="F242" i="2" l="1"/>
  <c r="F243" i="2" l="1"/>
  <c r="F244" i="2" l="1"/>
  <c r="F245" i="2" l="1"/>
  <c r="F246" i="2" l="1"/>
  <c r="F247" i="2" l="1"/>
  <c r="F248" i="2" l="1"/>
  <c r="F249" i="2" l="1"/>
  <c r="F250" i="2" l="1"/>
  <c r="F251" i="2" l="1"/>
  <c r="F252" i="2" l="1"/>
  <c r="F253" i="2" l="1"/>
  <c r="F254" i="2" l="1"/>
  <c r="F255" i="2" l="1"/>
  <c r="F256" i="2" l="1"/>
  <c r="F257" i="2" l="1"/>
  <c r="F258" i="2" l="1"/>
  <c r="F259" i="2" l="1"/>
  <c r="F260" i="2" l="1"/>
  <c r="F261" i="2" l="1"/>
  <c r="F262" i="2" l="1"/>
  <c r="F263" i="2" l="1"/>
  <c r="F264" i="2" l="1"/>
  <c r="F265" i="2" l="1"/>
  <c r="F266" i="2" l="1"/>
  <c r="F267" i="2" l="1"/>
  <c r="F268" i="2" l="1"/>
  <c r="F269" i="2" l="1"/>
  <c r="F270" i="2" l="1"/>
  <c r="F271" i="2" l="1"/>
  <c r="F272" i="2" l="1"/>
  <c r="F273" i="2" l="1"/>
  <c r="F274" i="2" l="1"/>
  <c r="F275" i="2" l="1"/>
  <c r="F276" i="2" l="1"/>
  <c r="F277" i="2" l="1"/>
  <c r="F278" i="2" l="1"/>
  <c r="F279" i="2" l="1"/>
  <c r="F280" i="2" l="1"/>
  <c r="F281" i="2" l="1"/>
  <c r="F282" i="2" l="1"/>
  <c r="F283" i="2" l="1"/>
  <c r="F284" i="2" l="1"/>
  <c r="F285" i="2" l="1"/>
  <c r="F286" i="2" l="1"/>
  <c r="F287" i="2" l="1"/>
  <c r="F288" i="2" l="1"/>
  <c r="F289" i="2" l="1"/>
  <c r="F290" i="2" l="1"/>
  <c r="F291" i="2" l="1"/>
  <c r="F292" i="2" l="1"/>
  <c r="F293" i="2" l="1"/>
  <c r="F294" i="2" l="1"/>
  <c r="F295" i="2" l="1"/>
  <c r="F296" i="2" l="1"/>
  <c r="F297" i="2" l="1"/>
  <c r="F298" i="2" l="1"/>
  <c r="F299" i="2" l="1"/>
  <c r="F300" i="2" l="1"/>
  <c r="F301" i="2" l="1"/>
  <c r="F302" i="2" l="1"/>
  <c r="F303" i="2" l="1"/>
  <c r="F304" i="2" l="1"/>
  <c r="F305" i="2" l="1"/>
  <c r="F306" i="2" l="1"/>
  <c r="F307" i="2" l="1"/>
  <c r="F308" i="2" l="1"/>
  <c r="F309" i="2" l="1"/>
  <c r="F310" i="2" l="1"/>
  <c r="F311" i="2" l="1"/>
  <c r="F312" i="2" l="1"/>
  <c r="F313" i="2" l="1"/>
  <c r="F314" i="2" l="1"/>
  <c r="F315" i="2" l="1"/>
  <c r="F316" i="2" l="1"/>
  <c r="F317" i="2" l="1"/>
  <c r="F318" i="2" l="1"/>
  <c r="F319" i="2" l="1"/>
  <c r="F320" i="2" l="1"/>
  <c r="F321" i="2" l="1"/>
  <c r="F322" i="2" l="1"/>
  <c r="F323" i="2" l="1"/>
  <c r="F324" i="2" l="1"/>
  <c r="F325" i="2" l="1"/>
  <c r="F326" i="2" l="1"/>
  <c r="F327" i="2" l="1"/>
  <c r="F328" i="2" l="1"/>
  <c r="F329" i="2" l="1"/>
  <c r="F330" i="2" l="1"/>
  <c r="F331" i="2" l="1"/>
  <c r="F332" i="2" l="1"/>
  <c r="F333" i="2" l="1"/>
  <c r="F334" i="2" l="1"/>
  <c r="F335" i="2" l="1"/>
  <c r="F336" i="2" l="1"/>
  <c r="F337" i="2" l="1"/>
  <c r="F338" i="2" l="1"/>
  <c r="F339" i="2" l="1"/>
  <c r="F340" i="2" l="1"/>
  <c r="F341" i="2" l="1"/>
  <c r="F342" i="2" l="1"/>
  <c r="F343" i="2" l="1"/>
  <c r="F344" i="2" l="1"/>
  <c r="F345" i="2" l="1"/>
  <c r="F346" i="2" l="1"/>
  <c r="F347" i="2" l="1"/>
  <c r="F348" i="2" l="1"/>
  <c r="F349" i="2" l="1"/>
  <c r="F350" i="2" l="1"/>
  <c r="F351" i="2" l="1"/>
  <c r="F352" i="2" l="1"/>
  <c r="F353" i="2" l="1"/>
  <c r="F354" i="2" l="1"/>
  <c r="F355" i="2" l="1"/>
  <c r="F356" i="2" l="1"/>
  <c r="F357" i="2" l="1"/>
  <c r="F358" i="2" l="1"/>
  <c r="F359" i="2" l="1"/>
  <c r="F360" i="2" l="1"/>
  <c r="F361" i="2" l="1"/>
  <c r="F362" i="2" l="1"/>
  <c r="F363" i="2" l="1"/>
  <c r="F364" i="2" l="1"/>
  <c r="F365" i="2" l="1"/>
  <c r="F366" i="2" l="1"/>
  <c r="F367" i="2" l="1"/>
  <c r="F368" i="2" l="1"/>
  <c r="F369" i="2" l="1"/>
  <c r="F370" i="2" l="1"/>
  <c r="F371" i="2" l="1"/>
  <c r="F372" i="2" l="1"/>
  <c r="F373" i="2" l="1"/>
  <c r="F374" i="2" l="1"/>
  <c r="F375" i="2" l="1"/>
  <c r="F376" i="2" l="1"/>
  <c r="F377" i="2" l="1"/>
  <c r="F378" i="2" l="1"/>
  <c r="F379" i="2" l="1"/>
  <c r="F380" i="2" l="1"/>
  <c r="F381" i="2" l="1"/>
  <c r="F382" i="2" l="1"/>
  <c r="F383" i="2" l="1"/>
  <c r="F384" i="2" l="1"/>
  <c r="F385" i="2" l="1"/>
  <c r="F386" i="2" l="1"/>
  <c r="F387" i="2" l="1"/>
  <c r="F388" i="2" l="1"/>
  <c r="F389" i="2" l="1"/>
  <c r="F390" i="2" l="1"/>
  <c r="F391" i="2" l="1"/>
  <c r="F392" i="2" l="1"/>
  <c r="F393" i="2" l="1"/>
  <c r="F394" i="2" l="1"/>
  <c r="F395" i="2" l="1"/>
  <c r="F396" i="2" l="1"/>
  <c r="F397" i="2" l="1"/>
  <c r="F398" i="2" l="1"/>
  <c r="F399" i="2" l="1"/>
  <c r="F400" i="2" l="1"/>
  <c r="F401" i="2" l="1"/>
  <c r="F402" i="2" l="1"/>
  <c r="F403" i="2" l="1"/>
  <c r="F404" i="2" l="1"/>
  <c r="F405" i="2" l="1"/>
  <c r="F406" i="2" l="1"/>
  <c r="F407" i="2" l="1"/>
  <c r="F408" i="2" l="1"/>
  <c r="F409" i="2" l="1"/>
  <c r="F410" i="2" l="1"/>
  <c r="F411" i="2" l="1"/>
  <c r="F412" i="2" l="1"/>
  <c r="F413" i="2" l="1"/>
  <c r="F414" i="2" l="1"/>
  <c r="F415" i="2" l="1"/>
  <c r="F416" i="2" l="1"/>
  <c r="F417" i="2" l="1"/>
  <c r="F418" i="2" l="1"/>
  <c r="F419" i="2" l="1"/>
  <c r="F420" i="2" l="1"/>
  <c r="F421" i="2" l="1"/>
  <c r="F422" i="2" l="1"/>
  <c r="F423" i="2" l="1"/>
  <c r="F424" i="2" l="1"/>
  <c r="F425" i="2" l="1"/>
  <c r="F426" i="2" l="1"/>
  <c r="F427" i="2" l="1"/>
  <c r="F428" i="2" l="1"/>
  <c r="F429" i="2" l="1"/>
  <c r="F430" i="2" l="1"/>
  <c r="F431" i="2" l="1"/>
  <c r="F432" i="2" l="1"/>
  <c r="F433" i="2" l="1"/>
  <c r="F434" i="2" l="1"/>
  <c r="F435" i="2" l="1"/>
  <c r="F436" i="2" l="1"/>
  <c r="F437" i="2" l="1"/>
  <c r="F438" i="2" l="1"/>
  <c r="F439" i="2" l="1"/>
  <c r="F440" i="2" l="1"/>
  <c r="F441" i="2" l="1"/>
  <c r="F442" i="2" l="1"/>
  <c r="F443" i="2" l="1"/>
  <c r="F444" i="2" l="1"/>
  <c r="F445" i="2" l="1"/>
  <c r="F446" i="2" l="1"/>
  <c r="F447" i="2" l="1"/>
  <c r="F448" i="2" l="1"/>
  <c r="F449" i="2" l="1"/>
  <c r="F450" i="2" l="1"/>
  <c r="F451" i="2" l="1"/>
  <c r="F452" i="2" l="1"/>
  <c r="F453" i="2" l="1"/>
  <c r="F454" i="2" l="1"/>
  <c r="F455" i="2" l="1"/>
  <c r="F456" i="2" l="1"/>
  <c r="F457" i="2" l="1"/>
  <c r="F458" i="2" l="1"/>
  <c r="F459" i="2" l="1"/>
  <c r="F460" i="2" l="1"/>
  <c r="F461" i="2" l="1"/>
  <c r="F462" i="2" l="1"/>
  <c r="F463" i="2" l="1"/>
  <c r="F464" i="2" l="1"/>
  <c r="F465" i="2" l="1"/>
  <c r="F466" i="2" l="1"/>
  <c r="F467" i="2" l="1"/>
  <c r="F468" i="2" l="1"/>
  <c r="F469" i="2" l="1"/>
  <c r="F470" i="2" l="1"/>
  <c r="F471" i="2" l="1"/>
  <c r="F472" i="2" l="1"/>
  <c r="F473" i="2" l="1"/>
  <c r="F474" i="2" l="1"/>
  <c r="F475" i="2" l="1"/>
  <c r="F476" i="2" l="1"/>
  <c r="F477" i="2" l="1"/>
  <c r="F478" i="2" l="1"/>
  <c r="F479" i="2" l="1"/>
  <c r="F480" i="2" l="1"/>
  <c r="F481" i="2" l="1"/>
  <c r="F482" i="2" l="1"/>
  <c r="F483" i="2" l="1"/>
  <c r="F484" i="2" l="1"/>
  <c r="F485" i="2" l="1"/>
  <c r="F486" i="2" l="1"/>
  <c r="F487" i="2" l="1"/>
  <c r="F488" i="2" l="1"/>
  <c r="F489" i="2" l="1"/>
  <c r="F490" i="2" l="1"/>
  <c r="F491" i="2" l="1"/>
  <c r="F492" i="2" l="1"/>
  <c r="F493" i="2" l="1"/>
  <c r="F494" i="2" l="1"/>
  <c r="F495" i="2" l="1"/>
  <c r="F496" i="2" l="1"/>
  <c r="F497" i="2" l="1"/>
  <c r="F498" i="2" l="1"/>
  <c r="F499" i="2" l="1"/>
  <c r="F500" i="2" l="1"/>
  <c r="F501" i="2" l="1"/>
  <c r="F502" i="2" l="1"/>
  <c r="F503" i="2" l="1"/>
  <c r="F504" i="2" l="1"/>
  <c r="F505" i="2" l="1"/>
  <c r="F506" i="2" l="1"/>
  <c r="F507" i="2" l="1"/>
  <c r="F508" i="2" l="1"/>
  <c r="F509" i="2" l="1"/>
  <c r="F510" i="2" l="1"/>
  <c r="F511" i="2" l="1"/>
  <c r="F512" i="2" l="1"/>
  <c r="F513" i="2" l="1"/>
  <c r="F514" i="2" l="1"/>
  <c r="F515" i="2" l="1"/>
  <c r="F516" i="2" l="1"/>
  <c r="F517" i="2" l="1"/>
  <c r="F518" i="2" l="1"/>
  <c r="F519" i="2" l="1"/>
  <c r="F520" i="2" l="1"/>
  <c r="F521" i="2" l="1"/>
  <c r="F522" i="2" l="1"/>
  <c r="F523" i="2" l="1"/>
  <c r="F524" i="2" l="1"/>
  <c r="F525" i="2" l="1"/>
  <c r="F526" i="2" l="1"/>
  <c r="F527" i="2" l="1"/>
  <c r="F528" i="2" l="1"/>
  <c r="F529" i="2" l="1"/>
  <c r="F530" i="2" l="1"/>
  <c r="F531" i="2" l="1"/>
  <c r="F532" i="2" l="1"/>
  <c r="F533" i="2" l="1"/>
  <c r="F534" i="2" l="1"/>
  <c r="F535" i="2" l="1"/>
  <c r="F536" i="2" l="1"/>
  <c r="F537" i="2" l="1"/>
  <c r="F538" i="2" l="1"/>
  <c r="F539" i="2" l="1"/>
  <c r="F540" i="2" l="1"/>
  <c r="F541" i="2" l="1"/>
  <c r="F542" i="2" l="1"/>
  <c r="F543" i="2" l="1"/>
  <c r="F544" i="2" l="1"/>
  <c r="F545" i="2" l="1"/>
  <c r="F546" i="2" l="1"/>
  <c r="F547" i="2" l="1"/>
  <c r="F548" i="2" l="1"/>
  <c r="F549" i="2" l="1"/>
  <c r="F550" i="2" l="1"/>
  <c r="F551" i="2" l="1"/>
  <c r="F552" i="2" l="1"/>
  <c r="F553" i="2" l="1"/>
  <c r="F554" i="2" l="1"/>
  <c r="F555" i="2" l="1"/>
  <c r="F556" i="2" l="1"/>
  <c r="F557" i="2" l="1"/>
  <c r="F558" i="2" l="1"/>
  <c r="F559" i="2" l="1"/>
  <c r="F560" i="2" l="1"/>
  <c r="F561" i="2" l="1"/>
  <c r="F562" i="2" l="1"/>
  <c r="F563" i="2" l="1"/>
  <c r="F564" i="2" l="1"/>
  <c r="F565" i="2" l="1"/>
  <c r="F566" i="2" l="1"/>
  <c r="F567" i="2" l="1"/>
  <c r="F568" i="2" l="1"/>
  <c r="F569" i="2" l="1"/>
  <c r="F570" i="2" l="1"/>
  <c r="F571" i="2" l="1"/>
  <c r="F572" i="2" l="1"/>
  <c r="F573" i="2" l="1"/>
  <c r="F574" i="2" l="1"/>
  <c r="F575" i="2" l="1"/>
  <c r="F576" i="2" l="1"/>
  <c r="F577" i="2" l="1"/>
  <c r="F578" i="2" l="1"/>
  <c r="F579" i="2" l="1"/>
  <c r="F580" i="2" l="1"/>
  <c r="F581" i="2" l="1"/>
  <c r="F582" i="2" l="1"/>
  <c r="F583" i="2" l="1"/>
  <c r="F584" i="2" l="1"/>
  <c r="F585" i="2" l="1"/>
  <c r="F586" i="2" l="1"/>
  <c r="F587" i="2" l="1"/>
  <c r="F588" i="2" l="1"/>
  <c r="F589" i="2" l="1"/>
  <c r="F590" i="2" l="1"/>
  <c r="F591" i="2" l="1"/>
  <c r="F592" i="2" l="1"/>
  <c r="F593" i="2" l="1"/>
  <c r="F594" i="2" l="1"/>
  <c r="F595" i="2" l="1"/>
  <c r="F596" i="2" l="1"/>
  <c r="F597" i="2" l="1"/>
  <c r="F598" i="2" l="1"/>
  <c r="F599" i="2" l="1"/>
  <c r="F600" i="2" l="1"/>
  <c r="F601" i="2" l="1"/>
  <c r="F602" i="2" l="1"/>
  <c r="F603" i="2" l="1"/>
  <c r="F604" i="2" l="1"/>
  <c r="F605" i="2" l="1"/>
  <c r="F606" i="2" l="1"/>
  <c r="F607" i="2" l="1"/>
  <c r="F608" i="2" l="1"/>
  <c r="F609" i="2" l="1"/>
  <c r="F610" i="2" l="1"/>
  <c r="F611" i="2" l="1"/>
  <c r="F612" i="2" l="1"/>
  <c r="F613" i="2" l="1"/>
  <c r="F614" i="2" l="1"/>
  <c r="F615" i="2" l="1"/>
  <c r="F616" i="2" l="1"/>
  <c r="F617" i="2" l="1"/>
  <c r="F618" i="2" l="1"/>
  <c r="F619" i="2" l="1"/>
  <c r="F620" i="2" l="1"/>
  <c r="F621" i="2" l="1"/>
  <c r="F622" i="2" l="1"/>
  <c r="F623" i="2" l="1"/>
  <c r="F624" i="2" l="1"/>
  <c r="F625" i="2" l="1"/>
  <c r="F626" i="2" l="1"/>
  <c r="F627" i="2" l="1"/>
  <c r="F628" i="2" l="1"/>
  <c r="F629" i="2" l="1"/>
  <c r="F630" i="2" l="1"/>
  <c r="F631" i="2" l="1"/>
  <c r="F632" i="2" l="1"/>
  <c r="F633" i="2" l="1"/>
  <c r="F634" i="2" l="1"/>
  <c r="F635" i="2" l="1"/>
  <c r="F636" i="2" l="1"/>
  <c r="F637" i="2" l="1"/>
  <c r="F638" i="2" l="1"/>
  <c r="F639" i="2" l="1"/>
  <c r="F640" i="2" l="1"/>
  <c r="F641" i="2" l="1"/>
  <c r="F642" i="2" l="1"/>
  <c r="F643" i="2" l="1"/>
  <c r="F644" i="2" l="1"/>
  <c r="F645" i="2" l="1"/>
  <c r="F646" i="2" l="1"/>
  <c r="F647" i="2" l="1"/>
  <c r="F648" i="2" l="1"/>
  <c r="F649" i="2" l="1"/>
  <c r="F650" i="2" l="1"/>
  <c r="F651" i="2" l="1"/>
  <c r="F652" i="2" l="1"/>
  <c r="F653" i="2" l="1"/>
  <c r="F654" i="2" l="1"/>
  <c r="F655" i="2" l="1"/>
  <c r="F656" i="2" l="1"/>
  <c r="F657" i="2" l="1"/>
  <c r="F658" i="2" l="1"/>
  <c r="F659" i="2" l="1"/>
  <c r="F660" i="2" l="1"/>
  <c r="F661" i="2" l="1"/>
  <c r="F662" i="2" l="1"/>
  <c r="F663" i="2" l="1"/>
  <c r="F664" i="2" l="1"/>
  <c r="F665" i="2" l="1"/>
  <c r="F666" i="2" l="1"/>
  <c r="F667" i="2" l="1"/>
  <c r="F668" i="2" l="1"/>
  <c r="F669" i="2" l="1"/>
  <c r="F670" i="2" l="1"/>
  <c r="F671" i="2" l="1"/>
  <c r="F672" i="2" l="1"/>
  <c r="F673" i="2" l="1"/>
  <c r="F674" i="2" l="1"/>
  <c r="F675" i="2" l="1"/>
  <c r="F676" i="2" l="1"/>
  <c r="F677" i="2" l="1"/>
  <c r="F678" i="2" l="1"/>
  <c r="F679" i="2" l="1"/>
  <c r="F680" i="2" l="1"/>
  <c r="F681" i="2" l="1"/>
  <c r="F682" i="2" l="1"/>
  <c r="F683" i="2" l="1"/>
  <c r="F684" i="2" l="1"/>
  <c r="F685" i="2" l="1"/>
  <c r="F686" i="2" l="1"/>
  <c r="F687" i="2" l="1"/>
  <c r="F688" i="2" l="1"/>
  <c r="F689" i="2" l="1"/>
  <c r="F690" i="2" l="1"/>
  <c r="F691" i="2" l="1"/>
  <c r="F692" i="2" l="1"/>
  <c r="F693" i="2" l="1"/>
  <c r="F694" i="2" l="1"/>
  <c r="F695" i="2" l="1"/>
  <c r="F696" i="2" l="1"/>
  <c r="F697" i="2" l="1"/>
  <c r="F698" i="2" l="1"/>
  <c r="F699" i="2" l="1"/>
  <c r="F700" i="2" l="1"/>
  <c r="F701" i="2" l="1"/>
  <c r="F702" i="2" l="1"/>
  <c r="F703" i="2" l="1"/>
  <c r="F704" i="2" l="1"/>
  <c r="F705" i="2" l="1"/>
  <c r="F706" i="2" l="1"/>
  <c r="F707" i="2" l="1"/>
  <c r="F708" i="2" l="1"/>
  <c r="F709" i="2" l="1"/>
  <c r="F710" i="2" l="1"/>
  <c r="F711" i="2" l="1"/>
  <c r="F712" i="2" l="1"/>
  <c r="F713" i="2" l="1"/>
  <c r="F714" i="2" l="1"/>
  <c r="F715" i="2" l="1"/>
  <c r="F716" i="2" l="1"/>
  <c r="F717" i="2" l="1"/>
  <c r="F718" i="2" l="1"/>
  <c r="F719" i="2" l="1"/>
  <c r="F720" i="2" l="1"/>
  <c r="F721" i="2" l="1"/>
  <c r="F722" i="2" l="1"/>
  <c r="F723" i="2" l="1"/>
  <c r="F724" i="2" l="1"/>
  <c r="F725" i="2" l="1"/>
  <c r="F726" i="2" l="1"/>
  <c r="F727" i="2" l="1"/>
  <c r="F728" i="2" l="1"/>
  <c r="F729" i="2" l="1"/>
  <c r="F730" i="2" l="1"/>
  <c r="F731" i="2" l="1"/>
  <c r="F732" i="2" l="1"/>
  <c r="F733" i="2" l="1"/>
  <c r="F734" i="2" l="1"/>
  <c r="F735" i="2" l="1"/>
  <c r="F736" i="2" l="1"/>
  <c r="F737" i="2" l="1"/>
  <c r="F738" i="2" l="1"/>
  <c r="F739" i="2" l="1"/>
  <c r="F740" i="2" l="1"/>
  <c r="F741" i="2" l="1"/>
  <c r="F742" i="2" l="1"/>
  <c r="F743" i="2" l="1"/>
  <c r="F744" i="2" l="1"/>
  <c r="F745" i="2" l="1"/>
  <c r="F746" i="2" l="1"/>
  <c r="F747" i="2" l="1"/>
  <c r="F748" i="2" l="1"/>
  <c r="F749" i="2" l="1"/>
  <c r="F750" i="2" l="1"/>
  <c r="F751" i="2" l="1"/>
  <c r="F752" i="2" l="1"/>
  <c r="F753" i="2" l="1"/>
  <c r="F754" i="2" l="1"/>
  <c r="F755" i="2" l="1"/>
  <c r="F756" i="2" l="1"/>
  <c r="F757" i="2" l="1"/>
  <c r="F758" i="2" l="1"/>
  <c r="F759" i="2" l="1"/>
  <c r="F760" i="2" l="1"/>
  <c r="F761" i="2" l="1"/>
  <c r="F762" i="2" l="1"/>
  <c r="F763" i="2" l="1"/>
  <c r="F764" i="2" l="1"/>
  <c r="F765" i="2" l="1"/>
  <c r="F766" i="2" l="1"/>
  <c r="F767" i="2" l="1"/>
  <c r="F768" i="2" l="1"/>
  <c r="F769" i="2" l="1"/>
  <c r="F770" i="2" l="1"/>
  <c r="F771" i="2" l="1"/>
  <c r="F772" i="2" l="1"/>
  <c r="F773" i="2" l="1"/>
  <c r="F774" i="2" l="1"/>
  <c r="F775" i="2" l="1"/>
  <c r="F776" i="2" l="1"/>
  <c r="F777" i="2" l="1"/>
  <c r="F778" i="2" l="1"/>
  <c r="F779" i="2" l="1"/>
  <c r="F780" i="2" l="1"/>
  <c r="F781" i="2" l="1"/>
  <c r="F782" i="2" l="1"/>
  <c r="F783" i="2" l="1"/>
  <c r="F784" i="2" l="1"/>
  <c r="F785" i="2" l="1"/>
  <c r="F786" i="2" l="1"/>
  <c r="F787" i="2" l="1"/>
  <c r="F788" i="2" l="1"/>
  <c r="F789" i="2" l="1"/>
  <c r="F790" i="2" l="1"/>
  <c r="F791" i="2" l="1"/>
  <c r="F792" i="2" l="1"/>
  <c r="F793" i="2" l="1"/>
  <c r="F794" i="2" l="1"/>
  <c r="F795" i="2" l="1"/>
  <c r="F796" i="2" l="1"/>
  <c r="F797" i="2" l="1"/>
  <c r="F798" i="2" l="1"/>
  <c r="F799" i="2" l="1"/>
  <c r="F800" i="2" l="1"/>
  <c r="F801" i="2" l="1"/>
  <c r="F802" i="2" l="1"/>
  <c r="F803" i="2" l="1"/>
  <c r="F804" i="2" l="1"/>
  <c r="F805" i="2" l="1"/>
  <c r="F806" i="2" l="1"/>
  <c r="F807" i="2" l="1"/>
  <c r="F808" i="2" l="1"/>
  <c r="F809" i="2" l="1"/>
  <c r="F810" i="2" l="1"/>
  <c r="F811" i="2" l="1"/>
  <c r="F812" i="2" l="1"/>
  <c r="F813" i="2" l="1"/>
  <c r="F814" i="2" l="1"/>
  <c r="F815" i="2" l="1"/>
  <c r="F816" i="2" l="1"/>
  <c r="F817" i="2" l="1"/>
  <c r="F818" i="2" l="1"/>
  <c r="F819" i="2" l="1"/>
  <c r="F820" i="2" l="1"/>
  <c r="F821" i="2" l="1"/>
  <c r="F822" i="2" l="1"/>
  <c r="F823" i="2" l="1"/>
  <c r="F824" i="2" l="1"/>
  <c r="F825" i="2" l="1"/>
  <c r="F826" i="2" l="1"/>
  <c r="F827" i="2" l="1"/>
  <c r="F828" i="2" l="1"/>
  <c r="F829" i="2" l="1"/>
  <c r="F830" i="2" l="1"/>
  <c r="F831" i="2" l="1"/>
  <c r="F832" i="2" l="1"/>
  <c r="F833" i="2" l="1"/>
  <c r="F834" i="2" l="1"/>
  <c r="F835" i="2" l="1"/>
  <c r="F836" i="2" l="1"/>
  <c r="F837" i="2" l="1"/>
  <c r="F838" i="2" l="1"/>
  <c r="F839" i="2" l="1"/>
  <c r="F840" i="2" l="1"/>
  <c r="F841" i="2" l="1"/>
  <c r="F842" i="2" l="1"/>
  <c r="F843" i="2" l="1"/>
  <c r="F844" i="2" l="1"/>
  <c r="F845" i="2" l="1"/>
  <c r="F846" i="2" l="1"/>
  <c r="F847" i="2" l="1"/>
  <c r="F848" i="2" l="1"/>
  <c r="F849" i="2" l="1"/>
  <c r="F850" i="2" l="1"/>
  <c r="F851" i="2" l="1"/>
  <c r="F852" i="2" l="1"/>
  <c r="F853" i="2" l="1"/>
  <c r="F854" i="2" l="1"/>
  <c r="F855" i="2" l="1"/>
  <c r="F856" i="2" l="1"/>
  <c r="F857" i="2" l="1"/>
  <c r="F858" i="2" l="1"/>
  <c r="F859" i="2" l="1"/>
  <c r="F860" i="2" l="1"/>
  <c r="F861" i="2" l="1"/>
  <c r="F862" i="2" l="1"/>
  <c r="F863" i="2" l="1"/>
  <c r="F864" i="2" l="1"/>
  <c r="F865" i="2" l="1"/>
  <c r="F866" i="2" l="1"/>
  <c r="F867" i="2" l="1"/>
  <c r="F868" i="2" l="1"/>
  <c r="F869" i="2" l="1"/>
  <c r="F870" i="2" l="1"/>
  <c r="F871" i="2" l="1"/>
  <c r="F872" i="2" l="1"/>
  <c r="F873" i="2" l="1"/>
  <c r="F874" i="2" l="1"/>
  <c r="F875" i="2" l="1"/>
  <c r="F876" i="2" l="1"/>
  <c r="F877" i="2" l="1"/>
  <c r="F878" i="2" l="1"/>
  <c r="F879" i="2" l="1"/>
  <c r="F880" i="2" l="1"/>
  <c r="F881" i="2" l="1"/>
  <c r="F882" i="2" l="1"/>
  <c r="F883" i="2" l="1"/>
  <c r="F884" i="2" l="1"/>
  <c r="F885" i="2" l="1"/>
  <c r="F886" i="2" l="1"/>
  <c r="F887" i="2" l="1"/>
  <c r="F888" i="2" l="1"/>
  <c r="F889" i="2" l="1"/>
  <c r="F890" i="2" l="1"/>
  <c r="F891" i="2" l="1"/>
  <c r="F892" i="2" l="1"/>
  <c r="F893" i="2" l="1"/>
  <c r="F894" i="2" l="1"/>
  <c r="F895" i="2" l="1"/>
  <c r="F896" i="2" l="1"/>
  <c r="F897" i="2" l="1"/>
  <c r="F898" i="2" l="1"/>
  <c r="F899" i="2" l="1"/>
  <c r="F900" i="2" l="1"/>
  <c r="F901" i="2" l="1"/>
  <c r="F902" i="2" l="1"/>
  <c r="F903" i="2" l="1"/>
  <c r="F904" i="2" l="1"/>
  <c r="F905" i="2" l="1"/>
  <c r="F906" i="2" l="1"/>
  <c r="F907" i="2" l="1"/>
  <c r="F908" i="2" l="1"/>
  <c r="F909" i="2" l="1"/>
  <c r="F910" i="2" l="1"/>
  <c r="F911" i="2" l="1"/>
  <c r="F912" i="2" l="1"/>
  <c r="F913" i="2" l="1"/>
  <c r="F914" i="2" l="1"/>
  <c r="F915" i="2" l="1"/>
  <c r="F916" i="2" l="1"/>
  <c r="F917" i="2" l="1"/>
  <c r="F918" i="2" l="1"/>
  <c r="F919" i="2" l="1"/>
  <c r="F920" i="2" l="1"/>
  <c r="F921" i="2" l="1"/>
  <c r="F922" i="2" l="1"/>
  <c r="F923" i="2" l="1"/>
  <c r="F924" i="2" l="1"/>
  <c r="F925" i="2" l="1"/>
  <c r="F926" i="2" l="1"/>
  <c r="F927" i="2" l="1"/>
  <c r="F928" i="2" l="1"/>
  <c r="F929" i="2" l="1"/>
  <c r="F930" i="2" l="1"/>
  <c r="F931" i="2" l="1"/>
  <c r="F932" i="2" l="1"/>
  <c r="F933" i="2" l="1"/>
  <c r="F934" i="2" l="1"/>
  <c r="F935" i="2" l="1"/>
  <c r="F936" i="2" l="1"/>
  <c r="F937" i="2" l="1"/>
  <c r="F938" i="2" l="1"/>
  <c r="F939" i="2" l="1"/>
  <c r="F940" i="2" l="1"/>
  <c r="F941" i="2" l="1"/>
  <c r="F942" i="2" l="1"/>
  <c r="F943" i="2" l="1"/>
  <c r="F944" i="2" l="1"/>
  <c r="F945" i="2" l="1"/>
  <c r="F946" i="2" l="1"/>
  <c r="F947" i="2" l="1"/>
  <c r="F948" i="2" l="1"/>
  <c r="F949" i="2" l="1"/>
  <c r="F950" i="2" l="1"/>
  <c r="F951" i="2" l="1"/>
  <c r="F952" i="2" l="1"/>
  <c r="F953" i="2" l="1"/>
  <c r="F954" i="2" l="1"/>
  <c r="F955" i="2" l="1"/>
  <c r="F956" i="2" l="1"/>
  <c r="F957" i="2" l="1"/>
  <c r="F958" i="2" l="1"/>
  <c r="F959" i="2" l="1"/>
  <c r="F960" i="2" l="1"/>
  <c r="F961" i="2" l="1"/>
  <c r="F962" i="2" l="1"/>
  <c r="F963" i="2" l="1"/>
  <c r="F964" i="2" l="1"/>
  <c r="F965" i="2" l="1"/>
  <c r="F966" i="2" l="1"/>
  <c r="F967" i="2" l="1"/>
  <c r="F968" i="2" s="1"/>
  <c r="F969" i="2" l="1"/>
  <c r="F970" i="2" l="1"/>
  <c r="F971" i="2" l="1"/>
  <c r="F972" i="2" l="1"/>
  <c r="F973" i="2" l="1"/>
  <c r="F974" i="2" l="1"/>
  <c r="F975" i="2" l="1"/>
  <c r="F976" i="2" l="1"/>
  <c r="F977" i="2" l="1"/>
  <c r="F978" i="2" l="1"/>
  <c r="F979" i="2" l="1"/>
  <c r="F980" i="2" l="1"/>
  <c r="F981" i="2" l="1"/>
  <c r="F982" i="2" l="1"/>
</calcChain>
</file>

<file path=xl/sharedStrings.xml><?xml version="1.0" encoding="utf-8"?>
<sst xmlns="http://schemas.openxmlformats.org/spreadsheetml/2006/main" count="1983" uniqueCount="1106">
  <si>
    <t>Paste&gt;</t>
  </si>
  <si>
    <t>Output&gt;</t>
  </si>
  <si>
    <t>None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</si>
  <si>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</si>
  <si>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</si>
  <si>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</si>
  <si>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</si>
  <si>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</si>
  <si>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</si>
  <si>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</si>
  <si>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</si>
  <si>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</si>
  <si>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</si>
  <si>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</si>
  <si>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</si>
  <si>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</si>
  <si>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</si>
  <si>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</si>
  <si>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</si>
  <si>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</si>
  <si>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</si>
  <si>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</si>
  <si>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</si>
  <si>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</si>
  <si>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</si>
  <si>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</si>
  <si>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</si>
  <si>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</si>
  <si>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</si>
  <si>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</si>
  <si>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</si>
  <si>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</si>
  <si>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</si>
  <si>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</si>
  <si>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</si>
  <si>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</si>
  <si>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</si>
  <si>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</si>
  <si>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</si>
  <si>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</si>
  <si>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</si>
  <si>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</si>
  <si>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</si>
  <si>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</si>
  <si>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</si>
  <si>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</si>
  <si>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</si>
  <si>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</si>
  <si>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</si>
  <si>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</si>
  <si>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</si>
  <si>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</si>
  <si>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</si>
  <si>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</si>
  <si>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</si>
  <si>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</si>
  <si>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</si>
  <si>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</si>
  <si>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</si>
  <si>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</si>
  <si>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</si>
  <si>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</si>
  <si>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</si>
  <si>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</si>
  <si>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</si>
  <si>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</si>
  <si>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</si>
  <si>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</si>
  <si>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</si>
  <si>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</si>
  <si>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</si>
  <si>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</si>
  <si>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</si>
  <si>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</si>
  <si>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</si>
  <si>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</si>
  <si>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</si>
  <si>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</si>
  <si>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</si>
  <si>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</si>
  <si>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</si>
  <si>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</si>
  <si>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</si>
  <si>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</si>
  <si>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</si>
  <si>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</si>
  <si>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</si>
  <si>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</si>
  <si>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</si>
  <si>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</si>
  <si>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</si>
  <si>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</si>
  <si>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</si>
  <si>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</si>
  <si>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</si>
  <si>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</si>
  <si>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</si>
  <si>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</si>
  <si>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</si>
  <si>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</si>
  <si>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</si>
  <si>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</si>
  <si>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</si>
  <si>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</si>
  <si>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</si>
  <si>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</si>
  <si>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</si>
  <si>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</si>
  <si>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Rare Bone</t>
  </si>
  <si>
    <t>Shiny Stone</t>
  </si>
  <si>
    <t>Dusk Stone</t>
  </si>
  <si>
    <t>Dawn Stone</t>
  </si>
  <si>
    <t>Oval Stone</t>
  </si>
  <si>
    <t>Odd Keystone</t>
  </si>
  <si>
    <t>Griseous Orb</t>
  </si>
  <si>
    <t>Covert Cloak</t>
  </si>
  <si>
    <t>Loaded Die</t>
  </si>
  <si>
    <t>Umbrella Tree</t>
  </si>
  <si>
    <t>Douse Drive</t>
  </si>
  <si>
    <t>Shock Drive</t>
  </si>
  <si>
    <t>Burn Drive</t>
  </si>
  <si>
    <t>Chill Drive</t>
  </si>
  <si>
    <t>Frost Orb</t>
  </si>
  <si>
    <t>Spark Orb</t>
  </si>
  <si>
    <t>Clear Amulet</t>
  </si>
  <si>
    <t>???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</si>
  <si>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</si>
  <si>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</si>
  <si>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</si>
  <si>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</si>
  <si>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</si>
  <si>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</si>
  <si>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</si>
  <si>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</si>
  <si>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</si>
  <si>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</si>
  <si>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</si>
  <si>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</si>
  <si>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</si>
  <si>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</si>
  <si>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</si>
  <si>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</si>
  <si>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</si>
  <si>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</si>
  <si>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</si>
  <si>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</si>
  <si>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</si>
  <si>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</si>
  <si>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</si>
  <si>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</si>
  <si>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</si>
  <si>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</si>
  <si>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</si>
  <si>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</si>
  <si>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</si>
  <si>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</si>
  <si>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</si>
  <si>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</si>
  <si>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</si>
  <si>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</si>
  <si>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</si>
  <si>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</si>
  <si>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</si>
  <si>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</si>
  <si>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</si>
  <si>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</si>
  <si>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</si>
  <si>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</si>
  <si>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</si>
  <si>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</si>
  <si>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</si>
  <si>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</si>
  <si>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</si>
  <si>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</si>
  <si>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</si>
  <si>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</si>
  <si>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</si>
  <si>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</si>
  <si>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</si>
  <si>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</si>
  <si>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</si>
  <si>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</si>
  <si>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</si>
  <si>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</si>
  <si>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</si>
  <si>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</si>
  <si>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</si>
  <si>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</si>
  <si>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</si>
  <si>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</si>
  <si>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</si>
  <si>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</si>
  <si>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</si>
  <si>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</si>
  <si>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</si>
  <si>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</si>
  <si>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</si>
  <si>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</si>
  <si>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</si>
  <si>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</si>
  <si>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</si>
  <si>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</si>
  <si>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</si>
  <si>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</si>
  <si>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</si>
  <si>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</si>
  <si>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</si>
  <si>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</si>
  <si>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</si>
  <si>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</si>
  <si>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</si>
  <si>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</si>
  <si>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</si>
  <si>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King’s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</si>
  <si>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</si>
  <si>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</si>
  <si>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</si>
  <si>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</si>
  <si>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</si>
  <si>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</si>
  <si>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</si>
  <si>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</si>
  <si>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</si>
  <si>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</si>
  <si>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</si>
  <si>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</si>
  <si>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</si>
  <si>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</si>
  <si>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</si>
  <si>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</si>
  <si>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</si>
  <si>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</si>
  <si>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</si>
  <si>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</si>
  <si>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</si>
  <si>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</si>
  <si>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</si>
  <si>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</si>
  <si>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</si>
  <si>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</si>
  <si>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</si>
  <si>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</si>
  <si>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</si>
  <si>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</si>
  <si>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</si>
  <si>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</si>
  <si>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</si>
  <si>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</si>
  <si>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</si>
  <si>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</si>
  <si>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Thick Club</t>
  </si>
  <si>
    <t>Leek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</si>
  <si>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</si>
  <si>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</si>
  <si>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</si>
  <si>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</si>
  <si>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</si>
  <si>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</si>
  <si>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</si>
  <si>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</si>
  <si>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</si>
  <si>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</si>
  <si>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Life Orb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</si>
  <si>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</si>
  <si>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</si>
  <si>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</si>
  <si>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</si>
  <si>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</si>
  <si>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</si>
  <si>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</si>
  <si>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</si>
  <si>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</si>
  <si>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</si>
  <si>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</si>
  <si>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</si>
  <si>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</si>
  <si>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</si>
  <si>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</si>
  <si>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</si>
  <si>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</si>
  <si>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</si>
  <si>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</si>
  <si>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</si>
  <si>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</si>
  <si>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</si>
  <si>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</si>
  <si>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</si>
  <si>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</si>
  <si>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</si>
  <si>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</si>
  <si>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</si>
  <si>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</si>
  <si>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</si>
  <si>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</si>
  <si>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</si>
  <si>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</si>
  <si>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</si>
  <si>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</si>
  <si>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</si>
  <si>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</si>
  <si>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</si>
  <si>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</si>
  <si>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</si>
  <si>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</si>
  <si>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</si>
  <si>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</si>
  <si>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</si>
  <si>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</si>
  <si>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</si>
  <si>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</si>
  <si>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</si>
  <si>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</si>
  <si>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</si>
  <si>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</si>
  <si>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</si>
  <si>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</si>
  <si>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</si>
  <si>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</si>
  <si>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</si>
  <si>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</si>
  <si>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</si>
  <si>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</si>
  <si>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</si>
  <si>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</si>
  <si>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</si>
  <si>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</si>
  <si>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</si>
  <si>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</si>
  <si>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</si>
  <si>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</si>
  <si>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</si>
  <si>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</si>
  <si>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</si>
  <si>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</si>
  <si>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</si>
  <si>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</si>
  <si>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</si>
  <si>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</si>
  <si>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</si>
  <si>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</si>
  <si>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</si>
  <si>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</si>
  <si>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</si>
  <si>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</si>
  <si>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</si>
  <si>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</si>
  <si>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</si>
  <si>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</si>
  <si>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</si>
  <si>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</si>
  <si>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</si>
  <si>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</si>
  <si>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</si>
  <si>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</si>
  <si>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</si>
  <si>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</si>
  <si>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</si>
  <si>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</si>
  <si>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</si>
  <si>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</si>
  <si>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</si>
  <si>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</si>
  <si>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</si>
  <si>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</si>
  <si>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</si>
  <si>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</si>
  <si>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</si>
  <si>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</si>
  <si>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</si>
  <si>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</si>
  <si>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</si>
  <si>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</si>
  <si>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</si>
  <si>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</si>
  <si>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</si>
  <si>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</si>
  <si>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</si>
  <si>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</si>
  <si>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</si>
  <si>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</si>
  <si>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</si>
  <si>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</si>
  <si>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</si>
  <si>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</si>
  <si>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</si>
  <si>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</si>
  <si>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</si>
  <si>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</si>
  <si>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</si>
  <si>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</si>
  <si>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</si>
  <si>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</si>
  <si>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</si>
  <si>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</si>
  <si>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</si>
  <si>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</si>
  <si>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</si>
  <si>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</si>
  <si>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</si>
  <si>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</si>
  <si>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</si>
  <si>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</si>
  <si>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</si>
  <si>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</si>
  <si>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</si>
  <si>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</si>
  <si>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</si>
  <si>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</si>
  <si>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</si>
  <si>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</si>
  <si>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</si>
  <si>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</si>
  <si>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</si>
  <si>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</si>
  <si>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</si>
  <si>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</si>
  <si>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</si>
  <si>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</si>
  <si>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Throat Spray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</si>
  <si>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</si>
  <si>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</si>
  <si>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</si>
  <si>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</si>
  <si>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</si>
  <si>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</si>
  <si>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</si>
  <si>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</si>
  <si>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</si>
  <si>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</si>
  <si>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</si>
  <si>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</si>
  <si>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</si>
  <si>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</si>
  <si>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</si>
  <si>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</si>
  <si>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</si>
  <si>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</si>
  <si>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</si>
  <si>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</si>
  <si>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</si>
  <si>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</si>
  <si>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</si>
  <si>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</si>
  <si>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</si>
  <si>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</si>
  <si>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</si>
  <si>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</si>
  <si>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</si>
  <si>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</si>
  <si>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</si>
  <si>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</si>
  <si>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</si>
  <si>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</si>
  <si>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</si>
  <si>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</si>
  <si>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</si>
  <si>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</si>
  <si>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</si>
  <si>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</si>
  <si>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</si>
  <si>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</si>
  <si>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</si>
  <si>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</si>
  <si>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</si>
  <si>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</si>
  <si>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</si>
  <si>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</si>
  <si>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</si>
  <si>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</si>
  <si>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</si>
  <si>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</si>
  <si>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</si>
  <si>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</si>
  <si>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</si>
  <si>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</si>
  <si>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</si>
  <si>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</si>
  <si>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</si>
  <si>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</si>
  <si>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</si>
  <si>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</si>
  <si>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</si>
  <si>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</si>
  <si>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</si>
  <si>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</si>
  <si>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</si>
  <si>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</si>
  <si>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</si>
  <si>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</si>
  <si>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</si>
  <si>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</si>
  <si>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</si>
  <si>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Photo Album</t>
  </si>
  <si>
    <t>GB Sounds</t>
  </si>
  <si>
    <t>Tidal Bell</t>
  </si>
  <si>
    <t>Rage Candy Bar</t>
  </si>
  <si>
    <t>Data Card 01</t>
  </si>
  <si>
    <t>Data Card 02</t>
  </si>
  <si>
    <t>Data Card 03</t>
  </si>
  <si>
    <t>Data Card 04</t>
  </si>
  <si>
    <t>Data Card 05</t>
  </si>
  <si>
    <t>Data Card 06</t>
  </si>
  <si>
    <t>Data Card 07</t>
  </si>
  <si>
    <t>Data Card 08</t>
  </si>
  <si>
    <t>Data Card 09</t>
  </si>
  <si>
    <t>Data Card 10</t>
  </si>
  <si>
    <t>Data Card 11</t>
  </si>
  <si>
    <t>Data Card 12</t>
  </si>
  <si>
    <t>Data Card 13</t>
  </si>
  <si>
    <t>Data Card 14</t>
  </si>
  <si>
    <t>Data Card 15</t>
  </si>
  <si>
    <t>Data Card 16</t>
  </si>
  <si>
    <t>Data Card 17</t>
  </si>
  <si>
    <t>Data Card 18</t>
  </si>
  <si>
    <t>Data Card 19</t>
  </si>
  <si>
    <t>Data Card 20</t>
  </si>
  <si>
    <t>Data Card 21</t>
  </si>
  <si>
    <t>Data Card 22</t>
  </si>
  <si>
    <t>Data Card 23</t>
  </si>
  <si>
    <t>Data Card 24</t>
  </si>
  <si>
    <t>Data Card 25</t>
  </si>
  <si>
    <t>Data Card 26</t>
  </si>
  <si>
    <t>Data Card 27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</si>
  <si>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</si>
  <si>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</si>
  <si>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</si>
  <si>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</si>
  <si>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</si>
  <si>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</si>
  <si>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</si>
  <si>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</si>
  <si>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</si>
  <si>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</si>
  <si>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</si>
  <si>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</si>
  <si>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</si>
  <si>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</si>
  <si>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</si>
  <si>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</si>
  <si>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</si>
  <si>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</si>
  <si>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</si>
  <si>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</si>
  <si>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</si>
  <si>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</si>
  <si>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</si>
  <si>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</si>
  <si>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</si>
  <si>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</si>
  <si>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</si>
  <si>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</si>
  <si>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</si>
  <si>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</si>
  <si>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</si>
  <si>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</si>
  <si>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</si>
  <si>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</si>
  <si>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</si>
  <si>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</si>
  <si>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</si>
  <si>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</si>
  <si>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</si>
  <si>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Healing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</si>
  <si>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</si>
  <si>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</si>
  <si>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</si>
  <si>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</si>
  <si>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</si>
  <si>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</si>
  <si>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</si>
  <si>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</si>
  <si>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</si>
  <si>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</si>
  <si>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</si>
  <si>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</si>
  <si>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</si>
  <si>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</si>
  <si>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</si>
  <si>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</si>
  <si>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</si>
  <si>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</si>
  <si>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</si>
  <si>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</si>
  <si>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</si>
  <si>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</si>
  <si>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</si>
  <si>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</si>
  <si>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</si>
  <si>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</si>
  <si>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</si>
  <si>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</si>
  <si>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</si>
  <si>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</si>
  <si>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</si>
  <si>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</si>
  <si>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</si>
  <si>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</si>
  <si>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</si>
  <si>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</si>
  <si>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</si>
  <si>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</si>
  <si>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</si>
  <si>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</si>
  <si>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</si>
  <si>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</si>
  <si>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</si>
  <si>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</si>
  <si>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</si>
  <si>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</si>
  <si>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TM93</t>
  </si>
  <si>
    <t>TM94</t>
  </si>
  <si>
    <t>TM95</t>
  </si>
  <si>
    <t>Xtransceiver</t>
  </si>
  <si>
    <t>God Stone</t>
  </si>
  <si>
    <t>Gram 1</t>
  </si>
  <si>
    <t>Gram 2</t>
  </si>
  <si>
    <t>Gram 3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</si>
  <si>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</si>
  <si>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</si>
  <si>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</si>
  <si>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</si>
  <si>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</si>
  <si>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</si>
  <si>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</si>
  <si>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</si>
  <si>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Dropped Item</t>
  </si>
  <si>
    <t>Reveal Glass</t>
  </si>
  <si>
    <t>Weakness Policy</t>
  </si>
  <si>
    <t>Assault Vest</t>
  </si>
  <si>
    <t>Holo Caster</t>
  </si>
  <si>
    <t>Prof’s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</si>
  <si>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</si>
  <si>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</si>
  <si>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</si>
  <si>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</si>
  <si>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</si>
  <si>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</si>
  <si>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</si>
  <si>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</si>
  <si>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</si>
  <si>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</si>
  <si>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</si>
  <si>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</si>
  <si>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</si>
  <si>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</si>
  <si>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</si>
  <si>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</si>
  <si>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</si>
  <si>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</si>
  <si>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</si>
  <si>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</si>
  <si>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</si>
  <si>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</si>
  <si>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</si>
  <si>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</si>
  <si>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</si>
  <si>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</si>
  <si>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</si>
  <si>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</si>
  <si>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</si>
  <si>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</si>
  <si>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</si>
  <si>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</si>
  <si>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</si>
  <si>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</si>
  <si>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</si>
  <si>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</si>
  <si>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</si>
  <si>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</si>
  <si>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</si>
  <si>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</si>
  <si>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</si>
  <si>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</si>
  <si>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</si>
  <si>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</si>
  <si>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</si>
  <si>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</si>
  <si>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</si>
  <si>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TM96</t>
  </si>
  <si>
    <t>TM97</t>
  </si>
  <si>
    <t>TM98</t>
  </si>
  <si>
    <t>TM99</t>
  </si>
  <si>
    <t>TM100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</si>
  <si>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</si>
  <si>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</si>
  <si>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</si>
  <si>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</si>
  <si>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</si>
  <si>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</si>
  <si>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</si>
  <si>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</si>
  <si>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</si>
  <si>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</si>
  <si>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</si>
  <si>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</si>
  <si>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</si>
  <si>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</si>
  <si>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</si>
  <si>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</si>
  <si>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</si>
  <si>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</si>
  <si>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Fairy Gem</t>
  </si>
  <si>
    <t>Mega Charm</t>
  </si>
  <si>
    <t>Mega Glove</t>
  </si>
  <si>
    <t>Mach Bike</t>
  </si>
  <si>
    <t>Acro Bike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</si>
  <si>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</si>
  <si>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</si>
  <si>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</si>
  <si>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</si>
  <si>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</si>
  <si>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</si>
  <si>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</si>
  <si>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</si>
  <si>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</si>
  <si>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</si>
  <si>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</si>
  <si>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</si>
  <si>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</si>
  <si>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</si>
  <si>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HM07</t>
  </si>
  <si>
    <t>Devon Scuba Gear</t>
  </si>
  <si>
    <t>Contest Costume</t>
  </si>
  <si>
    <t>Magma Suit</t>
  </si>
  <si>
    <t>Aqua Suit</t>
  </si>
  <si>
    <t>Pair of Tickets</t>
  </si>
  <si>
    <t>Mega Bracelet</t>
  </si>
  <si>
    <t>Mega Pendant</t>
  </si>
  <si>
    <t>Mega Glasses</t>
  </si>
  <si>
    <t>Mega Anchor</t>
  </si>
  <si>
    <t>Mega Stickpin</t>
  </si>
  <si>
    <t>Mega Tiara</t>
  </si>
  <si>
    <t>Mega Anklet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</si>
  <si>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</si>
  <si>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</si>
  <si>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</si>
  <si>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</si>
  <si>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</si>
  <si>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</si>
  <si>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</si>
  <si>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</si>
  <si>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</si>
  <si>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</si>
  <si>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</si>
  <si>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</si>
  <si>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</si>
  <si>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</si>
  <si>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</si>
  <si>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</si>
  <si>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</si>
  <si>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</si>
  <si>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</si>
  <si>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Imbued Meteorite</t>
  </si>
  <si>
    <t>Key Stone</t>
  </si>
  <si>
    <t>Meteorite Shard</t>
  </si>
  <si>
    <t>Eon Flute</t>
  </si>
  <si>
    <t>Normalium Z</t>
  </si>
  <si>
    <t>Firium Z</t>
  </si>
  <si>
    <t>Waterium Z</t>
  </si>
  <si>
    <t>Electrium Z</t>
  </si>
  <si>
    <t>Grassium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</si>
  <si>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</si>
  <si>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</si>
  <si>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</si>
  <si>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</si>
  <si>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</si>
  <si>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</si>
  <si>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</si>
  <si>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</si>
  <si>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</si>
  <si>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</si>
  <si>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</si>
  <si>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</si>
  <si>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</si>
  <si>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</si>
  <si>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Bottle Cap</t>
  </si>
  <si>
    <t>Gold Bottle Cap</t>
  </si>
  <si>
    <t>Z-Ring</t>
  </si>
  <si>
    <t>Decidium Z</t>
  </si>
  <si>
    <t>Incinium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</si>
  <si>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</si>
  <si>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</si>
  <si>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</si>
  <si>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</si>
  <si>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</si>
  <si>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</si>
  <si>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</si>
  <si>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Normalium U</t>
  </si>
  <si>
    <t>Firium U</t>
  </si>
  <si>
    <t>Waterium U</t>
  </si>
  <si>
    <t>Electrium U</t>
  </si>
  <si>
    <t>Grassium U</t>
  </si>
  <si>
    <t>Icium U</t>
  </si>
  <si>
    <t>Fightinium U</t>
  </si>
  <si>
    <t>Poisonium U</t>
  </si>
  <si>
    <t>Groundium U</t>
  </si>
  <si>
    <t>Flyinium U</t>
  </si>
  <si>
    <t>Psychium U</t>
  </si>
  <si>
    <t>Buginium U</t>
  </si>
  <si>
    <t>Rockium U</t>
  </si>
  <si>
    <t>Ghostium U</t>
  </si>
  <si>
    <t>Dragonium U</t>
  </si>
  <si>
    <t>Darkinium U</t>
  </si>
  <si>
    <t>Steelium U</t>
  </si>
  <si>
    <t>Fairium U</t>
  </si>
  <si>
    <t>Pikanium U</t>
  </si>
  <si>
    <t>Decidium U</t>
  </si>
  <si>
    <t>Incinium U</t>
  </si>
  <si>
    <t>Primarium U</t>
  </si>
  <si>
    <t>Tapunium U</t>
  </si>
  <si>
    <t>Marshadium U</t>
  </si>
  <si>
    <t>Aloraichium U</t>
  </si>
  <si>
    <t>Snorlium U</t>
  </si>
  <si>
    <t>Eevium U</t>
  </si>
  <si>
    <t>Mewnium U</t>
  </si>
  <si>
    <t>Pikashunium U</t>
  </si>
  <si>
    <t>Pikashunium Z</t>
  </si>
  <si>
    <t>Forage Bag</t>
  </si>
  <si>
    <t>Fishing Rod</t>
  </si>
  <si>
    <t>Professor’s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</si>
  <si>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</si>
  <si>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</si>
  <si>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</si>
  <si>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</si>
  <si>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</si>
  <si>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</si>
  <si>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</si>
  <si>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</si>
  <si>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</si>
  <si>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</si>
  <si>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</si>
  <si>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</si>
  <si>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</si>
  <si>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</si>
  <si>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</si>
  <si>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</si>
  <si>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</si>
  <si>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</si>
  <si>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</si>
  <si>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</si>
  <si>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</si>
  <si>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</si>
  <si>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</si>
  <si>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</si>
  <si>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</si>
  <si>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</si>
  <si>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</si>
  <si>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</si>
  <si>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</si>
  <si>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Fire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</si>
  <si>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</si>
  <si>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</si>
  <si>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</si>
  <si>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</si>
  <si>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</si>
  <si>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</si>
  <si>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</si>
  <si>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</si>
  <si>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Solganium Z</t>
  </si>
  <si>
    <t>Lunalium Z</t>
  </si>
  <si>
    <t>Ultraburstium Z</t>
  </si>
  <si>
    <t>Mimikium Z</t>
  </si>
  <si>
    <t>Lycanium Z</t>
  </si>
  <si>
    <t>Kommonium Z</t>
  </si>
  <si>
    <t>Ultranecrozium U</t>
  </si>
  <si>
    <t>Mimikium U</t>
  </si>
  <si>
    <t>Lycanium U</t>
  </si>
  <si>
    <t>Kommonium U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</si>
  <si>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</si>
  <si>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</si>
  <si>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</si>
  <si>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</si>
  <si>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</si>
  <si>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</si>
  <si>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</si>
  <si>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</si>
  <si>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</si>
  <si>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</si>
  <si>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</si>
  <si>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</si>
  <si>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Ilima’s Normalium Z</t>
  </si>
  <si>
    <t>Left Poké Ball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</si>
  <si>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</si>
  <si>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</si>
  <si>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</si>
  <si>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</si>
  <si>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</si>
  <si>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</si>
  <si>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</si>
  <si>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</si>
  <si>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</si>
  <si>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</si>
  <si>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</si>
  <si>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Stock</t>
  </si>
  <si>
    <t>Custom</t>
  </si>
  <si>
    <t>Squirtilium Z</t>
  </si>
  <si>
    <t>Radiant Cloak</t>
  </si>
  <si>
    <t>Hallucinatory Map</t>
  </si>
  <si>
    <t>Solar Sail</t>
  </si>
  <si>
    <t>TM001</t>
  </si>
  <si>
    <t>TM002</t>
  </si>
  <si>
    <t>TM003</t>
  </si>
  <si>
    <t>TM004</t>
  </si>
  <si>
    <t>TM005</t>
  </si>
  <si>
    <t>TM006</t>
  </si>
  <si>
    <t>TM007</t>
  </si>
  <si>
    <t>TM008</t>
  </si>
  <si>
    <t>TM009</t>
  </si>
  <si>
    <t>TM010</t>
  </si>
  <si>
    <t>TM011</t>
  </si>
  <si>
    <t>TM012</t>
  </si>
  <si>
    <t>TM013</t>
  </si>
  <si>
    <t>TM014</t>
  </si>
  <si>
    <t>TM015</t>
  </si>
  <si>
    <t>TM016</t>
  </si>
  <si>
    <t>TM017</t>
  </si>
  <si>
    <t>TM018</t>
  </si>
  <si>
    <t>TM019</t>
  </si>
  <si>
    <t>TM020</t>
  </si>
  <si>
    <t>TM021</t>
  </si>
  <si>
    <t>TM022</t>
  </si>
  <si>
    <t>TM023</t>
  </si>
  <si>
    <t>TM024</t>
  </si>
  <si>
    <t>TM025</t>
  </si>
  <si>
    <t>TM026</t>
  </si>
  <si>
    <t>TM027</t>
  </si>
  <si>
    <t>TM028</t>
  </si>
  <si>
    <t>TM029</t>
  </si>
  <si>
    <t>TM030</t>
  </si>
  <si>
    <t>TM031</t>
  </si>
  <si>
    <t>TM032</t>
  </si>
  <si>
    <t>TM033</t>
  </si>
  <si>
    <t>TM034</t>
  </si>
  <si>
    <t>TM035</t>
  </si>
  <si>
    <t>TM036</t>
  </si>
  <si>
    <t>TM037</t>
  </si>
  <si>
    <t>TM038</t>
  </si>
  <si>
    <t>TM039</t>
  </si>
  <si>
    <t>TM040</t>
  </si>
  <si>
    <t>TM041</t>
  </si>
  <si>
    <t>TM042</t>
  </si>
  <si>
    <t>TM043</t>
  </si>
  <si>
    <t>TM044</t>
  </si>
  <si>
    <t>TM045</t>
  </si>
  <si>
    <t>TM046</t>
  </si>
  <si>
    <t>TM047</t>
  </si>
  <si>
    <t>TM048</t>
  </si>
  <si>
    <t>TM049</t>
  </si>
  <si>
    <t>TM050</t>
  </si>
  <si>
    <t>TM051</t>
  </si>
  <si>
    <t>TM052</t>
  </si>
  <si>
    <t>TM053</t>
  </si>
  <si>
    <t>TM054</t>
  </si>
  <si>
    <t>TM055</t>
  </si>
  <si>
    <t>TM056</t>
  </si>
  <si>
    <t>TM057</t>
  </si>
  <si>
    <t>TM058</t>
  </si>
  <si>
    <t>TM059</t>
  </si>
  <si>
    <t>TM060</t>
  </si>
  <si>
    <t>TM061</t>
  </si>
  <si>
    <t>TM062</t>
  </si>
  <si>
    <t>TM063</t>
  </si>
  <si>
    <t>TM064</t>
  </si>
  <si>
    <t>TM065</t>
  </si>
  <si>
    <t>TM066</t>
  </si>
  <si>
    <t>TM067</t>
  </si>
  <si>
    <t>TM068</t>
  </si>
  <si>
    <t>TM069</t>
  </si>
  <si>
    <t>TM070</t>
  </si>
  <si>
    <t>TM071</t>
  </si>
  <si>
    <t>TM072</t>
  </si>
  <si>
    <t>TM073</t>
  </si>
  <si>
    <t>TM074</t>
  </si>
  <si>
    <t>TM075</t>
  </si>
  <si>
    <t>TM076</t>
  </si>
  <si>
    <t>TM077</t>
  </si>
  <si>
    <t>TM078</t>
  </si>
  <si>
    <t>TM079</t>
  </si>
  <si>
    <t>TM080</t>
  </si>
  <si>
    <t>TM081</t>
  </si>
  <si>
    <t>TM082</t>
  </si>
  <si>
    <t>TM083</t>
  </si>
  <si>
    <t>TM084</t>
  </si>
  <si>
    <t>TM085</t>
  </si>
  <si>
    <t>TM086</t>
  </si>
  <si>
    <t>TM087</t>
  </si>
  <si>
    <t>TM088</t>
  </si>
  <si>
    <t>TM089</t>
  </si>
  <si>
    <t>TM090</t>
  </si>
  <si>
    <t>TM091</t>
  </si>
  <si>
    <t>TM092</t>
  </si>
  <si>
    <t>TM101</t>
  </si>
  <si>
    <t>TM102</t>
  </si>
  <si>
    <t>TM103</t>
  </si>
  <si>
    <t>TM104</t>
  </si>
  <si>
    <t>TM105</t>
  </si>
  <si>
    <t>TM106</t>
  </si>
  <si>
    <t>TM093</t>
  </si>
  <si>
    <t>TM094</t>
  </si>
  <si>
    <t>TM095</t>
  </si>
  <si>
    <t>TM096</t>
  </si>
  <si>
    <t>TM097</t>
  </si>
  <si>
    <t>TM098</t>
  </si>
  <si>
    <t>TM099</t>
  </si>
  <si>
    <t>TM107</t>
  </si>
  <si>
    <t>TM108</t>
  </si>
  <si>
    <t>TM109</t>
  </si>
  <si>
    <t>TM110</t>
  </si>
  <si>
    <t>TM111</t>
  </si>
  <si>
    <t>TM112</t>
  </si>
  <si>
    <t>TM113</t>
  </si>
  <si>
    <t>TM114</t>
  </si>
  <si>
    <t>Offset</t>
  </si>
  <si>
    <t>000</t>
  </si>
  <si>
    <t>Nibble</t>
  </si>
  <si>
    <t>Item Index</t>
  </si>
  <si>
    <t>Item Name</t>
  </si>
  <si>
    <t>Nibble Value</t>
  </si>
  <si>
    <t>Medicine</t>
  </si>
  <si>
    <t>General</t>
  </si>
  <si>
    <t>Berry</t>
  </si>
  <si>
    <t>Key</t>
  </si>
  <si>
    <t>TM/HM</t>
  </si>
  <si>
    <t>Z-Crystal (Bag Version)</t>
  </si>
  <si>
    <t>Z-Crystal (Hold Version)</t>
  </si>
  <si>
    <t>Roto Power</t>
  </si>
  <si>
    <t>Output</t>
  </si>
  <si>
    <t>Snorlaxite</t>
  </si>
  <si>
    <t>base</t>
  </si>
  <si>
    <t>x</t>
  </si>
  <si>
    <t>length (nibbles)</t>
  </si>
  <si>
    <t>Number nibbles needed</t>
  </si>
  <si>
    <t>TM115</t>
  </si>
  <si>
    <t>TM116</t>
  </si>
  <si>
    <t>TM117</t>
  </si>
  <si>
    <t>TM118</t>
  </si>
  <si>
    <t>TM119</t>
  </si>
  <si>
    <t>TM120</t>
  </si>
  <si>
    <t>TM121</t>
  </si>
  <si>
    <t>TM122</t>
  </si>
  <si>
    <t>TM123</t>
  </si>
  <si>
    <t>TM124</t>
  </si>
  <si>
    <t>TM125</t>
  </si>
  <si>
    <t>TM126</t>
  </si>
  <si>
    <t>TM127</t>
  </si>
  <si>
    <t>TM128</t>
  </si>
  <si>
    <t>A103 Field</t>
  </si>
  <si>
    <t>A020 Battle</t>
  </si>
  <si>
    <t>Field Pocket From File</t>
  </si>
  <si>
    <t>Field Enter Changes</t>
  </si>
  <si>
    <t>Offset Bag</t>
  </si>
  <si>
    <t>Pokeball</t>
  </si>
  <si>
    <t>Bag</t>
  </si>
  <si>
    <t>Battle Items</t>
  </si>
  <si>
    <t>HP/PP Restore</t>
  </si>
  <si>
    <t>Status Heal</t>
  </si>
  <si>
    <t>Rotom Power</t>
  </si>
  <si>
    <t>Kinglerite</t>
  </si>
  <si>
    <t>Vikavoltinite</t>
  </si>
  <si>
    <t>Togekissite</t>
  </si>
  <si>
    <t>Flygonite</t>
  </si>
  <si>
    <t>Laprasite</t>
  </si>
  <si>
    <t>Chesnaughtite</t>
  </si>
  <si>
    <t>Delphoxite</t>
  </si>
  <si>
    <t>Butterfrinite</t>
  </si>
  <si>
    <t>Victreebelite</t>
  </si>
  <si>
    <t>Aurorite</t>
  </si>
  <si>
    <t>Aegislashite</t>
  </si>
  <si>
    <t>Golurkite</t>
  </si>
  <si>
    <t>Marvelous Cloak</t>
  </si>
  <si>
    <t>Dragoninite</t>
  </si>
  <si>
    <t>Salazzlite</t>
  </si>
  <si>
    <t>Tyrantrumite</t>
  </si>
  <si>
    <t>Magearnite</t>
  </si>
  <si>
    <t>Chandelurite</t>
  </si>
  <si>
    <t>Chimechite</t>
  </si>
  <si>
    <t>Clefablite</t>
  </si>
  <si>
    <t>Feraligite</t>
  </si>
  <si>
    <t>Skarmorite</t>
  </si>
  <si>
    <t>Froslassite</t>
  </si>
  <si>
    <t>Garbodorite</t>
  </si>
  <si>
    <t>Meganiumite</t>
  </si>
  <si>
    <t>Machampinite</t>
  </si>
  <si>
    <t>Lurantinite</t>
  </si>
  <si>
    <t>Araquanite</t>
  </si>
  <si>
    <t>Cherriminite</t>
  </si>
  <si>
    <t>Ribombinite</t>
  </si>
  <si>
    <t>Crabominite</t>
  </si>
  <si>
    <t>Drampanite</t>
  </si>
  <si>
    <t>Excadrite</t>
  </si>
  <si>
    <t>Emboarite</t>
  </si>
  <si>
    <t>Hawluchanite</t>
  </si>
  <si>
    <t>Meowsticite</t>
  </si>
  <si>
    <t>Starminite</t>
  </si>
  <si>
    <t>Raichunite X</t>
  </si>
  <si>
    <t>Squirtilium U</t>
  </si>
  <si>
    <t>Dragalgite</t>
  </si>
  <si>
    <t>Eelektrossite</t>
  </si>
  <si>
    <t>Gumshoosinite</t>
  </si>
  <si>
    <t>Malamarite</t>
  </si>
  <si>
    <t>Pyroarite</t>
  </si>
  <si>
    <t>Scolipite</t>
  </si>
  <si>
    <t>Scraftinite</t>
  </si>
  <si>
    <t>Staraptite</t>
  </si>
  <si>
    <t>00 01 01 01 01 01 01 01 01 01 01 01 01 01 01 01 01 04 08 08 08 08 08 0C 04 04 04 08 08 08 04 04 04 04 04 04 08 08 04 04 04 04 08 04 00 00 00 00 00 00 00 00 00 00 08 02 02 02 02 02 02 02 02 02 02 08 08 08 00 00 00 00 00 00 00 00 00 00 00 00 00 00 00 00 00 00 00 00 00 00 00 00 00 00 00 00 00 00 00 00 00 00 00 00 00 00 00 00 00 00 00 00 00 00 00 00 00 00 00 00 00 00 00 00 00 00 00 00 00 00 00 00 00 00 04 00 00 00 00 00 00 00 00 00 00 00 00 00 00 08 08 08 08 08 04 04 08 08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01 00 00 00 00 00 08 00 00 00 00 00 00 00 00 00 00 00 00 00 00 00 00 00 00 00 00 00 00 00 00 00 00 00 00 00 00 00 00 00 00 00 00 00 00 00 00 00 00 00 00 00 00 00 00 00 00 00 00 00 00 00 00 00 00 00 00 00 00 00 00 00 00 00 00 00 00 00 01 02 00 00 00 00 00 00 00 00 00 00 00 00 00 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 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 00 00 00 00 01 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14 14 12 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</si>
  <si>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00 00 00 00 00 00 00 00 01 11 11 11 11 11 11 11 11 11 11 11 11 11 11 11 11 11 11 10 00 00 00 00 01 11 00 00 00 00 00 00 00 00 00 00 00 00 00 00 00 00 00 00 00 00 00 00 00 00 00 00 00 07 00 00 00 00 00 10 00 00 00 00 00 00 03 33 33 33 33 33 33 33 33 33 33 33 33 33 33 33 33 33 33 33 33 33 33 33 33 33 33 33 33 33 33 33 30 00 40 00 00 00 00 00 00 00 00 00 00 00 00 00 00 00 00 00 00 00 00 00 00 00 00 00 00 00 00 00 00 00 00 00 00 00 00 00 00 00 00 00 00 00 00 00 00 00 00 00 00 00 00 00 00 00 22 22 22 22 22 22 22 22 22 22 22 22 22 22 22 22 22 22 22 22 22 22 22 22 22 22 22 22 22 22 22 22 22 22 22 22 22 22 22 22 22 22 22 22 22 22 22 22 22 00 44 44 44 44 44 44 44 44 44 44 44 44 44 44 44 44 44 44 44 44 44 44 44 44 44 44 44 44 40 00 00 00 00 00 00 00 04 44 10 00 00 00 00 00 00 00 00 00 00 00 00 00 04 00 00 00 00 00 00 00 00 00 00 00 00 00 00 00 01 11 11 11 00 40 00 44 00 00 00 00 00 01 00 00 00 00 00 00 00 00 00 00 00 00 44 22 24 04 44 44 44 44 44 44 44 40 04 44 01 00 00 04 00 00 00 00 00 00 00 00 00 00 00 00 00 00 00 00 00 33 34 22 22 24 44 40 44 44 04 44 11 00 44 40 44 44 44 44 44 44 44 44 44 44 42 44 44 44 44 44 44 44 00 00 00 00 00 00 04 40 00 04 04 44 77 77 77 77 77 77 77 77 77 70 04 77 77 77 77 75 55 55 55 55 55 55 55 55 55 55 55 55 55 55 70 00 04 44 04 04 00 40 10 00 04 40 40 00 00 00 00 00 00 00 00 00 00 00 00 00 00 00 05 00 00 00 00 00 00 00 00 00 00 00 00 00 07 77 77 75 55 55 54 44 44 44 44 44 44 44 46 66 66 66 66 66 22 22 22 22 22 22 22 22 22 22 20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</si>
</sst>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2" sqref="B2"/>
    </sheetView>
  </sheetViews>
  <sheetFormatPr defaultRowHeight="14.6" x14ac:dyDescent="0.4"/>
  <cols>
    <col min="6" max="6" width="15.921875" customWidth="1"/>
  </cols>
  <sheetData>
    <row r="1" spans="1:8" x14ac:dyDescent="0.4">
      <c r="A1" s="3" t="s">
        <v>1046</v>
      </c>
      <c r="B1" s="3"/>
      <c r="C1" s="3"/>
      <c r="D1" s="3"/>
      <c r="E1" s="3"/>
      <c r="F1" s="3"/>
      <c r="G1" s="3"/>
    </row>
    <row r="2" spans="1:8" x14ac:dyDescent="0.4">
      <c r="A2" t="s">
        <v>0</v>
      </c>
      <c r="B2" t="s">
        <v>1105</v>
      </c>
      <c r="C2" t="str">
        <f>SUBSTITUTE(B2," ","")</f>
        <v>00000000000000000111111111111111111111111111111111111110000000000111000000000000000000000000000000000000000000000000000000070000000000100000000000000333333333333333333333333333333333333333333333333333333333333333300040000000000000000000000000000000000000000000000000000000000000000000000000000000000000000000000000000000000000002222222222222222222222222222222222222222222222222222222222222222222222222222222222222222222222222200444444444444444444444444444444444444444444444444444444444000000000000000044410000000000000000000000000000400000000000000000000000000000001111111004000440000000000010000000000000000000000004422240444444444444444400444010000040000000000000000000000000000000000333422222444404444044411004440444444444444444444444244444444444444000000000000044000040444777777777777777777700477777777755555555555555555555555555555700004440404004010000440400000000000000000000000000000000500000000000000000000000000077777755555544444444444444446666666666622222222222222222222200000000000</v>
      </c>
      <c r="D2">
        <f>LEN(C2)</f>
        <v>992</v>
      </c>
    </row>
    <row r="3" spans="1:8" x14ac:dyDescent="0.4">
      <c r="D3" t="str">
        <f>DEC2HEX(D2/2)</f>
        <v>1F0</v>
      </c>
      <c r="F3" t="s">
        <v>1028</v>
      </c>
      <c r="G3" t="str">
        <f>MID(_xlfn.CONCAT(Edit!J:J),1+LEN(Edit!J1),COUNTA(Edit!J:J)-1)</f>
        <v>000000000000000001111111111111111111111111111111111111100000000001110000000000000000000000000000000000000000000000000000000700000000001000000000000003333333333333333333333333333333333333333333333333333333333333333000400000000000000000000000000000000000000000000000000000000000000000000000000000000000000000000000000000000000000022222222222222222222222222222222222222222222222222222222222222222222222222222222222222222222222222004444444444444444444444444444444444444444444444444444444440000000000000000444100000000000000000000000000004000000000000000000000000000000011111110040004400000000000100000000000000000000000044222404444444444444444004440100000400000000000000000000000000000000003334222224444044440444110044404444444444444444444442444444444444440000000000000440000404447777777777777777777004777777777555555555555555555555555555557000044404040040100004404000000000000000000000000000000005000000000000000000000000000777777555555444444444444444466666666666222222222222222222222</v>
      </c>
      <c r="H3" t="s">
        <v>1029</v>
      </c>
    </row>
    <row r="4" spans="1:8" x14ac:dyDescent="0.4">
      <c r="A4" t="s">
        <v>1</v>
      </c>
      <c r="B4" t="str">
        <f>_xlfn.CONCAT(G3,REPT("0",G5))</f>
        <v>00000000000000000111111111111111111111111111111111111110000000000111000000000000000000000000000000000000000000000000000000070000000000100000000000000333333333333333333333333333333333333333333333333333333333333333300040000000000000000000000000000000000000000000000000000000000000000000000000000000000000000000000000000000000000002222222222222222222222222222222222222222222222222222222222222222222222222222222222222222222222222200444444444444444444444444444444444444444444444444444444444000000000000000044410000000000000000000000000000400000000000000000000000000000001111111004000440000000000010000000000000000000000004422240444444444444444400444010000040000000000000000000000000000000000333422222444404444044411004440444444444444444444444244444444444444000000000000044000040444777777777777777777700477777777755555555555555555555555555555700004440404004010000440400000000000000000000000000000000500000000000000000000000000077777755555544444444444444446666666666622222222222222222222200000000000</v>
      </c>
      <c r="D4">
        <f>LEN(B4)</f>
        <v>992</v>
      </c>
      <c r="F4" t="s">
        <v>1030</v>
      </c>
      <c r="G4">
        <f>LEN(G3)</f>
        <v>981</v>
      </c>
    </row>
    <row r="5" spans="1:8" x14ac:dyDescent="0.4">
      <c r="D5" t="str">
        <f>DEC2HEX(D4/2)</f>
        <v>1F0</v>
      </c>
      <c r="F5" t="s">
        <v>1031</v>
      </c>
      <c r="G5">
        <f>32-MOD(G4,32)</f>
        <v>11</v>
      </c>
    </row>
    <row r="7" spans="1:8" x14ac:dyDescent="0.4">
      <c r="A7" s="3" t="s">
        <v>1047</v>
      </c>
      <c r="B7" s="3"/>
      <c r="C7" s="3"/>
      <c r="D7" s="3"/>
      <c r="E7" s="3"/>
      <c r="F7" s="3"/>
      <c r="G7" s="3"/>
    </row>
    <row r="8" spans="1:8" x14ac:dyDescent="0.4">
      <c r="A8" t="s">
        <v>0</v>
      </c>
      <c r="B8" t="s">
        <v>1104</v>
      </c>
      <c r="C8" t="str">
        <f>SUBSTITUTE(B8," ","")</f>
        <v>00010101010101010101010101010101010408080808080C0404040808080404040404040808040404040804000000000000000000000802020202020202020202080808000000000000000000000000000000000000000000000000000000000000000000000000000000000000000000000000000000000000000000000000000000000000040000000000000000000000000000080808080804040808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0000000000800000000000000000000000000000000000000000000000000000000000000000000000000000000000000000000000000000000000000000000000000000000000000000000000102000000000000000000000000000800000000000000000000000000000000000000000000000000000000000000000000000000000000000000000000000000000000000000000000000000000000000000000000000000000000000000000000000000000000000000000000000000000000000000000000000000000000000000000808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10800000000000000000000000000000000000000000000000000000000000000000000000000000000000000000000000000000000000000000000000000000000000000000000000000000000000000000000000000000000000000000000000000000000000000141412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v>
      </c>
      <c r="D8">
        <f>LEN(C8)</f>
        <v>2208</v>
      </c>
    </row>
    <row r="9" spans="1:8" x14ac:dyDescent="0.4">
      <c r="D9" t="str">
        <f>DEC2HEX(D8/2)</f>
        <v>450</v>
      </c>
    </row>
    <row r="10" spans="1:8" x14ac:dyDescent="0.4">
      <c r="A10" t="s">
        <v>1</v>
      </c>
      <c r="B10" t="str">
        <f>_xlfn.CONCAT(Edit!R:R)</f>
        <v>00010101010101010101010101010101010408080808080C0404040808080404040404040808040404040804000000000000000000000802020202020202020202080808000000000000000000000000000000000000000000000000000000000000000000000000000000000000000000000000000000000000000000000000000000000000040000000000000000000000000000080808080804040808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000000800000000000000000000000000000000000000000000000000000000000000000000000000000000000000000000000000000000000000000000000000000000000000000000000102000000000000000000000000000800000000000000000000000000000000000000000000000000000000000000000000000000000000000000000000000000000000000000000000000000000000000000000000000000000000000000000000000000000000000000000000000000000000000000000000000000000000000000000808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1080000000000000000000000000000000000000000000000000000000000000000000000000000000000000000000000000000000000000000000000000000000000000000000000000000000000000000000000000000000000000000000000000000000000000014141212000000000000000000000000000000000000000000</v>
      </c>
      <c r="D10">
        <f>LEN(B10)</f>
        <v>1962</v>
      </c>
    </row>
    <row r="11" spans="1:8" x14ac:dyDescent="0.4">
      <c r="D11" t="str">
        <f>DEC2HEX(D10/2)</f>
        <v>3D5</v>
      </c>
    </row>
  </sheetData>
  <mergeCells count="2">
    <mergeCell ref="A1:G1"/>
    <mergeCell ref="A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BB92-721D-42A6-BA3E-BC9C680D728D}">
  <dimension ref="A1:R987"/>
  <sheetViews>
    <sheetView tabSelected="1" workbookViewId="0">
      <pane ySplit="1" topLeftCell="A593" activePane="bottomLeft" state="frozen"/>
      <selection pane="bottomLeft" activeCell="I617" sqref="I617"/>
    </sheetView>
  </sheetViews>
  <sheetFormatPr defaultRowHeight="14.6" x14ac:dyDescent="0.4"/>
  <cols>
    <col min="1" max="1" width="5.921875" style="1" bestFit="1" customWidth="1"/>
    <col min="2" max="2" width="6.23046875" bestFit="1" customWidth="1"/>
    <col min="3" max="3" width="11.3828125" bestFit="1" customWidth="1"/>
    <col min="4" max="4" width="9.4609375" bestFit="1" customWidth="1"/>
    <col min="5" max="5" width="3.921875" bestFit="1" customWidth="1"/>
    <col min="6" max="6" width="9.765625" bestFit="1" customWidth="1"/>
    <col min="7" max="7" width="17.3046875" bestFit="1" customWidth="1"/>
    <col min="8" max="8" width="20.3046875" bestFit="1" customWidth="1"/>
    <col min="9" max="9" width="17.23046875" bestFit="1" customWidth="1"/>
    <col min="10" max="10" width="6.84375" bestFit="1" customWidth="1"/>
    <col min="12" max="12" width="7.921875" bestFit="1" customWidth="1"/>
    <col min="13" max="13" width="10.921875" bestFit="1" customWidth="1"/>
    <col min="14" max="14" width="13.07421875" bestFit="1" customWidth="1"/>
    <col min="15" max="15" width="10.15234375" bestFit="1" customWidth="1"/>
    <col min="16" max="16" width="12.23046875" bestFit="1" customWidth="1"/>
  </cols>
  <sheetData>
    <row r="1" spans="1:18" s="1" customFormat="1" x14ac:dyDescent="0.4">
      <c r="A1" s="1" t="s">
        <v>1012</v>
      </c>
      <c r="B1" s="1" t="s">
        <v>1014</v>
      </c>
      <c r="C1" s="1" t="s">
        <v>1017</v>
      </c>
      <c r="D1" s="1" t="s">
        <v>1050</v>
      </c>
      <c r="E1" s="1" t="s">
        <v>1052</v>
      </c>
      <c r="F1" s="1" t="s">
        <v>1015</v>
      </c>
      <c r="G1" s="1" t="s">
        <v>1016</v>
      </c>
      <c r="H1" s="1" t="s">
        <v>1048</v>
      </c>
      <c r="I1" s="1" t="s">
        <v>1049</v>
      </c>
      <c r="J1" s="1" t="s">
        <v>1026</v>
      </c>
      <c r="L1" s="1" t="s">
        <v>1051</v>
      </c>
      <c r="M1" s="1" t="s">
        <v>1053</v>
      </c>
      <c r="N1" s="1" t="s">
        <v>1054</v>
      </c>
      <c r="O1" s="1" t="s">
        <v>1055</v>
      </c>
      <c r="P1" s="1" t="s">
        <v>1056</v>
      </c>
    </row>
    <row r="2" spans="1:18" x14ac:dyDescent="0.4">
      <c r="A2" s="2" t="s">
        <v>1013</v>
      </c>
      <c r="B2">
        <v>0</v>
      </c>
      <c r="C2">
        <f>VALUE(MID(Hex!$C$2,1+2*HEX2DEC(A2)+B2,1))</f>
        <v>0</v>
      </c>
      <c r="D2" s="2" t="s">
        <v>1013</v>
      </c>
      <c r="E2">
        <f>HEX2DEC(MID(Hex!$C$8,1+HEX2DEC(Edit!D2)*2,2))</f>
        <v>0</v>
      </c>
      <c r="F2">
        <v>0</v>
      </c>
      <c r="G2" t="str">
        <f>_xlfn.LET(_xlpm.custom,_xlfn.XLOOKUP(F2,Data!A:A,Data!C:C),IF(_xlpm.custom="",_xlfn.XLOOKUP(F2,Data!A:A,Data!B:B),_xlpm.custom))</f>
        <v>None</v>
      </c>
      <c r="H2" t="str">
        <f>_xlfn.XLOOKUP(C2,Data!A:A,Data!E:E)</f>
        <v>General</v>
      </c>
      <c r="J2">
        <f>IF(I2="",C2,_xlfn.XLOOKUP(I2,Data!E:E,Data!A:A,""))</f>
        <v>0</v>
      </c>
      <c r="L2">
        <f>_xlfn.BITAND($E2,1)</f>
        <v>0</v>
      </c>
      <c r="M2">
        <f>_xlfn.BITAND($E2,2)</f>
        <v>0</v>
      </c>
      <c r="N2">
        <f t="shared" ref="N2:N19" si="0">_xlfn.BITAND($E2,4)</f>
        <v>0</v>
      </c>
      <c r="O2">
        <f>_xlfn.BITAND($E2,8)</f>
        <v>0</v>
      </c>
      <c r="P2">
        <f>_xlfn.BITAND($E2,16)</f>
        <v>0</v>
      </c>
      <c r="R2" t="str">
        <f>DEC2HEX(SUM(L2:P2),2)</f>
        <v>00</v>
      </c>
    </row>
    <row r="3" spans="1:18" x14ac:dyDescent="0.4">
      <c r="A3" s="2" t="s">
        <v>1013</v>
      </c>
      <c r="B3">
        <v>1</v>
      </c>
      <c r="C3">
        <f>VALUE(MID(Hex!$C$2,1+2*HEX2DEC(A3)+B3,1))</f>
        <v>0</v>
      </c>
      <c r="D3" s="1" t="str">
        <f>DEC2HEX(1+HEX2DEC(D2),3)</f>
        <v>001</v>
      </c>
      <c r="E3">
        <f>HEX2DEC(MID(Hex!$C$8,1+HEX2DEC(Edit!D3)*2,2))</f>
        <v>1</v>
      </c>
      <c r="F3">
        <f>F2+1</f>
        <v>1</v>
      </c>
      <c r="G3" t="str">
        <f>_xlfn.LET(_xlpm.custom,_xlfn.XLOOKUP(F3,Data!A:A,Data!C:C),IF(_xlpm.custom="",_xlfn.XLOOKUP(F3,Data!A:A,Data!B:B),_xlpm.custom))</f>
        <v>Master Ball</v>
      </c>
      <c r="H3" t="str">
        <f>_xlfn.XLOOKUP(C3,Data!A:A,Data!E:E)</f>
        <v>General</v>
      </c>
      <c r="J3">
        <f>IF(I3="",C3,_xlfn.XLOOKUP(I3,Data!E:E,Data!A:A,""))</f>
        <v>0</v>
      </c>
      <c r="L3">
        <f t="shared" ref="L3:L66" si="1">_xlfn.BITAND(E3,1)</f>
        <v>1</v>
      </c>
      <c r="M3">
        <f t="shared" ref="M3:M66" si="2">_xlfn.BITAND($E3,2)</f>
        <v>0</v>
      </c>
      <c r="N3">
        <f t="shared" si="0"/>
        <v>0</v>
      </c>
      <c r="O3">
        <f t="shared" ref="O3:O66" si="3">_xlfn.BITAND($E3,8)</f>
        <v>0</v>
      </c>
      <c r="P3">
        <f t="shared" ref="P3:P66" si="4">_xlfn.BITAND($E3,16)</f>
        <v>0</v>
      </c>
      <c r="R3" t="str">
        <f t="shared" ref="R3:R66" si="5">DEC2HEX(SUM(L3:P3),2)</f>
        <v>01</v>
      </c>
    </row>
    <row r="4" spans="1:18" x14ac:dyDescent="0.4">
      <c r="A4" s="1" t="str">
        <f>DEC2HEX(1+HEX2DEC(A2),3)</f>
        <v>001</v>
      </c>
      <c r="B4">
        <f>B2</f>
        <v>0</v>
      </c>
      <c r="C4">
        <f>VALUE(MID(Hex!$C$2,1+2*HEX2DEC(A4)+B4,1))</f>
        <v>0</v>
      </c>
      <c r="D4" s="1" t="str">
        <f t="shared" ref="D4:D67" si="6">DEC2HEX(1+HEX2DEC(D3),3)</f>
        <v>002</v>
      </c>
      <c r="E4">
        <f>HEX2DEC(MID(Hex!$C$8,1+HEX2DEC(Edit!D4)*2,2))</f>
        <v>1</v>
      </c>
      <c r="F4">
        <f t="shared" ref="F4:F67" si="7">F3+1</f>
        <v>2</v>
      </c>
      <c r="G4" t="str">
        <f>_xlfn.LET(_xlpm.custom,_xlfn.XLOOKUP(F4,Data!A:A,Data!C:C),IF(_xlpm.custom="",_xlfn.XLOOKUP(F4,Data!A:A,Data!B:B),_xlpm.custom))</f>
        <v>Ultra Ball</v>
      </c>
      <c r="H4" t="str">
        <f>_xlfn.XLOOKUP(C4,Data!A:A,Data!E:E)</f>
        <v>General</v>
      </c>
      <c r="J4">
        <f>IF(I4="",C4,_xlfn.XLOOKUP(I4,Data!E:E,Data!A:A,""))</f>
        <v>0</v>
      </c>
      <c r="L4">
        <f t="shared" si="1"/>
        <v>1</v>
      </c>
      <c r="M4">
        <f t="shared" si="2"/>
        <v>0</v>
      </c>
      <c r="N4">
        <f t="shared" si="0"/>
        <v>0</v>
      </c>
      <c r="O4">
        <f t="shared" si="3"/>
        <v>0</v>
      </c>
      <c r="P4">
        <f t="shared" si="4"/>
        <v>0</v>
      </c>
      <c r="R4" t="str">
        <f t="shared" si="5"/>
        <v>01</v>
      </c>
    </row>
    <row r="5" spans="1:18" x14ac:dyDescent="0.4">
      <c r="A5" s="1" t="str">
        <f t="shared" ref="A5:A68" si="8">DEC2HEX(1+HEX2DEC(A3),3)</f>
        <v>001</v>
      </c>
      <c r="B5">
        <f t="shared" ref="B5:B68" si="9">B3</f>
        <v>1</v>
      </c>
      <c r="C5">
        <f>VALUE(MID(Hex!$C$2,1+2*HEX2DEC(A5)+B5,1))</f>
        <v>0</v>
      </c>
      <c r="D5" s="1" t="str">
        <f t="shared" si="6"/>
        <v>003</v>
      </c>
      <c r="E5">
        <f>HEX2DEC(MID(Hex!$C$8,1+HEX2DEC(Edit!D5)*2,2))</f>
        <v>1</v>
      </c>
      <c r="F5">
        <f t="shared" si="7"/>
        <v>3</v>
      </c>
      <c r="G5" t="str">
        <f>_xlfn.LET(_xlpm.custom,_xlfn.XLOOKUP(F5,Data!A:A,Data!C:C),IF(_xlpm.custom="",_xlfn.XLOOKUP(F5,Data!A:A,Data!B:B),_xlpm.custom))</f>
        <v>Great Ball</v>
      </c>
      <c r="H5" t="str">
        <f>_xlfn.XLOOKUP(C5,Data!A:A,Data!E:E)</f>
        <v>General</v>
      </c>
      <c r="J5">
        <f>IF(I5="",C5,_xlfn.XLOOKUP(I5,Data!E:E,Data!A:A,""))</f>
        <v>0</v>
      </c>
      <c r="L5">
        <f t="shared" si="1"/>
        <v>1</v>
      </c>
      <c r="M5">
        <f t="shared" si="2"/>
        <v>0</v>
      </c>
      <c r="N5">
        <f t="shared" si="0"/>
        <v>0</v>
      </c>
      <c r="O5">
        <f t="shared" si="3"/>
        <v>0</v>
      </c>
      <c r="P5">
        <f t="shared" si="4"/>
        <v>0</v>
      </c>
      <c r="R5" t="str">
        <f t="shared" si="5"/>
        <v>01</v>
      </c>
    </row>
    <row r="6" spans="1:18" x14ac:dyDescent="0.4">
      <c r="A6" s="1" t="str">
        <f t="shared" si="8"/>
        <v>002</v>
      </c>
      <c r="B6">
        <f t="shared" si="9"/>
        <v>0</v>
      </c>
      <c r="C6">
        <f>VALUE(MID(Hex!$C$2,1+2*HEX2DEC(A6)+B6,1))</f>
        <v>0</v>
      </c>
      <c r="D6" s="1" t="str">
        <f t="shared" si="6"/>
        <v>004</v>
      </c>
      <c r="E6">
        <f>HEX2DEC(MID(Hex!$C$8,1+HEX2DEC(Edit!D6)*2,2))</f>
        <v>1</v>
      </c>
      <c r="F6">
        <f t="shared" si="7"/>
        <v>4</v>
      </c>
      <c r="G6" t="str">
        <f>_xlfn.LET(_xlpm.custom,_xlfn.XLOOKUP(F6,Data!A:A,Data!C:C),IF(_xlpm.custom="",_xlfn.XLOOKUP(F6,Data!A:A,Data!B:B),_xlpm.custom))</f>
        <v>Poké Ball</v>
      </c>
      <c r="H6" t="str">
        <f>_xlfn.XLOOKUP(C6,Data!A:A,Data!E:E)</f>
        <v>General</v>
      </c>
      <c r="J6">
        <f>IF(I6="",C6,_xlfn.XLOOKUP(I6,Data!E:E,Data!A:A,""))</f>
        <v>0</v>
      </c>
      <c r="L6">
        <f t="shared" si="1"/>
        <v>1</v>
      </c>
      <c r="M6">
        <f t="shared" si="2"/>
        <v>0</v>
      </c>
      <c r="N6">
        <f t="shared" si="0"/>
        <v>0</v>
      </c>
      <c r="O6">
        <f t="shared" si="3"/>
        <v>0</v>
      </c>
      <c r="P6">
        <f t="shared" si="4"/>
        <v>0</v>
      </c>
      <c r="R6" t="str">
        <f t="shared" si="5"/>
        <v>01</v>
      </c>
    </row>
    <row r="7" spans="1:18" x14ac:dyDescent="0.4">
      <c r="A7" s="1" t="str">
        <f t="shared" si="8"/>
        <v>002</v>
      </c>
      <c r="B7">
        <f t="shared" si="9"/>
        <v>1</v>
      </c>
      <c r="C7">
        <f>VALUE(MID(Hex!$C$2,1+2*HEX2DEC(A7)+B7,1))</f>
        <v>0</v>
      </c>
      <c r="D7" s="1" t="str">
        <f t="shared" si="6"/>
        <v>005</v>
      </c>
      <c r="E7">
        <f>HEX2DEC(MID(Hex!$C$8,1+HEX2DEC(Edit!D7)*2,2))</f>
        <v>1</v>
      </c>
      <c r="F7">
        <f t="shared" si="7"/>
        <v>5</v>
      </c>
      <c r="G7" t="str">
        <f>_xlfn.LET(_xlpm.custom,_xlfn.XLOOKUP(F7,Data!A:A,Data!C:C),IF(_xlpm.custom="",_xlfn.XLOOKUP(F7,Data!A:A,Data!B:B),_xlpm.custom))</f>
        <v>Safari Ball</v>
      </c>
      <c r="H7" t="str">
        <f>_xlfn.XLOOKUP(C7,Data!A:A,Data!E:E)</f>
        <v>General</v>
      </c>
      <c r="J7">
        <f>IF(I7="",C7,_xlfn.XLOOKUP(I7,Data!E:E,Data!A:A,""))</f>
        <v>0</v>
      </c>
      <c r="L7">
        <f t="shared" si="1"/>
        <v>1</v>
      </c>
      <c r="M7">
        <f t="shared" si="2"/>
        <v>0</v>
      </c>
      <c r="N7">
        <f t="shared" si="0"/>
        <v>0</v>
      </c>
      <c r="O7">
        <f t="shared" si="3"/>
        <v>0</v>
      </c>
      <c r="P7">
        <f t="shared" si="4"/>
        <v>0</v>
      </c>
      <c r="R7" t="str">
        <f t="shared" si="5"/>
        <v>01</v>
      </c>
    </row>
    <row r="8" spans="1:18" x14ac:dyDescent="0.4">
      <c r="A8" s="1" t="str">
        <f t="shared" si="8"/>
        <v>003</v>
      </c>
      <c r="B8">
        <f t="shared" si="9"/>
        <v>0</v>
      </c>
      <c r="C8">
        <f>VALUE(MID(Hex!$C$2,1+2*HEX2DEC(A8)+B8,1))</f>
        <v>0</v>
      </c>
      <c r="D8" s="1" t="str">
        <f t="shared" si="6"/>
        <v>006</v>
      </c>
      <c r="E8">
        <f>HEX2DEC(MID(Hex!$C$8,1+HEX2DEC(Edit!D8)*2,2))</f>
        <v>1</v>
      </c>
      <c r="F8">
        <f t="shared" si="7"/>
        <v>6</v>
      </c>
      <c r="G8" t="str">
        <f>_xlfn.LET(_xlpm.custom,_xlfn.XLOOKUP(F8,Data!A:A,Data!C:C),IF(_xlpm.custom="",_xlfn.XLOOKUP(F8,Data!A:A,Data!B:B),_xlpm.custom))</f>
        <v>Net Ball</v>
      </c>
      <c r="H8" t="str">
        <f>_xlfn.XLOOKUP(C8,Data!A:A,Data!E:E)</f>
        <v>General</v>
      </c>
      <c r="J8">
        <f>IF(I8="",C8,_xlfn.XLOOKUP(I8,Data!E:E,Data!A:A,""))</f>
        <v>0</v>
      </c>
      <c r="L8">
        <f t="shared" si="1"/>
        <v>1</v>
      </c>
      <c r="M8">
        <f t="shared" si="2"/>
        <v>0</v>
      </c>
      <c r="N8">
        <f t="shared" si="0"/>
        <v>0</v>
      </c>
      <c r="O8">
        <f t="shared" si="3"/>
        <v>0</v>
      </c>
      <c r="P8">
        <f t="shared" si="4"/>
        <v>0</v>
      </c>
      <c r="R8" t="str">
        <f t="shared" si="5"/>
        <v>01</v>
      </c>
    </row>
    <row r="9" spans="1:18" x14ac:dyDescent="0.4">
      <c r="A9" s="1" t="str">
        <f t="shared" si="8"/>
        <v>003</v>
      </c>
      <c r="B9">
        <f t="shared" si="9"/>
        <v>1</v>
      </c>
      <c r="C9">
        <f>VALUE(MID(Hex!$C$2,1+2*HEX2DEC(A9)+B9,1))</f>
        <v>0</v>
      </c>
      <c r="D9" s="1" t="str">
        <f t="shared" si="6"/>
        <v>007</v>
      </c>
      <c r="E9">
        <f>HEX2DEC(MID(Hex!$C$8,1+HEX2DEC(Edit!D9)*2,2))</f>
        <v>1</v>
      </c>
      <c r="F9">
        <f t="shared" si="7"/>
        <v>7</v>
      </c>
      <c r="G9" t="str">
        <f>_xlfn.LET(_xlpm.custom,_xlfn.XLOOKUP(F9,Data!A:A,Data!C:C),IF(_xlpm.custom="",_xlfn.XLOOKUP(F9,Data!A:A,Data!B:B),_xlpm.custom))</f>
        <v>Dive Ball</v>
      </c>
      <c r="H9" t="str">
        <f>_xlfn.XLOOKUP(C9,Data!A:A,Data!E:E)</f>
        <v>General</v>
      </c>
      <c r="J9">
        <f>IF(I9="",C9,_xlfn.XLOOKUP(I9,Data!E:E,Data!A:A,""))</f>
        <v>0</v>
      </c>
      <c r="L9">
        <f t="shared" si="1"/>
        <v>1</v>
      </c>
      <c r="M9">
        <f t="shared" si="2"/>
        <v>0</v>
      </c>
      <c r="N9">
        <f t="shared" si="0"/>
        <v>0</v>
      </c>
      <c r="O9">
        <f t="shared" si="3"/>
        <v>0</v>
      </c>
      <c r="P9">
        <f t="shared" si="4"/>
        <v>0</v>
      </c>
      <c r="R9" t="str">
        <f t="shared" si="5"/>
        <v>01</v>
      </c>
    </row>
    <row r="10" spans="1:18" x14ac:dyDescent="0.4">
      <c r="A10" s="1" t="str">
        <f t="shared" si="8"/>
        <v>004</v>
      </c>
      <c r="B10">
        <f t="shared" si="9"/>
        <v>0</v>
      </c>
      <c r="C10">
        <f>VALUE(MID(Hex!$C$2,1+2*HEX2DEC(A10)+B10,1))</f>
        <v>0</v>
      </c>
      <c r="D10" s="1" t="str">
        <f t="shared" si="6"/>
        <v>008</v>
      </c>
      <c r="E10">
        <f>HEX2DEC(MID(Hex!$C$8,1+HEX2DEC(Edit!D10)*2,2))</f>
        <v>1</v>
      </c>
      <c r="F10">
        <f t="shared" si="7"/>
        <v>8</v>
      </c>
      <c r="G10" t="str">
        <f>_xlfn.LET(_xlpm.custom,_xlfn.XLOOKUP(F10,Data!A:A,Data!C:C),IF(_xlpm.custom="",_xlfn.XLOOKUP(F10,Data!A:A,Data!B:B),_xlpm.custom))</f>
        <v>Nest Ball</v>
      </c>
      <c r="H10" t="str">
        <f>_xlfn.XLOOKUP(C10,Data!A:A,Data!E:E)</f>
        <v>General</v>
      </c>
      <c r="J10">
        <f>IF(I10="",C10,_xlfn.XLOOKUP(I10,Data!E:E,Data!A:A,""))</f>
        <v>0</v>
      </c>
      <c r="L10">
        <f t="shared" si="1"/>
        <v>1</v>
      </c>
      <c r="M10">
        <f t="shared" si="2"/>
        <v>0</v>
      </c>
      <c r="N10">
        <f t="shared" si="0"/>
        <v>0</v>
      </c>
      <c r="O10">
        <f t="shared" si="3"/>
        <v>0</v>
      </c>
      <c r="P10">
        <f t="shared" si="4"/>
        <v>0</v>
      </c>
      <c r="R10" t="str">
        <f t="shared" si="5"/>
        <v>01</v>
      </c>
    </row>
    <row r="11" spans="1:18" x14ac:dyDescent="0.4">
      <c r="A11" s="1" t="str">
        <f t="shared" si="8"/>
        <v>004</v>
      </c>
      <c r="B11">
        <f t="shared" si="9"/>
        <v>1</v>
      </c>
      <c r="C11">
        <f>VALUE(MID(Hex!$C$2,1+2*HEX2DEC(A11)+B11,1))</f>
        <v>0</v>
      </c>
      <c r="D11" s="1" t="str">
        <f t="shared" si="6"/>
        <v>009</v>
      </c>
      <c r="E11">
        <f>HEX2DEC(MID(Hex!$C$8,1+HEX2DEC(Edit!D11)*2,2))</f>
        <v>1</v>
      </c>
      <c r="F11">
        <f t="shared" si="7"/>
        <v>9</v>
      </c>
      <c r="G11" t="str">
        <f>_xlfn.LET(_xlpm.custom,_xlfn.XLOOKUP(F11,Data!A:A,Data!C:C),IF(_xlpm.custom="",_xlfn.XLOOKUP(F11,Data!A:A,Data!B:B),_xlpm.custom))</f>
        <v>Repeat Ball</v>
      </c>
      <c r="H11" t="str">
        <f>_xlfn.XLOOKUP(C11,Data!A:A,Data!E:E)</f>
        <v>General</v>
      </c>
      <c r="J11">
        <f>IF(I11="",C11,_xlfn.XLOOKUP(I11,Data!E:E,Data!A:A,""))</f>
        <v>0</v>
      </c>
      <c r="L11">
        <f t="shared" si="1"/>
        <v>1</v>
      </c>
      <c r="M11">
        <f t="shared" si="2"/>
        <v>0</v>
      </c>
      <c r="N11">
        <f t="shared" si="0"/>
        <v>0</v>
      </c>
      <c r="O11">
        <f t="shared" si="3"/>
        <v>0</v>
      </c>
      <c r="P11">
        <f t="shared" si="4"/>
        <v>0</v>
      </c>
      <c r="R11" t="str">
        <f t="shared" si="5"/>
        <v>01</v>
      </c>
    </row>
    <row r="12" spans="1:18" x14ac:dyDescent="0.4">
      <c r="A12" s="1" t="str">
        <f t="shared" si="8"/>
        <v>005</v>
      </c>
      <c r="B12">
        <f t="shared" si="9"/>
        <v>0</v>
      </c>
      <c r="C12">
        <f>VALUE(MID(Hex!$C$2,1+2*HEX2DEC(A12)+B12,1))</f>
        <v>0</v>
      </c>
      <c r="D12" s="1" t="str">
        <f t="shared" si="6"/>
        <v>00A</v>
      </c>
      <c r="E12">
        <f>HEX2DEC(MID(Hex!$C$8,1+HEX2DEC(Edit!D12)*2,2))</f>
        <v>1</v>
      </c>
      <c r="F12">
        <f t="shared" si="7"/>
        <v>10</v>
      </c>
      <c r="G12" t="str">
        <f>_xlfn.LET(_xlpm.custom,_xlfn.XLOOKUP(F12,Data!A:A,Data!C:C),IF(_xlpm.custom="",_xlfn.XLOOKUP(F12,Data!A:A,Data!B:B),_xlpm.custom))</f>
        <v>Timer Ball</v>
      </c>
      <c r="H12" t="str">
        <f>_xlfn.XLOOKUP(C12,Data!A:A,Data!E:E)</f>
        <v>General</v>
      </c>
      <c r="J12">
        <f>IF(I12="",C12,_xlfn.XLOOKUP(I12,Data!E:E,Data!A:A,""))</f>
        <v>0</v>
      </c>
      <c r="L12">
        <f t="shared" si="1"/>
        <v>1</v>
      </c>
      <c r="M12">
        <f t="shared" si="2"/>
        <v>0</v>
      </c>
      <c r="N12">
        <f t="shared" si="0"/>
        <v>0</v>
      </c>
      <c r="O12">
        <f t="shared" si="3"/>
        <v>0</v>
      </c>
      <c r="P12">
        <f t="shared" si="4"/>
        <v>0</v>
      </c>
      <c r="R12" t="str">
        <f t="shared" si="5"/>
        <v>01</v>
      </c>
    </row>
    <row r="13" spans="1:18" x14ac:dyDescent="0.4">
      <c r="A13" s="1" t="str">
        <f t="shared" si="8"/>
        <v>005</v>
      </c>
      <c r="B13">
        <f t="shared" si="9"/>
        <v>1</v>
      </c>
      <c r="C13">
        <f>VALUE(MID(Hex!$C$2,1+2*HEX2DEC(A13)+B13,1))</f>
        <v>0</v>
      </c>
      <c r="D13" s="1" t="str">
        <f t="shared" si="6"/>
        <v>00B</v>
      </c>
      <c r="E13">
        <f>HEX2DEC(MID(Hex!$C$8,1+HEX2DEC(Edit!D13)*2,2))</f>
        <v>1</v>
      </c>
      <c r="F13">
        <f t="shared" si="7"/>
        <v>11</v>
      </c>
      <c r="G13" t="str">
        <f>_xlfn.LET(_xlpm.custom,_xlfn.XLOOKUP(F13,Data!A:A,Data!C:C),IF(_xlpm.custom="",_xlfn.XLOOKUP(F13,Data!A:A,Data!B:B),_xlpm.custom))</f>
        <v>Luxury Ball</v>
      </c>
      <c r="H13" t="str">
        <f>_xlfn.XLOOKUP(C13,Data!A:A,Data!E:E)</f>
        <v>General</v>
      </c>
      <c r="J13">
        <f>IF(I13="",C13,_xlfn.XLOOKUP(I13,Data!E:E,Data!A:A,""))</f>
        <v>0</v>
      </c>
      <c r="L13">
        <f t="shared" si="1"/>
        <v>1</v>
      </c>
      <c r="M13">
        <f t="shared" si="2"/>
        <v>0</v>
      </c>
      <c r="N13">
        <f t="shared" si="0"/>
        <v>0</v>
      </c>
      <c r="O13">
        <f t="shared" si="3"/>
        <v>0</v>
      </c>
      <c r="P13">
        <f t="shared" si="4"/>
        <v>0</v>
      </c>
      <c r="R13" t="str">
        <f t="shared" si="5"/>
        <v>01</v>
      </c>
    </row>
    <row r="14" spans="1:18" x14ac:dyDescent="0.4">
      <c r="A14" s="1" t="str">
        <f t="shared" si="8"/>
        <v>006</v>
      </c>
      <c r="B14">
        <f t="shared" si="9"/>
        <v>0</v>
      </c>
      <c r="C14">
        <f>VALUE(MID(Hex!$C$2,1+2*HEX2DEC(A14)+B14,1))</f>
        <v>0</v>
      </c>
      <c r="D14" s="1" t="str">
        <f t="shared" si="6"/>
        <v>00C</v>
      </c>
      <c r="E14">
        <f>HEX2DEC(MID(Hex!$C$8,1+HEX2DEC(Edit!D14)*2,2))</f>
        <v>1</v>
      </c>
      <c r="F14">
        <f t="shared" si="7"/>
        <v>12</v>
      </c>
      <c r="G14" t="str">
        <f>_xlfn.LET(_xlpm.custom,_xlfn.XLOOKUP(F14,Data!A:A,Data!C:C),IF(_xlpm.custom="",_xlfn.XLOOKUP(F14,Data!A:A,Data!B:B),_xlpm.custom))</f>
        <v>Premier Ball</v>
      </c>
      <c r="H14" t="str">
        <f>_xlfn.XLOOKUP(C14,Data!A:A,Data!E:E)</f>
        <v>General</v>
      </c>
      <c r="J14">
        <f>IF(I14="",C14,_xlfn.XLOOKUP(I14,Data!E:E,Data!A:A,""))</f>
        <v>0</v>
      </c>
      <c r="L14">
        <f t="shared" si="1"/>
        <v>1</v>
      </c>
      <c r="M14">
        <f t="shared" si="2"/>
        <v>0</v>
      </c>
      <c r="N14">
        <f t="shared" si="0"/>
        <v>0</v>
      </c>
      <c r="O14">
        <f t="shared" si="3"/>
        <v>0</v>
      </c>
      <c r="P14">
        <f t="shared" si="4"/>
        <v>0</v>
      </c>
      <c r="R14" t="str">
        <f t="shared" si="5"/>
        <v>01</v>
      </c>
    </row>
    <row r="15" spans="1:18" x14ac:dyDescent="0.4">
      <c r="A15" s="1" t="str">
        <f t="shared" si="8"/>
        <v>006</v>
      </c>
      <c r="B15">
        <f t="shared" si="9"/>
        <v>1</v>
      </c>
      <c r="C15">
        <f>VALUE(MID(Hex!$C$2,1+2*HEX2DEC(A15)+B15,1))</f>
        <v>0</v>
      </c>
      <c r="D15" s="1" t="str">
        <f t="shared" si="6"/>
        <v>00D</v>
      </c>
      <c r="E15">
        <f>HEX2DEC(MID(Hex!$C$8,1+HEX2DEC(Edit!D15)*2,2))</f>
        <v>1</v>
      </c>
      <c r="F15">
        <f t="shared" si="7"/>
        <v>13</v>
      </c>
      <c r="G15" t="str">
        <f>_xlfn.LET(_xlpm.custom,_xlfn.XLOOKUP(F15,Data!A:A,Data!C:C),IF(_xlpm.custom="",_xlfn.XLOOKUP(F15,Data!A:A,Data!B:B),_xlpm.custom))</f>
        <v>Dusk Ball</v>
      </c>
      <c r="H15" t="str">
        <f>_xlfn.XLOOKUP(C15,Data!A:A,Data!E:E)</f>
        <v>General</v>
      </c>
      <c r="J15">
        <f>IF(I15="",C15,_xlfn.XLOOKUP(I15,Data!E:E,Data!A:A,""))</f>
        <v>0</v>
      </c>
      <c r="L15">
        <f t="shared" si="1"/>
        <v>1</v>
      </c>
      <c r="M15">
        <f t="shared" si="2"/>
        <v>0</v>
      </c>
      <c r="N15">
        <f t="shared" si="0"/>
        <v>0</v>
      </c>
      <c r="O15">
        <f t="shared" si="3"/>
        <v>0</v>
      </c>
      <c r="P15">
        <f t="shared" si="4"/>
        <v>0</v>
      </c>
      <c r="R15" t="str">
        <f t="shared" si="5"/>
        <v>01</v>
      </c>
    </row>
    <row r="16" spans="1:18" x14ac:dyDescent="0.4">
      <c r="A16" s="1" t="str">
        <f t="shared" si="8"/>
        <v>007</v>
      </c>
      <c r="B16">
        <f t="shared" si="9"/>
        <v>0</v>
      </c>
      <c r="C16">
        <f>VALUE(MID(Hex!$C$2,1+2*HEX2DEC(A16)+B16,1))</f>
        <v>0</v>
      </c>
      <c r="D16" s="1" t="str">
        <f t="shared" si="6"/>
        <v>00E</v>
      </c>
      <c r="E16">
        <f>HEX2DEC(MID(Hex!$C$8,1+HEX2DEC(Edit!D16)*2,2))</f>
        <v>1</v>
      </c>
      <c r="F16">
        <f t="shared" si="7"/>
        <v>14</v>
      </c>
      <c r="G16" t="str">
        <f>_xlfn.LET(_xlpm.custom,_xlfn.XLOOKUP(F16,Data!A:A,Data!C:C),IF(_xlpm.custom="",_xlfn.XLOOKUP(F16,Data!A:A,Data!B:B),_xlpm.custom))</f>
        <v>Heal Ball</v>
      </c>
      <c r="H16" t="str">
        <f>_xlfn.XLOOKUP(C16,Data!A:A,Data!E:E)</f>
        <v>General</v>
      </c>
      <c r="J16">
        <f>IF(I16="",C16,_xlfn.XLOOKUP(I16,Data!E:E,Data!A:A,""))</f>
        <v>0</v>
      </c>
      <c r="L16">
        <f t="shared" si="1"/>
        <v>1</v>
      </c>
      <c r="M16">
        <f t="shared" si="2"/>
        <v>0</v>
      </c>
      <c r="N16">
        <f t="shared" si="0"/>
        <v>0</v>
      </c>
      <c r="O16">
        <f t="shared" si="3"/>
        <v>0</v>
      </c>
      <c r="P16">
        <f t="shared" si="4"/>
        <v>0</v>
      </c>
      <c r="R16" t="str">
        <f t="shared" si="5"/>
        <v>01</v>
      </c>
    </row>
    <row r="17" spans="1:18" x14ac:dyDescent="0.4">
      <c r="A17" s="1" t="str">
        <f t="shared" si="8"/>
        <v>007</v>
      </c>
      <c r="B17">
        <f t="shared" si="9"/>
        <v>1</v>
      </c>
      <c r="C17">
        <f>VALUE(MID(Hex!$C$2,1+2*HEX2DEC(A17)+B17,1))</f>
        <v>0</v>
      </c>
      <c r="D17" s="1" t="str">
        <f t="shared" si="6"/>
        <v>00F</v>
      </c>
      <c r="E17">
        <f>HEX2DEC(MID(Hex!$C$8,1+HEX2DEC(Edit!D17)*2,2))</f>
        <v>1</v>
      </c>
      <c r="F17">
        <f t="shared" si="7"/>
        <v>15</v>
      </c>
      <c r="G17" t="str">
        <f>_xlfn.LET(_xlpm.custom,_xlfn.XLOOKUP(F17,Data!A:A,Data!C:C),IF(_xlpm.custom="",_xlfn.XLOOKUP(F17,Data!A:A,Data!B:B),_xlpm.custom))</f>
        <v>Quick Ball</v>
      </c>
      <c r="H17" t="str">
        <f>_xlfn.XLOOKUP(C17,Data!A:A,Data!E:E)</f>
        <v>General</v>
      </c>
      <c r="J17">
        <f>IF(I17="",C17,_xlfn.XLOOKUP(I17,Data!E:E,Data!A:A,""))</f>
        <v>0</v>
      </c>
      <c r="L17">
        <f t="shared" si="1"/>
        <v>1</v>
      </c>
      <c r="M17">
        <f t="shared" si="2"/>
        <v>0</v>
      </c>
      <c r="N17">
        <f t="shared" si="0"/>
        <v>0</v>
      </c>
      <c r="O17">
        <f t="shared" si="3"/>
        <v>0</v>
      </c>
      <c r="P17">
        <f t="shared" si="4"/>
        <v>0</v>
      </c>
      <c r="R17" t="str">
        <f t="shared" si="5"/>
        <v>01</v>
      </c>
    </row>
    <row r="18" spans="1:18" x14ac:dyDescent="0.4">
      <c r="A18" s="1" t="str">
        <f t="shared" si="8"/>
        <v>008</v>
      </c>
      <c r="B18">
        <f t="shared" si="9"/>
        <v>0</v>
      </c>
      <c r="C18">
        <f>VALUE(MID(Hex!$C$2,1+2*HEX2DEC(A18)+B18,1))</f>
        <v>0</v>
      </c>
      <c r="D18" s="1" t="str">
        <f t="shared" si="6"/>
        <v>010</v>
      </c>
      <c r="E18">
        <f>HEX2DEC(MID(Hex!$C$8,1+HEX2DEC(Edit!D18)*2,2))</f>
        <v>1</v>
      </c>
      <c r="F18">
        <f t="shared" si="7"/>
        <v>16</v>
      </c>
      <c r="G18" t="str">
        <f>_xlfn.LET(_xlpm.custom,_xlfn.XLOOKUP(F18,Data!A:A,Data!C:C),IF(_xlpm.custom="",_xlfn.XLOOKUP(F18,Data!A:A,Data!B:B),_xlpm.custom))</f>
        <v>Cherish Ball</v>
      </c>
      <c r="H18" t="str">
        <f>_xlfn.XLOOKUP(C18,Data!A:A,Data!E:E)</f>
        <v>General</v>
      </c>
      <c r="J18">
        <f>IF(I18="",C18,_xlfn.XLOOKUP(I18,Data!E:E,Data!A:A,""))</f>
        <v>0</v>
      </c>
      <c r="L18">
        <f t="shared" si="1"/>
        <v>1</v>
      </c>
      <c r="M18">
        <f t="shared" si="2"/>
        <v>0</v>
      </c>
      <c r="N18">
        <f t="shared" si="0"/>
        <v>0</v>
      </c>
      <c r="O18">
        <f t="shared" si="3"/>
        <v>0</v>
      </c>
      <c r="P18">
        <f t="shared" si="4"/>
        <v>0</v>
      </c>
      <c r="R18" t="str">
        <f t="shared" si="5"/>
        <v>01</v>
      </c>
    </row>
    <row r="19" spans="1:18" x14ac:dyDescent="0.4">
      <c r="A19" s="1" t="str">
        <f t="shared" si="8"/>
        <v>008</v>
      </c>
      <c r="B19">
        <f t="shared" si="9"/>
        <v>1</v>
      </c>
      <c r="C19">
        <f>VALUE(MID(Hex!$C$2,1+2*HEX2DEC(A19)+B19,1))</f>
        <v>1</v>
      </c>
      <c r="D19" s="1" t="str">
        <f t="shared" si="6"/>
        <v>011</v>
      </c>
      <c r="E19">
        <f>HEX2DEC(MID(Hex!$C$8,1+HEX2DEC(Edit!D19)*2,2))</f>
        <v>4</v>
      </c>
      <c r="F19">
        <f t="shared" si="7"/>
        <v>17</v>
      </c>
      <c r="G19" t="str">
        <f>_xlfn.LET(_xlpm.custom,_xlfn.XLOOKUP(F19,Data!A:A,Data!C:C),IF(_xlpm.custom="",_xlfn.XLOOKUP(F19,Data!A:A,Data!B:B),_xlpm.custom))</f>
        <v>Potion</v>
      </c>
      <c r="H19" t="str">
        <f>_xlfn.XLOOKUP(C19,Data!A:A,Data!E:E)</f>
        <v>Medicine</v>
      </c>
      <c r="J19">
        <f>IF(I19="",C19,_xlfn.XLOOKUP(I19,Data!E:E,Data!A:A,""))</f>
        <v>1</v>
      </c>
      <c r="L19">
        <f t="shared" si="1"/>
        <v>0</v>
      </c>
      <c r="M19">
        <f t="shared" si="2"/>
        <v>0</v>
      </c>
      <c r="N19">
        <f t="shared" si="0"/>
        <v>4</v>
      </c>
      <c r="O19">
        <f t="shared" si="3"/>
        <v>0</v>
      </c>
      <c r="P19">
        <f t="shared" si="4"/>
        <v>0</v>
      </c>
      <c r="R19" t="str">
        <f t="shared" si="5"/>
        <v>04</v>
      </c>
    </row>
    <row r="20" spans="1:18" x14ac:dyDescent="0.4">
      <c r="A20" s="1" t="str">
        <f t="shared" si="8"/>
        <v>009</v>
      </c>
      <c r="B20">
        <f t="shared" si="9"/>
        <v>0</v>
      </c>
      <c r="C20">
        <f>VALUE(MID(Hex!$C$2,1+2*HEX2DEC(A20)+B20,1))</f>
        <v>1</v>
      </c>
      <c r="D20" s="1" t="str">
        <f t="shared" si="6"/>
        <v>012</v>
      </c>
      <c r="E20">
        <f>HEX2DEC(MID(Hex!$C$8,1+HEX2DEC(Edit!D20)*2,2))</f>
        <v>8</v>
      </c>
      <c r="F20">
        <f t="shared" si="7"/>
        <v>18</v>
      </c>
      <c r="G20" t="str">
        <f>_xlfn.LET(_xlpm.custom,_xlfn.XLOOKUP(F20,Data!A:A,Data!C:C),IF(_xlpm.custom="",_xlfn.XLOOKUP(F20,Data!A:A,Data!B:B),_xlpm.custom))</f>
        <v>Antidote</v>
      </c>
      <c r="H20" t="str">
        <f>_xlfn.XLOOKUP(C20,Data!A:A,Data!E:E)</f>
        <v>Medicine</v>
      </c>
      <c r="J20">
        <f>IF(I20="",C20,_xlfn.XLOOKUP(I20,Data!E:E,Data!A:A,""))</f>
        <v>1</v>
      </c>
      <c r="L20">
        <f t="shared" si="1"/>
        <v>0</v>
      </c>
      <c r="M20">
        <f t="shared" si="2"/>
        <v>0</v>
      </c>
      <c r="N20">
        <f>_xlfn.BITAND($E20,4)</f>
        <v>0</v>
      </c>
      <c r="O20">
        <f t="shared" si="3"/>
        <v>8</v>
      </c>
      <c r="P20">
        <f t="shared" si="4"/>
        <v>0</v>
      </c>
      <c r="R20" t="str">
        <f t="shared" si="5"/>
        <v>08</v>
      </c>
    </row>
    <row r="21" spans="1:18" x14ac:dyDescent="0.4">
      <c r="A21" s="1" t="str">
        <f t="shared" si="8"/>
        <v>009</v>
      </c>
      <c r="B21">
        <f t="shared" si="9"/>
        <v>1</v>
      </c>
      <c r="C21">
        <f>VALUE(MID(Hex!$C$2,1+2*HEX2DEC(A21)+B21,1))</f>
        <v>1</v>
      </c>
      <c r="D21" s="1" t="str">
        <f t="shared" si="6"/>
        <v>013</v>
      </c>
      <c r="E21">
        <f>HEX2DEC(MID(Hex!$C$8,1+HEX2DEC(Edit!D21)*2,2))</f>
        <v>8</v>
      </c>
      <c r="F21">
        <f t="shared" si="7"/>
        <v>19</v>
      </c>
      <c r="G21" t="str">
        <f>_xlfn.LET(_xlpm.custom,_xlfn.XLOOKUP(F21,Data!A:A,Data!C:C),IF(_xlpm.custom="",_xlfn.XLOOKUP(F21,Data!A:A,Data!B:B),_xlpm.custom))</f>
        <v>Burn Heal</v>
      </c>
      <c r="H21" t="str">
        <f>_xlfn.XLOOKUP(C21,Data!A:A,Data!E:E)</f>
        <v>Medicine</v>
      </c>
      <c r="J21">
        <f>IF(I21="",C21,_xlfn.XLOOKUP(I21,Data!E:E,Data!A:A,""))</f>
        <v>1</v>
      </c>
      <c r="L21">
        <f t="shared" si="1"/>
        <v>0</v>
      </c>
      <c r="M21">
        <f t="shared" si="2"/>
        <v>0</v>
      </c>
      <c r="N21">
        <f t="shared" ref="N21:N84" si="10">_xlfn.BITAND($E21,4)</f>
        <v>0</v>
      </c>
      <c r="O21">
        <f t="shared" si="3"/>
        <v>8</v>
      </c>
      <c r="P21">
        <f t="shared" si="4"/>
        <v>0</v>
      </c>
      <c r="R21" t="str">
        <f t="shared" si="5"/>
        <v>08</v>
      </c>
    </row>
    <row r="22" spans="1:18" x14ac:dyDescent="0.4">
      <c r="A22" s="1" t="str">
        <f t="shared" si="8"/>
        <v>00A</v>
      </c>
      <c r="B22">
        <f t="shared" si="9"/>
        <v>0</v>
      </c>
      <c r="C22">
        <f>VALUE(MID(Hex!$C$2,1+2*HEX2DEC(A22)+B22,1))</f>
        <v>1</v>
      </c>
      <c r="D22" s="1" t="str">
        <f t="shared" si="6"/>
        <v>014</v>
      </c>
      <c r="E22">
        <f>HEX2DEC(MID(Hex!$C$8,1+HEX2DEC(Edit!D22)*2,2))</f>
        <v>8</v>
      </c>
      <c r="F22">
        <f t="shared" si="7"/>
        <v>20</v>
      </c>
      <c r="G22" t="str">
        <f>_xlfn.LET(_xlpm.custom,_xlfn.XLOOKUP(F22,Data!A:A,Data!C:C),IF(_xlpm.custom="",_xlfn.XLOOKUP(F22,Data!A:A,Data!B:B),_xlpm.custom))</f>
        <v>Ice Heal</v>
      </c>
      <c r="H22" t="str">
        <f>_xlfn.XLOOKUP(C22,Data!A:A,Data!E:E)</f>
        <v>Medicine</v>
      </c>
      <c r="J22">
        <f>IF(I22="",C22,_xlfn.XLOOKUP(I22,Data!E:E,Data!A:A,""))</f>
        <v>1</v>
      </c>
      <c r="L22">
        <f t="shared" si="1"/>
        <v>0</v>
      </c>
      <c r="M22">
        <f t="shared" si="2"/>
        <v>0</v>
      </c>
      <c r="N22">
        <f t="shared" si="10"/>
        <v>0</v>
      </c>
      <c r="O22">
        <f t="shared" si="3"/>
        <v>8</v>
      </c>
      <c r="P22">
        <f t="shared" si="4"/>
        <v>0</v>
      </c>
      <c r="R22" t="str">
        <f t="shared" si="5"/>
        <v>08</v>
      </c>
    </row>
    <row r="23" spans="1:18" x14ac:dyDescent="0.4">
      <c r="A23" s="1" t="str">
        <f t="shared" si="8"/>
        <v>00A</v>
      </c>
      <c r="B23">
        <f t="shared" si="9"/>
        <v>1</v>
      </c>
      <c r="C23">
        <f>VALUE(MID(Hex!$C$2,1+2*HEX2DEC(A23)+B23,1))</f>
        <v>1</v>
      </c>
      <c r="D23" s="1" t="str">
        <f t="shared" si="6"/>
        <v>015</v>
      </c>
      <c r="E23">
        <f>HEX2DEC(MID(Hex!$C$8,1+HEX2DEC(Edit!D23)*2,2))</f>
        <v>8</v>
      </c>
      <c r="F23">
        <f t="shared" si="7"/>
        <v>21</v>
      </c>
      <c r="G23" t="str">
        <f>_xlfn.LET(_xlpm.custom,_xlfn.XLOOKUP(F23,Data!A:A,Data!C:C),IF(_xlpm.custom="",_xlfn.XLOOKUP(F23,Data!A:A,Data!B:B),_xlpm.custom))</f>
        <v>Awakening</v>
      </c>
      <c r="H23" t="str">
        <f>_xlfn.XLOOKUP(C23,Data!A:A,Data!E:E)</f>
        <v>Medicine</v>
      </c>
      <c r="J23">
        <f>IF(I23="",C23,_xlfn.XLOOKUP(I23,Data!E:E,Data!A:A,""))</f>
        <v>1</v>
      </c>
      <c r="L23">
        <f t="shared" si="1"/>
        <v>0</v>
      </c>
      <c r="M23">
        <f t="shared" si="2"/>
        <v>0</v>
      </c>
      <c r="N23">
        <f t="shared" si="10"/>
        <v>0</v>
      </c>
      <c r="O23">
        <f t="shared" si="3"/>
        <v>8</v>
      </c>
      <c r="P23">
        <f t="shared" si="4"/>
        <v>0</v>
      </c>
      <c r="R23" t="str">
        <f t="shared" si="5"/>
        <v>08</v>
      </c>
    </row>
    <row r="24" spans="1:18" x14ac:dyDescent="0.4">
      <c r="A24" s="1" t="str">
        <f t="shared" si="8"/>
        <v>00B</v>
      </c>
      <c r="B24">
        <f t="shared" si="9"/>
        <v>0</v>
      </c>
      <c r="C24">
        <f>VALUE(MID(Hex!$C$2,1+2*HEX2DEC(A24)+B24,1))</f>
        <v>1</v>
      </c>
      <c r="D24" s="1" t="str">
        <f t="shared" si="6"/>
        <v>016</v>
      </c>
      <c r="E24">
        <f>HEX2DEC(MID(Hex!$C$8,1+HEX2DEC(Edit!D24)*2,2))</f>
        <v>8</v>
      </c>
      <c r="F24">
        <f t="shared" si="7"/>
        <v>22</v>
      </c>
      <c r="G24" t="str">
        <f>_xlfn.LET(_xlpm.custom,_xlfn.XLOOKUP(F24,Data!A:A,Data!C:C),IF(_xlpm.custom="",_xlfn.XLOOKUP(F24,Data!A:A,Data!B:B),_xlpm.custom))</f>
        <v>Paralyze Heal</v>
      </c>
      <c r="H24" t="str">
        <f>_xlfn.XLOOKUP(C24,Data!A:A,Data!E:E)</f>
        <v>Medicine</v>
      </c>
      <c r="J24">
        <f>IF(I24="",C24,_xlfn.XLOOKUP(I24,Data!E:E,Data!A:A,""))</f>
        <v>1</v>
      </c>
      <c r="L24">
        <f t="shared" si="1"/>
        <v>0</v>
      </c>
      <c r="M24">
        <f t="shared" si="2"/>
        <v>0</v>
      </c>
      <c r="N24">
        <f t="shared" si="10"/>
        <v>0</v>
      </c>
      <c r="O24">
        <f t="shared" si="3"/>
        <v>8</v>
      </c>
      <c r="P24">
        <f t="shared" si="4"/>
        <v>0</v>
      </c>
      <c r="R24" t="str">
        <f t="shared" si="5"/>
        <v>08</v>
      </c>
    </row>
    <row r="25" spans="1:18" x14ac:dyDescent="0.4">
      <c r="A25" s="1" t="str">
        <f t="shared" si="8"/>
        <v>00B</v>
      </c>
      <c r="B25">
        <f t="shared" si="9"/>
        <v>1</v>
      </c>
      <c r="C25">
        <f>VALUE(MID(Hex!$C$2,1+2*HEX2DEC(A25)+B25,1))</f>
        <v>1</v>
      </c>
      <c r="D25" s="1" t="str">
        <f t="shared" si="6"/>
        <v>017</v>
      </c>
      <c r="E25">
        <f>HEX2DEC(MID(Hex!$C$8,1+HEX2DEC(Edit!D25)*2,2))</f>
        <v>12</v>
      </c>
      <c r="F25">
        <f t="shared" si="7"/>
        <v>23</v>
      </c>
      <c r="G25" t="str">
        <f>_xlfn.LET(_xlpm.custom,_xlfn.XLOOKUP(F25,Data!A:A,Data!C:C),IF(_xlpm.custom="",_xlfn.XLOOKUP(F25,Data!A:A,Data!B:B),_xlpm.custom))</f>
        <v>Full Restore</v>
      </c>
      <c r="H25" t="str">
        <f>_xlfn.XLOOKUP(C25,Data!A:A,Data!E:E)</f>
        <v>Medicine</v>
      </c>
      <c r="J25">
        <f>IF(I25="",C25,_xlfn.XLOOKUP(I25,Data!E:E,Data!A:A,""))</f>
        <v>1</v>
      </c>
      <c r="L25">
        <f t="shared" si="1"/>
        <v>0</v>
      </c>
      <c r="M25">
        <f t="shared" si="2"/>
        <v>0</v>
      </c>
      <c r="N25">
        <f t="shared" si="10"/>
        <v>4</v>
      </c>
      <c r="O25">
        <f t="shared" si="3"/>
        <v>8</v>
      </c>
      <c r="P25">
        <f t="shared" si="4"/>
        <v>0</v>
      </c>
      <c r="R25" t="str">
        <f t="shared" si="5"/>
        <v>0C</v>
      </c>
    </row>
    <row r="26" spans="1:18" x14ac:dyDescent="0.4">
      <c r="A26" s="1" t="str">
        <f t="shared" si="8"/>
        <v>00C</v>
      </c>
      <c r="B26">
        <f t="shared" si="9"/>
        <v>0</v>
      </c>
      <c r="C26">
        <f>VALUE(MID(Hex!$C$2,1+2*HEX2DEC(A26)+B26,1))</f>
        <v>1</v>
      </c>
      <c r="D26" s="1" t="str">
        <f t="shared" si="6"/>
        <v>018</v>
      </c>
      <c r="E26">
        <f>HEX2DEC(MID(Hex!$C$8,1+HEX2DEC(Edit!D26)*2,2))</f>
        <v>4</v>
      </c>
      <c r="F26">
        <f t="shared" si="7"/>
        <v>24</v>
      </c>
      <c r="G26" t="str">
        <f>_xlfn.LET(_xlpm.custom,_xlfn.XLOOKUP(F26,Data!A:A,Data!C:C),IF(_xlpm.custom="",_xlfn.XLOOKUP(F26,Data!A:A,Data!B:B),_xlpm.custom))</f>
        <v>Max Potion</v>
      </c>
      <c r="H26" t="str">
        <f>_xlfn.XLOOKUP(C26,Data!A:A,Data!E:E)</f>
        <v>Medicine</v>
      </c>
      <c r="J26">
        <f>IF(I26="",C26,_xlfn.XLOOKUP(I26,Data!E:E,Data!A:A,""))</f>
        <v>1</v>
      </c>
      <c r="L26">
        <f t="shared" si="1"/>
        <v>0</v>
      </c>
      <c r="M26">
        <f t="shared" si="2"/>
        <v>0</v>
      </c>
      <c r="N26">
        <f t="shared" si="10"/>
        <v>4</v>
      </c>
      <c r="O26">
        <f t="shared" si="3"/>
        <v>0</v>
      </c>
      <c r="P26">
        <f t="shared" si="4"/>
        <v>0</v>
      </c>
      <c r="R26" t="str">
        <f t="shared" si="5"/>
        <v>04</v>
      </c>
    </row>
    <row r="27" spans="1:18" x14ac:dyDescent="0.4">
      <c r="A27" s="1" t="str">
        <f t="shared" si="8"/>
        <v>00C</v>
      </c>
      <c r="B27">
        <f t="shared" si="9"/>
        <v>1</v>
      </c>
      <c r="C27">
        <f>VALUE(MID(Hex!$C$2,1+2*HEX2DEC(A27)+B27,1))</f>
        <v>1</v>
      </c>
      <c r="D27" s="1" t="str">
        <f t="shared" si="6"/>
        <v>019</v>
      </c>
      <c r="E27">
        <f>HEX2DEC(MID(Hex!$C$8,1+HEX2DEC(Edit!D27)*2,2))</f>
        <v>4</v>
      </c>
      <c r="F27">
        <f t="shared" si="7"/>
        <v>25</v>
      </c>
      <c r="G27" t="str">
        <f>_xlfn.LET(_xlpm.custom,_xlfn.XLOOKUP(F27,Data!A:A,Data!C:C),IF(_xlpm.custom="",_xlfn.XLOOKUP(F27,Data!A:A,Data!B:B),_xlpm.custom))</f>
        <v>Hyper Potion</v>
      </c>
      <c r="H27" t="str">
        <f>_xlfn.XLOOKUP(C27,Data!A:A,Data!E:E)</f>
        <v>Medicine</v>
      </c>
      <c r="J27">
        <f>IF(I27="",C27,_xlfn.XLOOKUP(I27,Data!E:E,Data!A:A,""))</f>
        <v>1</v>
      </c>
      <c r="L27">
        <f t="shared" si="1"/>
        <v>0</v>
      </c>
      <c r="M27">
        <f t="shared" si="2"/>
        <v>0</v>
      </c>
      <c r="N27">
        <f t="shared" si="10"/>
        <v>4</v>
      </c>
      <c r="O27">
        <f t="shared" si="3"/>
        <v>0</v>
      </c>
      <c r="P27">
        <f t="shared" si="4"/>
        <v>0</v>
      </c>
      <c r="R27" t="str">
        <f t="shared" si="5"/>
        <v>04</v>
      </c>
    </row>
    <row r="28" spans="1:18" x14ac:dyDescent="0.4">
      <c r="A28" s="1" t="str">
        <f t="shared" si="8"/>
        <v>00D</v>
      </c>
      <c r="B28">
        <f t="shared" si="9"/>
        <v>0</v>
      </c>
      <c r="C28">
        <f>VALUE(MID(Hex!$C$2,1+2*HEX2DEC(A28)+B28,1))</f>
        <v>1</v>
      </c>
      <c r="D28" s="1" t="str">
        <f t="shared" si="6"/>
        <v>01A</v>
      </c>
      <c r="E28">
        <f>HEX2DEC(MID(Hex!$C$8,1+HEX2DEC(Edit!D28)*2,2))</f>
        <v>4</v>
      </c>
      <c r="F28">
        <f t="shared" si="7"/>
        <v>26</v>
      </c>
      <c r="G28" t="str">
        <f>_xlfn.LET(_xlpm.custom,_xlfn.XLOOKUP(F28,Data!A:A,Data!C:C),IF(_xlpm.custom="",_xlfn.XLOOKUP(F28,Data!A:A,Data!B:B),_xlpm.custom))</f>
        <v>Super Potion</v>
      </c>
      <c r="H28" t="str">
        <f>_xlfn.XLOOKUP(C28,Data!A:A,Data!E:E)</f>
        <v>Medicine</v>
      </c>
      <c r="J28">
        <f>IF(I28="",C28,_xlfn.XLOOKUP(I28,Data!E:E,Data!A:A,""))</f>
        <v>1</v>
      </c>
      <c r="L28">
        <f t="shared" si="1"/>
        <v>0</v>
      </c>
      <c r="M28">
        <f t="shared" si="2"/>
        <v>0</v>
      </c>
      <c r="N28">
        <f t="shared" si="10"/>
        <v>4</v>
      </c>
      <c r="O28">
        <f t="shared" si="3"/>
        <v>0</v>
      </c>
      <c r="P28">
        <f t="shared" si="4"/>
        <v>0</v>
      </c>
      <c r="R28" t="str">
        <f t="shared" si="5"/>
        <v>04</v>
      </c>
    </row>
    <row r="29" spans="1:18" x14ac:dyDescent="0.4">
      <c r="A29" s="1" t="str">
        <f t="shared" si="8"/>
        <v>00D</v>
      </c>
      <c r="B29">
        <f t="shared" si="9"/>
        <v>1</v>
      </c>
      <c r="C29">
        <f>VALUE(MID(Hex!$C$2,1+2*HEX2DEC(A29)+B29,1))</f>
        <v>1</v>
      </c>
      <c r="D29" s="1" t="str">
        <f t="shared" si="6"/>
        <v>01B</v>
      </c>
      <c r="E29">
        <f>HEX2DEC(MID(Hex!$C$8,1+HEX2DEC(Edit!D29)*2,2))</f>
        <v>8</v>
      </c>
      <c r="F29">
        <f t="shared" si="7"/>
        <v>27</v>
      </c>
      <c r="G29" t="str">
        <f>_xlfn.LET(_xlpm.custom,_xlfn.XLOOKUP(F29,Data!A:A,Data!C:C),IF(_xlpm.custom="",_xlfn.XLOOKUP(F29,Data!A:A,Data!B:B),_xlpm.custom))</f>
        <v>Full Heal</v>
      </c>
      <c r="H29" t="str">
        <f>_xlfn.XLOOKUP(C29,Data!A:A,Data!E:E)</f>
        <v>Medicine</v>
      </c>
      <c r="J29">
        <f>IF(I29="",C29,_xlfn.XLOOKUP(I29,Data!E:E,Data!A:A,""))</f>
        <v>1</v>
      </c>
      <c r="L29">
        <f t="shared" si="1"/>
        <v>0</v>
      </c>
      <c r="M29">
        <f t="shared" si="2"/>
        <v>0</v>
      </c>
      <c r="N29">
        <f t="shared" si="10"/>
        <v>0</v>
      </c>
      <c r="O29">
        <f t="shared" si="3"/>
        <v>8</v>
      </c>
      <c r="P29">
        <f t="shared" si="4"/>
        <v>0</v>
      </c>
      <c r="R29" t="str">
        <f t="shared" si="5"/>
        <v>08</v>
      </c>
    </row>
    <row r="30" spans="1:18" x14ac:dyDescent="0.4">
      <c r="A30" s="1" t="str">
        <f t="shared" si="8"/>
        <v>00E</v>
      </c>
      <c r="B30">
        <f t="shared" si="9"/>
        <v>0</v>
      </c>
      <c r="C30">
        <f>VALUE(MID(Hex!$C$2,1+2*HEX2DEC(A30)+B30,1))</f>
        <v>1</v>
      </c>
      <c r="D30" s="1" t="str">
        <f t="shared" si="6"/>
        <v>01C</v>
      </c>
      <c r="E30">
        <f>HEX2DEC(MID(Hex!$C$8,1+HEX2DEC(Edit!D30)*2,2))</f>
        <v>8</v>
      </c>
      <c r="F30">
        <f t="shared" si="7"/>
        <v>28</v>
      </c>
      <c r="G30" t="str">
        <f>_xlfn.LET(_xlpm.custom,_xlfn.XLOOKUP(F30,Data!A:A,Data!C:C),IF(_xlpm.custom="",_xlfn.XLOOKUP(F30,Data!A:A,Data!B:B),_xlpm.custom))</f>
        <v>Revive</v>
      </c>
      <c r="H30" t="str">
        <f>_xlfn.XLOOKUP(C30,Data!A:A,Data!E:E)</f>
        <v>Medicine</v>
      </c>
      <c r="J30">
        <f>IF(I30="",C30,_xlfn.XLOOKUP(I30,Data!E:E,Data!A:A,""))</f>
        <v>1</v>
      </c>
      <c r="L30">
        <f t="shared" si="1"/>
        <v>0</v>
      </c>
      <c r="M30">
        <f t="shared" si="2"/>
        <v>0</v>
      </c>
      <c r="N30">
        <f t="shared" si="10"/>
        <v>0</v>
      </c>
      <c r="O30">
        <f t="shared" si="3"/>
        <v>8</v>
      </c>
      <c r="P30">
        <f t="shared" si="4"/>
        <v>0</v>
      </c>
      <c r="R30" t="str">
        <f t="shared" si="5"/>
        <v>08</v>
      </c>
    </row>
    <row r="31" spans="1:18" x14ac:dyDescent="0.4">
      <c r="A31" s="1" t="str">
        <f t="shared" si="8"/>
        <v>00E</v>
      </c>
      <c r="B31">
        <f t="shared" si="9"/>
        <v>1</v>
      </c>
      <c r="C31">
        <f>VALUE(MID(Hex!$C$2,1+2*HEX2DEC(A31)+B31,1))</f>
        <v>1</v>
      </c>
      <c r="D31" s="1" t="str">
        <f t="shared" si="6"/>
        <v>01D</v>
      </c>
      <c r="E31">
        <f>HEX2DEC(MID(Hex!$C$8,1+HEX2DEC(Edit!D31)*2,2))</f>
        <v>8</v>
      </c>
      <c r="F31">
        <f t="shared" si="7"/>
        <v>29</v>
      </c>
      <c r="G31" t="str">
        <f>_xlfn.LET(_xlpm.custom,_xlfn.XLOOKUP(F31,Data!A:A,Data!C:C),IF(_xlpm.custom="",_xlfn.XLOOKUP(F31,Data!A:A,Data!B:B),_xlpm.custom))</f>
        <v>Max Revive</v>
      </c>
      <c r="H31" t="str">
        <f>_xlfn.XLOOKUP(C31,Data!A:A,Data!E:E)</f>
        <v>Medicine</v>
      </c>
      <c r="J31">
        <f>IF(I31="",C31,_xlfn.XLOOKUP(I31,Data!E:E,Data!A:A,""))</f>
        <v>1</v>
      </c>
      <c r="L31">
        <f t="shared" si="1"/>
        <v>0</v>
      </c>
      <c r="M31">
        <f t="shared" si="2"/>
        <v>0</v>
      </c>
      <c r="N31">
        <f t="shared" si="10"/>
        <v>0</v>
      </c>
      <c r="O31">
        <f t="shared" si="3"/>
        <v>8</v>
      </c>
      <c r="P31">
        <f t="shared" si="4"/>
        <v>0</v>
      </c>
      <c r="R31" t="str">
        <f t="shared" si="5"/>
        <v>08</v>
      </c>
    </row>
    <row r="32" spans="1:18" x14ac:dyDescent="0.4">
      <c r="A32" s="1" t="str">
        <f t="shared" si="8"/>
        <v>00F</v>
      </c>
      <c r="B32">
        <f t="shared" si="9"/>
        <v>0</v>
      </c>
      <c r="C32">
        <f>VALUE(MID(Hex!$C$2,1+2*HEX2DEC(A32)+B32,1))</f>
        <v>1</v>
      </c>
      <c r="D32" s="1" t="str">
        <f t="shared" si="6"/>
        <v>01E</v>
      </c>
      <c r="E32">
        <f>HEX2DEC(MID(Hex!$C$8,1+HEX2DEC(Edit!D32)*2,2))</f>
        <v>4</v>
      </c>
      <c r="F32">
        <f t="shared" si="7"/>
        <v>30</v>
      </c>
      <c r="G32" t="str">
        <f>_xlfn.LET(_xlpm.custom,_xlfn.XLOOKUP(F32,Data!A:A,Data!C:C),IF(_xlpm.custom="",_xlfn.XLOOKUP(F32,Data!A:A,Data!B:B),_xlpm.custom))</f>
        <v>Fresh Water</v>
      </c>
      <c r="H32" t="str">
        <f>_xlfn.XLOOKUP(C32,Data!A:A,Data!E:E)</f>
        <v>Medicine</v>
      </c>
      <c r="J32">
        <f>IF(I32="",C32,_xlfn.XLOOKUP(I32,Data!E:E,Data!A:A,""))</f>
        <v>1</v>
      </c>
      <c r="L32">
        <f t="shared" si="1"/>
        <v>0</v>
      </c>
      <c r="M32">
        <f t="shared" si="2"/>
        <v>0</v>
      </c>
      <c r="N32">
        <f t="shared" si="10"/>
        <v>4</v>
      </c>
      <c r="O32">
        <f t="shared" si="3"/>
        <v>0</v>
      </c>
      <c r="P32">
        <f t="shared" si="4"/>
        <v>0</v>
      </c>
      <c r="R32" t="str">
        <f t="shared" si="5"/>
        <v>04</v>
      </c>
    </row>
    <row r="33" spans="1:18" x14ac:dyDescent="0.4">
      <c r="A33" s="1" t="str">
        <f t="shared" si="8"/>
        <v>00F</v>
      </c>
      <c r="B33">
        <f t="shared" si="9"/>
        <v>1</v>
      </c>
      <c r="C33">
        <f>VALUE(MID(Hex!$C$2,1+2*HEX2DEC(A33)+B33,1))</f>
        <v>1</v>
      </c>
      <c r="D33" s="1" t="str">
        <f t="shared" si="6"/>
        <v>01F</v>
      </c>
      <c r="E33">
        <f>HEX2DEC(MID(Hex!$C$8,1+HEX2DEC(Edit!D33)*2,2))</f>
        <v>4</v>
      </c>
      <c r="F33">
        <f t="shared" si="7"/>
        <v>31</v>
      </c>
      <c r="G33" t="str">
        <f>_xlfn.LET(_xlpm.custom,_xlfn.XLOOKUP(F33,Data!A:A,Data!C:C),IF(_xlpm.custom="",_xlfn.XLOOKUP(F33,Data!A:A,Data!B:B),_xlpm.custom))</f>
        <v>Soda Pop</v>
      </c>
      <c r="H33" t="str">
        <f>_xlfn.XLOOKUP(C33,Data!A:A,Data!E:E)</f>
        <v>Medicine</v>
      </c>
      <c r="J33">
        <f>IF(I33="",C33,_xlfn.XLOOKUP(I33,Data!E:E,Data!A:A,""))</f>
        <v>1</v>
      </c>
      <c r="L33">
        <f t="shared" si="1"/>
        <v>0</v>
      </c>
      <c r="M33">
        <f t="shared" si="2"/>
        <v>0</v>
      </c>
      <c r="N33">
        <f t="shared" si="10"/>
        <v>4</v>
      </c>
      <c r="O33">
        <f t="shared" si="3"/>
        <v>0</v>
      </c>
      <c r="P33">
        <f t="shared" si="4"/>
        <v>0</v>
      </c>
      <c r="R33" t="str">
        <f t="shared" si="5"/>
        <v>04</v>
      </c>
    </row>
    <row r="34" spans="1:18" x14ac:dyDescent="0.4">
      <c r="A34" s="1" t="str">
        <f t="shared" si="8"/>
        <v>010</v>
      </c>
      <c r="B34">
        <f t="shared" si="9"/>
        <v>0</v>
      </c>
      <c r="C34">
        <f>VALUE(MID(Hex!$C$2,1+2*HEX2DEC(A34)+B34,1))</f>
        <v>1</v>
      </c>
      <c r="D34" s="1" t="str">
        <f t="shared" si="6"/>
        <v>020</v>
      </c>
      <c r="E34">
        <f>HEX2DEC(MID(Hex!$C$8,1+HEX2DEC(Edit!D34)*2,2))</f>
        <v>4</v>
      </c>
      <c r="F34">
        <f t="shared" si="7"/>
        <v>32</v>
      </c>
      <c r="G34" t="str">
        <f>_xlfn.LET(_xlpm.custom,_xlfn.XLOOKUP(F34,Data!A:A,Data!C:C),IF(_xlpm.custom="",_xlfn.XLOOKUP(F34,Data!A:A,Data!B:B),_xlpm.custom))</f>
        <v>Lemonade</v>
      </c>
      <c r="H34" t="str">
        <f>_xlfn.XLOOKUP(C34,Data!A:A,Data!E:E)</f>
        <v>Medicine</v>
      </c>
      <c r="J34">
        <f>IF(I34="",C34,_xlfn.XLOOKUP(I34,Data!E:E,Data!A:A,""))</f>
        <v>1</v>
      </c>
      <c r="L34">
        <f t="shared" si="1"/>
        <v>0</v>
      </c>
      <c r="M34">
        <f t="shared" si="2"/>
        <v>0</v>
      </c>
      <c r="N34">
        <f t="shared" si="10"/>
        <v>4</v>
      </c>
      <c r="O34">
        <f t="shared" si="3"/>
        <v>0</v>
      </c>
      <c r="P34">
        <f t="shared" si="4"/>
        <v>0</v>
      </c>
      <c r="R34" t="str">
        <f t="shared" si="5"/>
        <v>04</v>
      </c>
    </row>
    <row r="35" spans="1:18" x14ac:dyDescent="0.4">
      <c r="A35" s="1" t="str">
        <f t="shared" si="8"/>
        <v>010</v>
      </c>
      <c r="B35">
        <f t="shared" si="9"/>
        <v>1</v>
      </c>
      <c r="C35">
        <f>VALUE(MID(Hex!$C$2,1+2*HEX2DEC(A35)+B35,1))</f>
        <v>1</v>
      </c>
      <c r="D35" s="1" t="str">
        <f t="shared" si="6"/>
        <v>021</v>
      </c>
      <c r="E35">
        <f>HEX2DEC(MID(Hex!$C$8,1+HEX2DEC(Edit!D35)*2,2))</f>
        <v>4</v>
      </c>
      <c r="F35">
        <f t="shared" si="7"/>
        <v>33</v>
      </c>
      <c r="G35" t="str">
        <f>_xlfn.LET(_xlpm.custom,_xlfn.XLOOKUP(F35,Data!A:A,Data!C:C),IF(_xlpm.custom="",_xlfn.XLOOKUP(F35,Data!A:A,Data!B:B),_xlpm.custom))</f>
        <v>Moomoo Milk</v>
      </c>
      <c r="H35" t="str">
        <f>_xlfn.XLOOKUP(C35,Data!A:A,Data!E:E)</f>
        <v>Medicine</v>
      </c>
      <c r="J35">
        <f>IF(I35="",C35,_xlfn.XLOOKUP(I35,Data!E:E,Data!A:A,""))</f>
        <v>1</v>
      </c>
      <c r="L35">
        <f t="shared" si="1"/>
        <v>0</v>
      </c>
      <c r="M35">
        <f t="shared" si="2"/>
        <v>0</v>
      </c>
      <c r="N35">
        <f t="shared" si="10"/>
        <v>4</v>
      </c>
      <c r="O35">
        <f t="shared" si="3"/>
        <v>0</v>
      </c>
      <c r="P35">
        <f t="shared" si="4"/>
        <v>0</v>
      </c>
      <c r="R35" t="str">
        <f t="shared" si="5"/>
        <v>04</v>
      </c>
    </row>
    <row r="36" spans="1:18" x14ac:dyDescent="0.4">
      <c r="A36" s="1" t="str">
        <f t="shared" si="8"/>
        <v>011</v>
      </c>
      <c r="B36">
        <f t="shared" si="9"/>
        <v>0</v>
      </c>
      <c r="C36">
        <f>VALUE(MID(Hex!$C$2,1+2*HEX2DEC(A36)+B36,1))</f>
        <v>1</v>
      </c>
      <c r="D36" s="1" t="str">
        <f t="shared" si="6"/>
        <v>022</v>
      </c>
      <c r="E36">
        <f>HEX2DEC(MID(Hex!$C$8,1+HEX2DEC(Edit!D36)*2,2))</f>
        <v>4</v>
      </c>
      <c r="F36">
        <f t="shared" si="7"/>
        <v>34</v>
      </c>
      <c r="G36" t="str">
        <f>_xlfn.LET(_xlpm.custom,_xlfn.XLOOKUP(F36,Data!A:A,Data!C:C),IF(_xlpm.custom="",_xlfn.XLOOKUP(F36,Data!A:A,Data!B:B),_xlpm.custom))</f>
        <v>Energy Powder</v>
      </c>
      <c r="H36" t="str">
        <f>_xlfn.XLOOKUP(C36,Data!A:A,Data!E:E)</f>
        <v>Medicine</v>
      </c>
      <c r="J36">
        <f>IF(I36="",C36,_xlfn.XLOOKUP(I36,Data!E:E,Data!A:A,""))</f>
        <v>1</v>
      </c>
      <c r="L36">
        <f t="shared" si="1"/>
        <v>0</v>
      </c>
      <c r="M36">
        <f t="shared" si="2"/>
        <v>0</v>
      </c>
      <c r="N36">
        <f t="shared" si="10"/>
        <v>4</v>
      </c>
      <c r="O36">
        <f t="shared" si="3"/>
        <v>0</v>
      </c>
      <c r="P36">
        <f t="shared" si="4"/>
        <v>0</v>
      </c>
      <c r="R36" t="str">
        <f t="shared" si="5"/>
        <v>04</v>
      </c>
    </row>
    <row r="37" spans="1:18" x14ac:dyDescent="0.4">
      <c r="A37" s="1" t="str">
        <f t="shared" si="8"/>
        <v>011</v>
      </c>
      <c r="B37">
        <f t="shared" si="9"/>
        <v>1</v>
      </c>
      <c r="C37">
        <f>VALUE(MID(Hex!$C$2,1+2*HEX2DEC(A37)+B37,1))</f>
        <v>1</v>
      </c>
      <c r="D37" s="1" t="str">
        <f t="shared" si="6"/>
        <v>023</v>
      </c>
      <c r="E37">
        <f>HEX2DEC(MID(Hex!$C$8,1+HEX2DEC(Edit!D37)*2,2))</f>
        <v>4</v>
      </c>
      <c r="F37">
        <f t="shared" si="7"/>
        <v>35</v>
      </c>
      <c r="G37" t="str">
        <f>_xlfn.LET(_xlpm.custom,_xlfn.XLOOKUP(F37,Data!A:A,Data!C:C),IF(_xlpm.custom="",_xlfn.XLOOKUP(F37,Data!A:A,Data!B:B),_xlpm.custom))</f>
        <v>Energy Root</v>
      </c>
      <c r="H37" t="str">
        <f>_xlfn.XLOOKUP(C37,Data!A:A,Data!E:E)</f>
        <v>Medicine</v>
      </c>
      <c r="J37">
        <f>IF(I37="",C37,_xlfn.XLOOKUP(I37,Data!E:E,Data!A:A,""))</f>
        <v>1</v>
      </c>
      <c r="L37">
        <f t="shared" si="1"/>
        <v>0</v>
      </c>
      <c r="M37">
        <f t="shared" si="2"/>
        <v>0</v>
      </c>
      <c r="N37">
        <f t="shared" si="10"/>
        <v>4</v>
      </c>
      <c r="O37">
        <f t="shared" si="3"/>
        <v>0</v>
      </c>
      <c r="P37">
        <f t="shared" si="4"/>
        <v>0</v>
      </c>
      <c r="R37" t="str">
        <f t="shared" si="5"/>
        <v>04</v>
      </c>
    </row>
    <row r="38" spans="1:18" x14ac:dyDescent="0.4">
      <c r="A38" s="1" t="str">
        <f t="shared" si="8"/>
        <v>012</v>
      </c>
      <c r="B38">
        <f t="shared" si="9"/>
        <v>0</v>
      </c>
      <c r="C38">
        <f>VALUE(MID(Hex!$C$2,1+2*HEX2DEC(A38)+B38,1))</f>
        <v>1</v>
      </c>
      <c r="D38" s="1" t="str">
        <f t="shared" si="6"/>
        <v>024</v>
      </c>
      <c r="E38">
        <f>HEX2DEC(MID(Hex!$C$8,1+HEX2DEC(Edit!D38)*2,2))</f>
        <v>8</v>
      </c>
      <c r="F38">
        <f t="shared" si="7"/>
        <v>36</v>
      </c>
      <c r="G38" t="str">
        <f>_xlfn.LET(_xlpm.custom,_xlfn.XLOOKUP(F38,Data!A:A,Data!C:C),IF(_xlpm.custom="",_xlfn.XLOOKUP(F38,Data!A:A,Data!B:B),_xlpm.custom))</f>
        <v>Heal Powder</v>
      </c>
      <c r="H38" t="str">
        <f>_xlfn.XLOOKUP(C38,Data!A:A,Data!E:E)</f>
        <v>Medicine</v>
      </c>
      <c r="J38">
        <f>IF(I38="",C38,_xlfn.XLOOKUP(I38,Data!E:E,Data!A:A,""))</f>
        <v>1</v>
      </c>
      <c r="L38">
        <f t="shared" si="1"/>
        <v>0</v>
      </c>
      <c r="M38">
        <f t="shared" si="2"/>
        <v>0</v>
      </c>
      <c r="N38">
        <f t="shared" si="10"/>
        <v>0</v>
      </c>
      <c r="O38">
        <f t="shared" si="3"/>
        <v>8</v>
      </c>
      <c r="P38">
        <f t="shared" si="4"/>
        <v>0</v>
      </c>
      <c r="R38" t="str">
        <f t="shared" si="5"/>
        <v>08</v>
      </c>
    </row>
    <row r="39" spans="1:18" x14ac:dyDescent="0.4">
      <c r="A39" s="1" t="str">
        <f t="shared" si="8"/>
        <v>012</v>
      </c>
      <c r="B39">
        <f t="shared" si="9"/>
        <v>1</v>
      </c>
      <c r="C39">
        <f>VALUE(MID(Hex!$C$2,1+2*HEX2DEC(A39)+B39,1))</f>
        <v>1</v>
      </c>
      <c r="D39" s="1" t="str">
        <f t="shared" si="6"/>
        <v>025</v>
      </c>
      <c r="E39">
        <f>HEX2DEC(MID(Hex!$C$8,1+HEX2DEC(Edit!D39)*2,2))</f>
        <v>8</v>
      </c>
      <c r="F39">
        <f t="shared" si="7"/>
        <v>37</v>
      </c>
      <c r="G39" t="str">
        <f>_xlfn.LET(_xlpm.custom,_xlfn.XLOOKUP(F39,Data!A:A,Data!C:C),IF(_xlpm.custom="",_xlfn.XLOOKUP(F39,Data!A:A,Data!B:B),_xlpm.custom))</f>
        <v>Revival Herb</v>
      </c>
      <c r="H39" t="str">
        <f>_xlfn.XLOOKUP(C39,Data!A:A,Data!E:E)</f>
        <v>Medicine</v>
      </c>
      <c r="J39">
        <f>IF(I39="",C39,_xlfn.XLOOKUP(I39,Data!E:E,Data!A:A,""))</f>
        <v>1</v>
      </c>
      <c r="L39">
        <f t="shared" si="1"/>
        <v>0</v>
      </c>
      <c r="M39">
        <f t="shared" si="2"/>
        <v>0</v>
      </c>
      <c r="N39">
        <f t="shared" si="10"/>
        <v>0</v>
      </c>
      <c r="O39">
        <f t="shared" si="3"/>
        <v>8</v>
      </c>
      <c r="P39">
        <f t="shared" si="4"/>
        <v>0</v>
      </c>
      <c r="R39" t="str">
        <f t="shared" si="5"/>
        <v>08</v>
      </c>
    </row>
    <row r="40" spans="1:18" x14ac:dyDescent="0.4">
      <c r="A40" s="1" t="str">
        <f t="shared" si="8"/>
        <v>013</v>
      </c>
      <c r="B40">
        <f t="shared" si="9"/>
        <v>0</v>
      </c>
      <c r="C40">
        <f>VALUE(MID(Hex!$C$2,1+2*HEX2DEC(A40)+B40,1))</f>
        <v>1</v>
      </c>
      <c r="D40" s="1" t="str">
        <f t="shared" si="6"/>
        <v>026</v>
      </c>
      <c r="E40">
        <f>HEX2DEC(MID(Hex!$C$8,1+HEX2DEC(Edit!D40)*2,2))</f>
        <v>4</v>
      </c>
      <c r="F40">
        <f t="shared" si="7"/>
        <v>38</v>
      </c>
      <c r="G40" t="str">
        <f>_xlfn.LET(_xlpm.custom,_xlfn.XLOOKUP(F40,Data!A:A,Data!C:C),IF(_xlpm.custom="",_xlfn.XLOOKUP(F40,Data!A:A,Data!B:B),_xlpm.custom))</f>
        <v>Ether</v>
      </c>
      <c r="H40" t="str">
        <f>_xlfn.XLOOKUP(C40,Data!A:A,Data!E:E)</f>
        <v>Medicine</v>
      </c>
      <c r="J40">
        <f>IF(I40="",C40,_xlfn.XLOOKUP(I40,Data!E:E,Data!A:A,""))</f>
        <v>1</v>
      </c>
      <c r="L40">
        <f t="shared" si="1"/>
        <v>0</v>
      </c>
      <c r="M40">
        <f t="shared" si="2"/>
        <v>0</v>
      </c>
      <c r="N40">
        <f t="shared" si="10"/>
        <v>4</v>
      </c>
      <c r="O40">
        <f t="shared" si="3"/>
        <v>0</v>
      </c>
      <c r="P40">
        <f t="shared" si="4"/>
        <v>0</v>
      </c>
      <c r="R40" t="str">
        <f t="shared" si="5"/>
        <v>04</v>
      </c>
    </row>
    <row r="41" spans="1:18" x14ac:dyDescent="0.4">
      <c r="A41" s="1" t="str">
        <f t="shared" si="8"/>
        <v>013</v>
      </c>
      <c r="B41">
        <f t="shared" si="9"/>
        <v>1</v>
      </c>
      <c r="C41">
        <f>VALUE(MID(Hex!$C$2,1+2*HEX2DEC(A41)+B41,1))</f>
        <v>1</v>
      </c>
      <c r="D41" s="1" t="str">
        <f t="shared" si="6"/>
        <v>027</v>
      </c>
      <c r="E41">
        <f>HEX2DEC(MID(Hex!$C$8,1+HEX2DEC(Edit!D41)*2,2))</f>
        <v>4</v>
      </c>
      <c r="F41">
        <f t="shared" si="7"/>
        <v>39</v>
      </c>
      <c r="G41" t="str">
        <f>_xlfn.LET(_xlpm.custom,_xlfn.XLOOKUP(F41,Data!A:A,Data!C:C),IF(_xlpm.custom="",_xlfn.XLOOKUP(F41,Data!A:A,Data!B:B),_xlpm.custom))</f>
        <v>Max Ether</v>
      </c>
      <c r="H41" t="str">
        <f>_xlfn.XLOOKUP(C41,Data!A:A,Data!E:E)</f>
        <v>Medicine</v>
      </c>
      <c r="J41">
        <f>IF(I41="",C41,_xlfn.XLOOKUP(I41,Data!E:E,Data!A:A,""))</f>
        <v>1</v>
      </c>
      <c r="L41">
        <f t="shared" si="1"/>
        <v>0</v>
      </c>
      <c r="M41">
        <f t="shared" si="2"/>
        <v>0</v>
      </c>
      <c r="N41">
        <f t="shared" si="10"/>
        <v>4</v>
      </c>
      <c r="O41">
        <f t="shared" si="3"/>
        <v>0</v>
      </c>
      <c r="P41">
        <f t="shared" si="4"/>
        <v>0</v>
      </c>
      <c r="R41" t="str">
        <f t="shared" si="5"/>
        <v>04</v>
      </c>
    </row>
    <row r="42" spans="1:18" x14ac:dyDescent="0.4">
      <c r="A42" s="1" t="str">
        <f t="shared" si="8"/>
        <v>014</v>
      </c>
      <c r="B42">
        <f t="shared" si="9"/>
        <v>0</v>
      </c>
      <c r="C42">
        <f>VALUE(MID(Hex!$C$2,1+2*HEX2DEC(A42)+B42,1))</f>
        <v>1</v>
      </c>
      <c r="D42" s="1" t="str">
        <f t="shared" si="6"/>
        <v>028</v>
      </c>
      <c r="E42">
        <f>HEX2DEC(MID(Hex!$C$8,1+HEX2DEC(Edit!D42)*2,2))</f>
        <v>4</v>
      </c>
      <c r="F42">
        <f t="shared" si="7"/>
        <v>40</v>
      </c>
      <c r="G42" t="str">
        <f>_xlfn.LET(_xlpm.custom,_xlfn.XLOOKUP(F42,Data!A:A,Data!C:C),IF(_xlpm.custom="",_xlfn.XLOOKUP(F42,Data!A:A,Data!B:B),_xlpm.custom))</f>
        <v>Elixir</v>
      </c>
      <c r="H42" t="str">
        <f>_xlfn.XLOOKUP(C42,Data!A:A,Data!E:E)</f>
        <v>Medicine</v>
      </c>
      <c r="J42">
        <f>IF(I42="",C42,_xlfn.XLOOKUP(I42,Data!E:E,Data!A:A,""))</f>
        <v>1</v>
      </c>
      <c r="L42">
        <f t="shared" si="1"/>
        <v>0</v>
      </c>
      <c r="M42">
        <f t="shared" si="2"/>
        <v>0</v>
      </c>
      <c r="N42">
        <f t="shared" si="10"/>
        <v>4</v>
      </c>
      <c r="O42">
        <f t="shared" si="3"/>
        <v>0</v>
      </c>
      <c r="P42">
        <f t="shared" si="4"/>
        <v>0</v>
      </c>
      <c r="R42" t="str">
        <f t="shared" si="5"/>
        <v>04</v>
      </c>
    </row>
    <row r="43" spans="1:18" x14ac:dyDescent="0.4">
      <c r="A43" s="1" t="str">
        <f t="shared" si="8"/>
        <v>014</v>
      </c>
      <c r="B43">
        <f t="shared" si="9"/>
        <v>1</v>
      </c>
      <c r="C43">
        <f>VALUE(MID(Hex!$C$2,1+2*HEX2DEC(A43)+B43,1))</f>
        <v>1</v>
      </c>
      <c r="D43" s="1" t="str">
        <f t="shared" si="6"/>
        <v>029</v>
      </c>
      <c r="E43">
        <f>HEX2DEC(MID(Hex!$C$8,1+HEX2DEC(Edit!D43)*2,2))</f>
        <v>4</v>
      </c>
      <c r="F43">
        <f t="shared" si="7"/>
        <v>41</v>
      </c>
      <c r="G43" t="str">
        <f>_xlfn.LET(_xlpm.custom,_xlfn.XLOOKUP(F43,Data!A:A,Data!C:C),IF(_xlpm.custom="",_xlfn.XLOOKUP(F43,Data!A:A,Data!B:B),_xlpm.custom))</f>
        <v>Max Elixir</v>
      </c>
      <c r="H43" t="str">
        <f>_xlfn.XLOOKUP(C43,Data!A:A,Data!E:E)</f>
        <v>Medicine</v>
      </c>
      <c r="J43">
        <f>IF(I43="",C43,_xlfn.XLOOKUP(I43,Data!E:E,Data!A:A,""))</f>
        <v>1</v>
      </c>
      <c r="L43">
        <f t="shared" si="1"/>
        <v>0</v>
      </c>
      <c r="M43">
        <f t="shared" si="2"/>
        <v>0</v>
      </c>
      <c r="N43">
        <f t="shared" si="10"/>
        <v>4</v>
      </c>
      <c r="O43">
        <f t="shared" si="3"/>
        <v>0</v>
      </c>
      <c r="P43">
        <f t="shared" si="4"/>
        <v>0</v>
      </c>
      <c r="R43" t="str">
        <f t="shared" si="5"/>
        <v>04</v>
      </c>
    </row>
    <row r="44" spans="1:18" x14ac:dyDescent="0.4">
      <c r="A44" s="1" t="str">
        <f t="shared" si="8"/>
        <v>015</v>
      </c>
      <c r="B44">
        <f t="shared" si="9"/>
        <v>0</v>
      </c>
      <c r="C44">
        <f>VALUE(MID(Hex!$C$2,1+2*HEX2DEC(A44)+B44,1))</f>
        <v>1</v>
      </c>
      <c r="D44" s="1" t="str">
        <f t="shared" si="6"/>
        <v>02A</v>
      </c>
      <c r="E44">
        <f>HEX2DEC(MID(Hex!$C$8,1+HEX2DEC(Edit!D44)*2,2))</f>
        <v>8</v>
      </c>
      <c r="F44">
        <f t="shared" si="7"/>
        <v>42</v>
      </c>
      <c r="G44" t="str">
        <f>_xlfn.LET(_xlpm.custom,_xlfn.XLOOKUP(F44,Data!A:A,Data!C:C),IF(_xlpm.custom="",_xlfn.XLOOKUP(F44,Data!A:A,Data!B:B),_xlpm.custom))</f>
        <v>Lava Cookie</v>
      </c>
      <c r="H44" t="str">
        <f>_xlfn.XLOOKUP(C44,Data!A:A,Data!E:E)</f>
        <v>Medicine</v>
      </c>
      <c r="J44">
        <f>IF(I44="",C44,_xlfn.XLOOKUP(I44,Data!E:E,Data!A:A,""))</f>
        <v>1</v>
      </c>
      <c r="L44">
        <f t="shared" si="1"/>
        <v>0</v>
      </c>
      <c r="M44">
        <f t="shared" si="2"/>
        <v>0</v>
      </c>
      <c r="N44">
        <f t="shared" si="10"/>
        <v>0</v>
      </c>
      <c r="O44">
        <f t="shared" si="3"/>
        <v>8</v>
      </c>
      <c r="P44">
        <f t="shared" si="4"/>
        <v>0</v>
      </c>
      <c r="R44" t="str">
        <f t="shared" si="5"/>
        <v>08</v>
      </c>
    </row>
    <row r="45" spans="1:18" x14ac:dyDescent="0.4">
      <c r="A45" s="1" t="str">
        <f t="shared" si="8"/>
        <v>015</v>
      </c>
      <c r="B45">
        <f t="shared" si="9"/>
        <v>1</v>
      </c>
      <c r="C45">
        <f>VALUE(MID(Hex!$C$2,1+2*HEX2DEC(A45)+B45,1))</f>
        <v>1</v>
      </c>
      <c r="D45" s="1" t="str">
        <f t="shared" si="6"/>
        <v>02B</v>
      </c>
      <c r="E45">
        <f>HEX2DEC(MID(Hex!$C$8,1+HEX2DEC(Edit!D45)*2,2))</f>
        <v>4</v>
      </c>
      <c r="F45">
        <f t="shared" si="7"/>
        <v>43</v>
      </c>
      <c r="G45" t="str">
        <f>_xlfn.LET(_xlpm.custom,_xlfn.XLOOKUP(F45,Data!A:A,Data!C:C),IF(_xlpm.custom="",_xlfn.XLOOKUP(F45,Data!A:A,Data!B:B),_xlpm.custom))</f>
        <v>Berry Juice</v>
      </c>
      <c r="H45" t="str">
        <f>_xlfn.XLOOKUP(C45,Data!A:A,Data!E:E)</f>
        <v>Medicine</v>
      </c>
      <c r="J45">
        <f>IF(I45="",C45,_xlfn.XLOOKUP(I45,Data!E:E,Data!A:A,""))</f>
        <v>1</v>
      </c>
      <c r="L45">
        <f t="shared" si="1"/>
        <v>0</v>
      </c>
      <c r="M45">
        <f t="shared" si="2"/>
        <v>0</v>
      </c>
      <c r="N45">
        <f t="shared" si="10"/>
        <v>4</v>
      </c>
      <c r="O45">
        <f t="shared" si="3"/>
        <v>0</v>
      </c>
      <c r="P45">
        <f t="shared" si="4"/>
        <v>0</v>
      </c>
      <c r="R45" t="str">
        <f t="shared" si="5"/>
        <v>04</v>
      </c>
    </row>
    <row r="46" spans="1:18" x14ac:dyDescent="0.4">
      <c r="A46" s="1" t="str">
        <f t="shared" si="8"/>
        <v>016</v>
      </c>
      <c r="B46">
        <f t="shared" si="9"/>
        <v>0</v>
      </c>
      <c r="C46">
        <f>VALUE(MID(Hex!$C$2,1+2*HEX2DEC(A46)+B46,1))</f>
        <v>1</v>
      </c>
      <c r="D46" s="1" t="str">
        <f t="shared" si="6"/>
        <v>02C</v>
      </c>
      <c r="E46">
        <f>HEX2DEC(MID(Hex!$C$8,1+HEX2DEC(Edit!D46)*2,2))</f>
        <v>0</v>
      </c>
      <c r="F46">
        <f t="shared" si="7"/>
        <v>44</v>
      </c>
      <c r="G46" t="str">
        <f>_xlfn.LET(_xlpm.custom,_xlfn.XLOOKUP(F46,Data!A:A,Data!C:C),IF(_xlpm.custom="",_xlfn.XLOOKUP(F46,Data!A:A,Data!B:B),_xlpm.custom))</f>
        <v>Sacred Ash</v>
      </c>
      <c r="H46" t="str">
        <f>_xlfn.XLOOKUP(C46,Data!A:A,Data!E:E)</f>
        <v>Medicine</v>
      </c>
      <c r="J46">
        <f>IF(I46="",C46,_xlfn.XLOOKUP(I46,Data!E:E,Data!A:A,""))</f>
        <v>1</v>
      </c>
      <c r="L46">
        <f t="shared" si="1"/>
        <v>0</v>
      </c>
      <c r="M46">
        <f t="shared" si="2"/>
        <v>0</v>
      </c>
      <c r="N46">
        <f t="shared" si="10"/>
        <v>0</v>
      </c>
      <c r="O46">
        <f t="shared" si="3"/>
        <v>0</v>
      </c>
      <c r="P46">
        <f t="shared" si="4"/>
        <v>0</v>
      </c>
      <c r="R46" t="str">
        <f t="shared" si="5"/>
        <v>00</v>
      </c>
    </row>
    <row r="47" spans="1:18" x14ac:dyDescent="0.4">
      <c r="A47" s="1" t="str">
        <f t="shared" si="8"/>
        <v>016</v>
      </c>
      <c r="B47">
        <f t="shared" si="9"/>
        <v>1</v>
      </c>
      <c r="C47">
        <f>VALUE(MID(Hex!$C$2,1+2*HEX2DEC(A47)+B47,1))</f>
        <v>1</v>
      </c>
      <c r="D47" s="1" t="str">
        <f t="shared" si="6"/>
        <v>02D</v>
      </c>
      <c r="E47">
        <f>HEX2DEC(MID(Hex!$C$8,1+HEX2DEC(Edit!D47)*2,2))</f>
        <v>0</v>
      </c>
      <c r="F47">
        <f t="shared" si="7"/>
        <v>45</v>
      </c>
      <c r="G47" t="str">
        <f>_xlfn.LET(_xlpm.custom,_xlfn.XLOOKUP(F47,Data!A:A,Data!C:C),IF(_xlpm.custom="",_xlfn.XLOOKUP(F47,Data!A:A,Data!B:B),_xlpm.custom))</f>
        <v>HP Up</v>
      </c>
      <c r="H47" t="str">
        <f>_xlfn.XLOOKUP(C47,Data!A:A,Data!E:E)</f>
        <v>Medicine</v>
      </c>
      <c r="J47">
        <f>IF(I47="",C47,_xlfn.XLOOKUP(I47,Data!E:E,Data!A:A,""))</f>
        <v>1</v>
      </c>
      <c r="L47">
        <f t="shared" si="1"/>
        <v>0</v>
      </c>
      <c r="M47">
        <f t="shared" si="2"/>
        <v>0</v>
      </c>
      <c r="N47">
        <f t="shared" si="10"/>
        <v>0</v>
      </c>
      <c r="O47">
        <f t="shared" si="3"/>
        <v>0</v>
      </c>
      <c r="P47">
        <f t="shared" si="4"/>
        <v>0</v>
      </c>
      <c r="R47" t="str">
        <f t="shared" si="5"/>
        <v>00</v>
      </c>
    </row>
    <row r="48" spans="1:18" x14ac:dyDescent="0.4">
      <c r="A48" s="1" t="str">
        <f t="shared" si="8"/>
        <v>017</v>
      </c>
      <c r="B48">
        <f t="shared" si="9"/>
        <v>0</v>
      </c>
      <c r="C48">
        <f>VALUE(MID(Hex!$C$2,1+2*HEX2DEC(A48)+B48,1))</f>
        <v>1</v>
      </c>
      <c r="D48" s="1" t="str">
        <f t="shared" si="6"/>
        <v>02E</v>
      </c>
      <c r="E48">
        <f>HEX2DEC(MID(Hex!$C$8,1+HEX2DEC(Edit!D48)*2,2))</f>
        <v>0</v>
      </c>
      <c r="F48">
        <f t="shared" si="7"/>
        <v>46</v>
      </c>
      <c r="G48" t="str">
        <f>_xlfn.LET(_xlpm.custom,_xlfn.XLOOKUP(F48,Data!A:A,Data!C:C),IF(_xlpm.custom="",_xlfn.XLOOKUP(F48,Data!A:A,Data!B:B),_xlpm.custom))</f>
        <v>Protein</v>
      </c>
      <c r="H48" t="str">
        <f>_xlfn.XLOOKUP(C48,Data!A:A,Data!E:E)</f>
        <v>Medicine</v>
      </c>
      <c r="J48">
        <f>IF(I48="",C48,_xlfn.XLOOKUP(I48,Data!E:E,Data!A:A,""))</f>
        <v>1</v>
      </c>
      <c r="L48">
        <f t="shared" si="1"/>
        <v>0</v>
      </c>
      <c r="M48">
        <f t="shared" si="2"/>
        <v>0</v>
      </c>
      <c r="N48">
        <f t="shared" si="10"/>
        <v>0</v>
      </c>
      <c r="O48">
        <f t="shared" si="3"/>
        <v>0</v>
      </c>
      <c r="P48">
        <f t="shared" si="4"/>
        <v>0</v>
      </c>
      <c r="R48" t="str">
        <f t="shared" si="5"/>
        <v>00</v>
      </c>
    </row>
    <row r="49" spans="1:18" x14ac:dyDescent="0.4">
      <c r="A49" s="1" t="str">
        <f t="shared" si="8"/>
        <v>017</v>
      </c>
      <c r="B49">
        <f t="shared" si="9"/>
        <v>1</v>
      </c>
      <c r="C49">
        <f>VALUE(MID(Hex!$C$2,1+2*HEX2DEC(A49)+B49,1))</f>
        <v>1</v>
      </c>
      <c r="D49" s="1" t="str">
        <f t="shared" si="6"/>
        <v>02F</v>
      </c>
      <c r="E49">
        <f>HEX2DEC(MID(Hex!$C$8,1+HEX2DEC(Edit!D49)*2,2))</f>
        <v>0</v>
      </c>
      <c r="F49">
        <f t="shared" si="7"/>
        <v>47</v>
      </c>
      <c r="G49" t="str">
        <f>_xlfn.LET(_xlpm.custom,_xlfn.XLOOKUP(F49,Data!A:A,Data!C:C),IF(_xlpm.custom="",_xlfn.XLOOKUP(F49,Data!A:A,Data!B:B),_xlpm.custom))</f>
        <v>Iron</v>
      </c>
      <c r="H49" t="str">
        <f>_xlfn.XLOOKUP(C49,Data!A:A,Data!E:E)</f>
        <v>Medicine</v>
      </c>
      <c r="J49">
        <f>IF(I49="",C49,_xlfn.XLOOKUP(I49,Data!E:E,Data!A:A,""))</f>
        <v>1</v>
      </c>
      <c r="L49">
        <f t="shared" si="1"/>
        <v>0</v>
      </c>
      <c r="M49">
        <f t="shared" si="2"/>
        <v>0</v>
      </c>
      <c r="N49">
        <f t="shared" si="10"/>
        <v>0</v>
      </c>
      <c r="O49">
        <f t="shared" si="3"/>
        <v>0</v>
      </c>
      <c r="P49">
        <f t="shared" si="4"/>
        <v>0</v>
      </c>
      <c r="R49" t="str">
        <f t="shared" si="5"/>
        <v>00</v>
      </c>
    </row>
    <row r="50" spans="1:18" x14ac:dyDescent="0.4">
      <c r="A50" s="1" t="str">
        <f t="shared" si="8"/>
        <v>018</v>
      </c>
      <c r="B50">
        <f t="shared" si="9"/>
        <v>0</v>
      </c>
      <c r="C50">
        <f>VALUE(MID(Hex!$C$2,1+2*HEX2DEC(A50)+B50,1))</f>
        <v>1</v>
      </c>
      <c r="D50" s="1" t="str">
        <f t="shared" si="6"/>
        <v>030</v>
      </c>
      <c r="E50">
        <f>HEX2DEC(MID(Hex!$C$8,1+HEX2DEC(Edit!D50)*2,2))</f>
        <v>0</v>
      </c>
      <c r="F50">
        <f t="shared" si="7"/>
        <v>48</v>
      </c>
      <c r="G50" t="str">
        <f>_xlfn.LET(_xlpm.custom,_xlfn.XLOOKUP(F50,Data!A:A,Data!C:C),IF(_xlpm.custom="",_xlfn.XLOOKUP(F50,Data!A:A,Data!B:B),_xlpm.custom))</f>
        <v>Carbos</v>
      </c>
      <c r="H50" t="str">
        <f>_xlfn.XLOOKUP(C50,Data!A:A,Data!E:E)</f>
        <v>Medicine</v>
      </c>
      <c r="J50">
        <f>IF(I50="",C50,_xlfn.XLOOKUP(I50,Data!E:E,Data!A:A,""))</f>
        <v>1</v>
      </c>
      <c r="L50">
        <f t="shared" si="1"/>
        <v>0</v>
      </c>
      <c r="M50">
        <f t="shared" si="2"/>
        <v>0</v>
      </c>
      <c r="N50">
        <f t="shared" si="10"/>
        <v>0</v>
      </c>
      <c r="O50">
        <f t="shared" si="3"/>
        <v>0</v>
      </c>
      <c r="P50">
        <f t="shared" si="4"/>
        <v>0</v>
      </c>
      <c r="R50" t="str">
        <f t="shared" si="5"/>
        <v>00</v>
      </c>
    </row>
    <row r="51" spans="1:18" x14ac:dyDescent="0.4">
      <c r="A51" s="1" t="str">
        <f t="shared" si="8"/>
        <v>018</v>
      </c>
      <c r="B51">
        <f t="shared" si="9"/>
        <v>1</v>
      </c>
      <c r="C51">
        <f>VALUE(MID(Hex!$C$2,1+2*HEX2DEC(A51)+B51,1))</f>
        <v>1</v>
      </c>
      <c r="D51" s="1" t="str">
        <f t="shared" si="6"/>
        <v>031</v>
      </c>
      <c r="E51">
        <f>HEX2DEC(MID(Hex!$C$8,1+HEX2DEC(Edit!D51)*2,2))</f>
        <v>0</v>
      </c>
      <c r="F51">
        <f t="shared" si="7"/>
        <v>49</v>
      </c>
      <c r="G51" t="str">
        <f>_xlfn.LET(_xlpm.custom,_xlfn.XLOOKUP(F51,Data!A:A,Data!C:C),IF(_xlpm.custom="",_xlfn.XLOOKUP(F51,Data!A:A,Data!B:B),_xlpm.custom))</f>
        <v>Calcium</v>
      </c>
      <c r="H51" t="str">
        <f>_xlfn.XLOOKUP(C51,Data!A:A,Data!E:E)</f>
        <v>Medicine</v>
      </c>
      <c r="J51">
        <f>IF(I51="",C51,_xlfn.XLOOKUP(I51,Data!E:E,Data!A:A,""))</f>
        <v>1</v>
      </c>
      <c r="L51">
        <f t="shared" si="1"/>
        <v>0</v>
      </c>
      <c r="M51">
        <f t="shared" si="2"/>
        <v>0</v>
      </c>
      <c r="N51">
        <f t="shared" si="10"/>
        <v>0</v>
      </c>
      <c r="O51">
        <f t="shared" si="3"/>
        <v>0</v>
      </c>
      <c r="P51">
        <f t="shared" si="4"/>
        <v>0</v>
      </c>
      <c r="R51" t="str">
        <f t="shared" si="5"/>
        <v>00</v>
      </c>
    </row>
    <row r="52" spans="1:18" x14ac:dyDescent="0.4">
      <c r="A52" s="1" t="str">
        <f t="shared" si="8"/>
        <v>019</v>
      </c>
      <c r="B52">
        <f t="shared" si="9"/>
        <v>0</v>
      </c>
      <c r="C52">
        <f>VALUE(MID(Hex!$C$2,1+2*HEX2DEC(A52)+B52,1))</f>
        <v>1</v>
      </c>
      <c r="D52" s="1" t="str">
        <f t="shared" si="6"/>
        <v>032</v>
      </c>
      <c r="E52">
        <f>HEX2DEC(MID(Hex!$C$8,1+HEX2DEC(Edit!D52)*2,2))</f>
        <v>0</v>
      </c>
      <c r="F52">
        <f t="shared" si="7"/>
        <v>50</v>
      </c>
      <c r="G52" t="str">
        <f>_xlfn.LET(_xlpm.custom,_xlfn.XLOOKUP(F52,Data!A:A,Data!C:C),IF(_xlpm.custom="",_xlfn.XLOOKUP(F52,Data!A:A,Data!B:B),_xlpm.custom))</f>
        <v>Rare Candy</v>
      </c>
      <c r="H52" t="str">
        <f>_xlfn.XLOOKUP(C52,Data!A:A,Data!E:E)</f>
        <v>Medicine</v>
      </c>
      <c r="J52">
        <f>IF(I52="",C52,_xlfn.XLOOKUP(I52,Data!E:E,Data!A:A,""))</f>
        <v>1</v>
      </c>
      <c r="L52">
        <f t="shared" si="1"/>
        <v>0</v>
      </c>
      <c r="M52">
        <f t="shared" si="2"/>
        <v>0</v>
      </c>
      <c r="N52">
        <f t="shared" si="10"/>
        <v>0</v>
      </c>
      <c r="O52">
        <f t="shared" si="3"/>
        <v>0</v>
      </c>
      <c r="P52">
        <f t="shared" si="4"/>
        <v>0</v>
      </c>
      <c r="R52" t="str">
        <f t="shared" si="5"/>
        <v>00</v>
      </c>
    </row>
    <row r="53" spans="1:18" x14ac:dyDescent="0.4">
      <c r="A53" s="1" t="str">
        <f t="shared" si="8"/>
        <v>019</v>
      </c>
      <c r="B53">
        <f t="shared" si="9"/>
        <v>1</v>
      </c>
      <c r="C53">
        <f>VALUE(MID(Hex!$C$2,1+2*HEX2DEC(A53)+B53,1))</f>
        <v>1</v>
      </c>
      <c r="D53" s="1" t="str">
        <f t="shared" si="6"/>
        <v>033</v>
      </c>
      <c r="E53">
        <f>HEX2DEC(MID(Hex!$C$8,1+HEX2DEC(Edit!D53)*2,2))</f>
        <v>0</v>
      </c>
      <c r="F53">
        <f t="shared" si="7"/>
        <v>51</v>
      </c>
      <c r="G53" t="str">
        <f>_xlfn.LET(_xlpm.custom,_xlfn.XLOOKUP(F53,Data!A:A,Data!C:C),IF(_xlpm.custom="",_xlfn.XLOOKUP(F53,Data!A:A,Data!B:B),_xlpm.custom))</f>
        <v>PP Up</v>
      </c>
      <c r="H53" t="str">
        <f>_xlfn.XLOOKUP(C53,Data!A:A,Data!E:E)</f>
        <v>Medicine</v>
      </c>
      <c r="J53">
        <f>IF(I53="",C53,_xlfn.XLOOKUP(I53,Data!E:E,Data!A:A,""))</f>
        <v>1</v>
      </c>
      <c r="L53">
        <f t="shared" si="1"/>
        <v>0</v>
      </c>
      <c r="M53">
        <f t="shared" si="2"/>
        <v>0</v>
      </c>
      <c r="N53">
        <f t="shared" si="10"/>
        <v>0</v>
      </c>
      <c r="O53">
        <f t="shared" si="3"/>
        <v>0</v>
      </c>
      <c r="P53">
        <f t="shared" si="4"/>
        <v>0</v>
      </c>
      <c r="R53" t="str">
        <f t="shared" si="5"/>
        <v>00</v>
      </c>
    </row>
    <row r="54" spans="1:18" x14ac:dyDescent="0.4">
      <c r="A54" s="1" t="str">
        <f t="shared" si="8"/>
        <v>01A</v>
      </c>
      <c r="B54">
        <f t="shared" si="9"/>
        <v>0</v>
      </c>
      <c r="C54">
        <f>VALUE(MID(Hex!$C$2,1+2*HEX2DEC(A54)+B54,1))</f>
        <v>1</v>
      </c>
      <c r="D54" s="1" t="str">
        <f t="shared" si="6"/>
        <v>034</v>
      </c>
      <c r="E54">
        <f>HEX2DEC(MID(Hex!$C$8,1+HEX2DEC(Edit!D54)*2,2))</f>
        <v>0</v>
      </c>
      <c r="F54">
        <f t="shared" si="7"/>
        <v>52</v>
      </c>
      <c r="G54" t="str">
        <f>_xlfn.LET(_xlpm.custom,_xlfn.XLOOKUP(F54,Data!A:A,Data!C:C),IF(_xlpm.custom="",_xlfn.XLOOKUP(F54,Data!A:A,Data!B:B),_xlpm.custom))</f>
        <v>Zinc</v>
      </c>
      <c r="H54" t="str">
        <f>_xlfn.XLOOKUP(C54,Data!A:A,Data!E:E)</f>
        <v>Medicine</v>
      </c>
      <c r="J54">
        <f>IF(I54="",C54,_xlfn.XLOOKUP(I54,Data!E:E,Data!A:A,""))</f>
        <v>1</v>
      </c>
      <c r="L54">
        <f t="shared" si="1"/>
        <v>0</v>
      </c>
      <c r="M54">
        <f t="shared" si="2"/>
        <v>0</v>
      </c>
      <c r="N54">
        <f t="shared" si="10"/>
        <v>0</v>
      </c>
      <c r="O54">
        <f t="shared" si="3"/>
        <v>0</v>
      </c>
      <c r="P54">
        <f t="shared" si="4"/>
        <v>0</v>
      </c>
      <c r="R54" t="str">
        <f t="shared" si="5"/>
        <v>00</v>
      </c>
    </row>
    <row r="55" spans="1:18" x14ac:dyDescent="0.4">
      <c r="A55" s="1" t="str">
        <f t="shared" si="8"/>
        <v>01A</v>
      </c>
      <c r="B55">
        <f t="shared" si="9"/>
        <v>1</v>
      </c>
      <c r="C55">
        <f>VALUE(MID(Hex!$C$2,1+2*HEX2DEC(A55)+B55,1))</f>
        <v>1</v>
      </c>
      <c r="D55" s="1" t="str">
        <f t="shared" si="6"/>
        <v>035</v>
      </c>
      <c r="E55">
        <f>HEX2DEC(MID(Hex!$C$8,1+HEX2DEC(Edit!D55)*2,2))</f>
        <v>0</v>
      </c>
      <c r="F55">
        <f t="shared" si="7"/>
        <v>53</v>
      </c>
      <c r="G55" t="str">
        <f>_xlfn.LET(_xlpm.custom,_xlfn.XLOOKUP(F55,Data!A:A,Data!C:C),IF(_xlpm.custom="",_xlfn.XLOOKUP(F55,Data!A:A,Data!B:B),_xlpm.custom))</f>
        <v>PP Max</v>
      </c>
      <c r="H55" t="str">
        <f>_xlfn.XLOOKUP(C55,Data!A:A,Data!E:E)</f>
        <v>Medicine</v>
      </c>
      <c r="J55">
        <f>IF(I55="",C55,_xlfn.XLOOKUP(I55,Data!E:E,Data!A:A,""))</f>
        <v>1</v>
      </c>
      <c r="L55">
        <f t="shared" si="1"/>
        <v>0</v>
      </c>
      <c r="M55">
        <f t="shared" si="2"/>
        <v>0</v>
      </c>
      <c r="N55">
        <f t="shared" si="10"/>
        <v>0</v>
      </c>
      <c r="O55">
        <f t="shared" si="3"/>
        <v>0</v>
      </c>
      <c r="P55">
        <f t="shared" si="4"/>
        <v>0</v>
      </c>
      <c r="R55" t="str">
        <f t="shared" si="5"/>
        <v>00</v>
      </c>
    </row>
    <row r="56" spans="1:18" x14ac:dyDescent="0.4">
      <c r="A56" s="1" t="str">
        <f t="shared" si="8"/>
        <v>01B</v>
      </c>
      <c r="B56">
        <f t="shared" si="9"/>
        <v>0</v>
      </c>
      <c r="C56">
        <f>VALUE(MID(Hex!$C$2,1+2*HEX2DEC(A56)+B56,1))</f>
        <v>1</v>
      </c>
      <c r="D56" s="1" t="str">
        <f t="shared" si="6"/>
        <v>036</v>
      </c>
      <c r="E56">
        <f>HEX2DEC(MID(Hex!$C$8,1+HEX2DEC(Edit!D56)*2,2))</f>
        <v>8</v>
      </c>
      <c r="F56">
        <f t="shared" si="7"/>
        <v>54</v>
      </c>
      <c r="G56" t="str">
        <f>_xlfn.LET(_xlpm.custom,_xlfn.XLOOKUP(F56,Data!A:A,Data!C:C),IF(_xlpm.custom="",_xlfn.XLOOKUP(F56,Data!A:A,Data!B:B),_xlpm.custom))</f>
        <v>Old Gateau</v>
      </c>
      <c r="H56" t="str">
        <f>_xlfn.XLOOKUP(C56,Data!A:A,Data!E:E)</f>
        <v>Medicine</v>
      </c>
      <c r="J56">
        <f>IF(I56="",C56,_xlfn.XLOOKUP(I56,Data!E:E,Data!A:A,""))</f>
        <v>1</v>
      </c>
      <c r="L56">
        <f t="shared" si="1"/>
        <v>0</v>
      </c>
      <c r="M56">
        <f t="shared" si="2"/>
        <v>0</v>
      </c>
      <c r="N56">
        <f t="shared" si="10"/>
        <v>0</v>
      </c>
      <c r="O56">
        <f t="shared" si="3"/>
        <v>8</v>
      </c>
      <c r="P56">
        <f t="shared" si="4"/>
        <v>0</v>
      </c>
      <c r="R56" t="str">
        <f t="shared" si="5"/>
        <v>08</v>
      </c>
    </row>
    <row r="57" spans="1:18" x14ac:dyDescent="0.4">
      <c r="A57" s="1" t="str">
        <f t="shared" si="8"/>
        <v>01B</v>
      </c>
      <c r="B57">
        <f t="shared" si="9"/>
        <v>1</v>
      </c>
      <c r="C57">
        <f>VALUE(MID(Hex!$C$2,1+2*HEX2DEC(A57)+B57,1))</f>
        <v>0</v>
      </c>
      <c r="D57" s="1" t="str">
        <f t="shared" si="6"/>
        <v>037</v>
      </c>
      <c r="E57">
        <f>HEX2DEC(MID(Hex!$C$8,1+HEX2DEC(Edit!D57)*2,2))</f>
        <v>2</v>
      </c>
      <c r="F57">
        <f t="shared" si="7"/>
        <v>55</v>
      </c>
      <c r="G57" t="str">
        <f>_xlfn.LET(_xlpm.custom,_xlfn.XLOOKUP(F57,Data!A:A,Data!C:C),IF(_xlpm.custom="",_xlfn.XLOOKUP(F57,Data!A:A,Data!B:B),_xlpm.custom))</f>
        <v>Guard Spec.</v>
      </c>
      <c r="H57" t="str">
        <f>_xlfn.XLOOKUP(C57,Data!A:A,Data!E:E)</f>
        <v>General</v>
      </c>
      <c r="J57">
        <f>IF(I57="",C57,_xlfn.XLOOKUP(I57,Data!E:E,Data!A:A,""))</f>
        <v>0</v>
      </c>
      <c r="L57">
        <f t="shared" si="1"/>
        <v>0</v>
      </c>
      <c r="M57">
        <f t="shared" si="2"/>
        <v>2</v>
      </c>
      <c r="N57">
        <f t="shared" si="10"/>
        <v>0</v>
      </c>
      <c r="O57">
        <f t="shared" si="3"/>
        <v>0</v>
      </c>
      <c r="P57">
        <f t="shared" si="4"/>
        <v>0</v>
      </c>
      <c r="R57" t="str">
        <f t="shared" si="5"/>
        <v>02</v>
      </c>
    </row>
    <row r="58" spans="1:18" x14ac:dyDescent="0.4">
      <c r="A58" s="1" t="str">
        <f t="shared" si="8"/>
        <v>01C</v>
      </c>
      <c r="B58">
        <f t="shared" si="9"/>
        <v>0</v>
      </c>
      <c r="C58">
        <f>VALUE(MID(Hex!$C$2,1+2*HEX2DEC(A58)+B58,1))</f>
        <v>0</v>
      </c>
      <c r="D58" s="1" t="str">
        <f t="shared" si="6"/>
        <v>038</v>
      </c>
      <c r="E58">
        <f>HEX2DEC(MID(Hex!$C$8,1+HEX2DEC(Edit!D58)*2,2))</f>
        <v>2</v>
      </c>
      <c r="F58">
        <f t="shared" si="7"/>
        <v>56</v>
      </c>
      <c r="G58" t="str">
        <f>_xlfn.LET(_xlpm.custom,_xlfn.XLOOKUP(F58,Data!A:A,Data!C:C),IF(_xlpm.custom="",_xlfn.XLOOKUP(F58,Data!A:A,Data!B:B),_xlpm.custom))</f>
        <v>Dire Hit</v>
      </c>
      <c r="H58" t="str">
        <f>_xlfn.XLOOKUP(C58,Data!A:A,Data!E:E)</f>
        <v>General</v>
      </c>
      <c r="J58">
        <f>IF(I58="",C58,_xlfn.XLOOKUP(I58,Data!E:E,Data!A:A,""))</f>
        <v>0</v>
      </c>
      <c r="L58">
        <f t="shared" si="1"/>
        <v>0</v>
      </c>
      <c r="M58">
        <f t="shared" si="2"/>
        <v>2</v>
      </c>
      <c r="N58">
        <f t="shared" si="10"/>
        <v>0</v>
      </c>
      <c r="O58">
        <f t="shared" si="3"/>
        <v>0</v>
      </c>
      <c r="P58">
        <f t="shared" si="4"/>
        <v>0</v>
      </c>
      <c r="R58" t="str">
        <f t="shared" si="5"/>
        <v>02</v>
      </c>
    </row>
    <row r="59" spans="1:18" x14ac:dyDescent="0.4">
      <c r="A59" s="1" t="str">
        <f t="shared" si="8"/>
        <v>01C</v>
      </c>
      <c r="B59">
        <f t="shared" si="9"/>
        <v>1</v>
      </c>
      <c r="C59">
        <f>VALUE(MID(Hex!$C$2,1+2*HEX2DEC(A59)+B59,1))</f>
        <v>0</v>
      </c>
      <c r="D59" s="1" t="str">
        <f t="shared" si="6"/>
        <v>039</v>
      </c>
      <c r="E59">
        <f>HEX2DEC(MID(Hex!$C$8,1+HEX2DEC(Edit!D59)*2,2))</f>
        <v>2</v>
      </c>
      <c r="F59">
        <f t="shared" si="7"/>
        <v>57</v>
      </c>
      <c r="G59" t="str">
        <f>_xlfn.LET(_xlpm.custom,_xlfn.XLOOKUP(F59,Data!A:A,Data!C:C),IF(_xlpm.custom="",_xlfn.XLOOKUP(F59,Data!A:A,Data!B:B),_xlpm.custom))</f>
        <v>X Attack</v>
      </c>
      <c r="H59" t="str">
        <f>_xlfn.XLOOKUP(C59,Data!A:A,Data!E:E)</f>
        <v>General</v>
      </c>
      <c r="J59">
        <f>IF(I59="",C59,_xlfn.XLOOKUP(I59,Data!E:E,Data!A:A,""))</f>
        <v>0</v>
      </c>
      <c r="L59">
        <f t="shared" si="1"/>
        <v>0</v>
      </c>
      <c r="M59">
        <f t="shared" si="2"/>
        <v>2</v>
      </c>
      <c r="N59">
        <f t="shared" si="10"/>
        <v>0</v>
      </c>
      <c r="O59">
        <f t="shared" si="3"/>
        <v>0</v>
      </c>
      <c r="P59">
        <f t="shared" si="4"/>
        <v>0</v>
      </c>
      <c r="R59" t="str">
        <f t="shared" si="5"/>
        <v>02</v>
      </c>
    </row>
    <row r="60" spans="1:18" x14ac:dyDescent="0.4">
      <c r="A60" s="1" t="str">
        <f t="shared" si="8"/>
        <v>01D</v>
      </c>
      <c r="B60">
        <f t="shared" si="9"/>
        <v>0</v>
      </c>
      <c r="C60">
        <f>VALUE(MID(Hex!$C$2,1+2*HEX2DEC(A60)+B60,1))</f>
        <v>0</v>
      </c>
      <c r="D60" s="1" t="str">
        <f t="shared" si="6"/>
        <v>03A</v>
      </c>
      <c r="E60">
        <f>HEX2DEC(MID(Hex!$C$8,1+HEX2DEC(Edit!D60)*2,2))</f>
        <v>2</v>
      </c>
      <c r="F60">
        <f t="shared" si="7"/>
        <v>58</v>
      </c>
      <c r="G60" t="str">
        <f>_xlfn.LET(_xlpm.custom,_xlfn.XLOOKUP(F60,Data!A:A,Data!C:C),IF(_xlpm.custom="",_xlfn.XLOOKUP(F60,Data!A:A,Data!B:B),_xlpm.custom))</f>
        <v>X Defense</v>
      </c>
      <c r="H60" t="str">
        <f>_xlfn.XLOOKUP(C60,Data!A:A,Data!E:E)</f>
        <v>General</v>
      </c>
      <c r="J60">
        <f>IF(I60="",C60,_xlfn.XLOOKUP(I60,Data!E:E,Data!A:A,""))</f>
        <v>0</v>
      </c>
      <c r="L60">
        <f t="shared" si="1"/>
        <v>0</v>
      </c>
      <c r="M60">
        <f t="shared" si="2"/>
        <v>2</v>
      </c>
      <c r="N60">
        <f t="shared" si="10"/>
        <v>0</v>
      </c>
      <c r="O60">
        <f t="shared" si="3"/>
        <v>0</v>
      </c>
      <c r="P60">
        <f t="shared" si="4"/>
        <v>0</v>
      </c>
      <c r="R60" t="str">
        <f t="shared" si="5"/>
        <v>02</v>
      </c>
    </row>
    <row r="61" spans="1:18" x14ac:dyDescent="0.4">
      <c r="A61" s="1" t="str">
        <f t="shared" si="8"/>
        <v>01D</v>
      </c>
      <c r="B61">
        <f t="shared" si="9"/>
        <v>1</v>
      </c>
      <c r="C61">
        <f>VALUE(MID(Hex!$C$2,1+2*HEX2DEC(A61)+B61,1))</f>
        <v>0</v>
      </c>
      <c r="D61" s="1" t="str">
        <f t="shared" si="6"/>
        <v>03B</v>
      </c>
      <c r="E61">
        <f>HEX2DEC(MID(Hex!$C$8,1+HEX2DEC(Edit!D61)*2,2))</f>
        <v>2</v>
      </c>
      <c r="F61">
        <f t="shared" si="7"/>
        <v>59</v>
      </c>
      <c r="G61" t="str">
        <f>_xlfn.LET(_xlpm.custom,_xlfn.XLOOKUP(F61,Data!A:A,Data!C:C),IF(_xlpm.custom="",_xlfn.XLOOKUP(F61,Data!A:A,Data!B:B),_xlpm.custom))</f>
        <v>X Speed</v>
      </c>
      <c r="H61" t="str">
        <f>_xlfn.XLOOKUP(C61,Data!A:A,Data!E:E)</f>
        <v>General</v>
      </c>
      <c r="J61">
        <f>IF(I61="",C61,_xlfn.XLOOKUP(I61,Data!E:E,Data!A:A,""))</f>
        <v>0</v>
      </c>
      <c r="L61">
        <f t="shared" si="1"/>
        <v>0</v>
      </c>
      <c r="M61">
        <f t="shared" si="2"/>
        <v>2</v>
      </c>
      <c r="N61">
        <f t="shared" si="10"/>
        <v>0</v>
      </c>
      <c r="O61">
        <f t="shared" si="3"/>
        <v>0</v>
      </c>
      <c r="P61">
        <f t="shared" si="4"/>
        <v>0</v>
      </c>
      <c r="R61" t="str">
        <f t="shared" si="5"/>
        <v>02</v>
      </c>
    </row>
    <row r="62" spans="1:18" x14ac:dyDescent="0.4">
      <c r="A62" s="1" t="str">
        <f t="shared" si="8"/>
        <v>01E</v>
      </c>
      <c r="B62">
        <f t="shared" si="9"/>
        <v>0</v>
      </c>
      <c r="C62">
        <f>VALUE(MID(Hex!$C$2,1+2*HEX2DEC(A62)+B62,1))</f>
        <v>0</v>
      </c>
      <c r="D62" s="1" t="str">
        <f t="shared" si="6"/>
        <v>03C</v>
      </c>
      <c r="E62">
        <f>HEX2DEC(MID(Hex!$C$8,1+HEX2DEC(Edit!D62)*2,2))</f>
        <v>2</v>
      </c>
      <c r="F62">
        <f t="shared" si="7"/>
        <v>60</v>
      </c>
      <c r="G62" t="str">
        <f>_xlfn.LET(_xlpm.custom,_xlfn.XLOOKUP(F62,Data!A:A,Data!C:C),IF(_xlpm.custom="",_xlfn.XLOOKUP(F62,Data!A:A,Data!B:B),_xlpm.custom))</f>
        <v>X Accuracy</v>
      </c>
      <c r="H62" t="str">
        <f>_xlfn.XLOOKUP(C62,Data!A:A,Data!E:E)</f>
        <v>General</v>
      </c>
      <c r="J62">
        <f>IF(I62="",C62,_xlfn.XLOOKUP(I62,Data!E:E,Data!A:A,""))</f>
        <v>0</v>
      </c>
      <c r="L62">
        <f t="shared" si="1"/>
        <v>0</v>
      </c>
      <c r="M62">
        <f t="shared" si="2"/>
        <v>2</v>
      </c>
      <c r="N62">
        <f t="shared" si="10"/>
        <v>0</v>
      </c>
      <c r="O62">
        <f t="shared" si="3"/>
        <v>0</v>
      </c>
      <c r="P62">
        <f t="shared" si="4"/>
        <v>0</v>
      </c>
      <c r="R62" t="str">
        <f t="shared" si="5"/>
        <v>02</v>
      </c>
    </row>
    <row r="63" spans="1:18" x14ac:dyDescent="0.4">
      <c r="A63" s="1" t="str">
        <f t="shared" si="8"/>
        <v>01E</v>
      </c>
      <c r="B63">
        <f t="shared" si="9"/>
        <v>1</v>
      </c>
      <c r="C63">
        <f>VALUE(MID(Hex!$C$2,1+2*HEX2DEC(A63)+B63,1))</f>
        <v>0</v>
      </c>
      <c r="D63" s="1" t="str">
        <f t="shared" si="6"/>
        <v>03D</v>
      </c>
      <c r="E63">
        <f>HEX2DEC(MID(Hex!$C$8,1+HEX2DEC(Edit!D63)*2,2))</f>
        <v>2</v>
      </c>
      <c r="F63">
        <f t="shared" si="7"/>
        <v>61</v>
      </c>
      <c r="G63" t="str">
        <f>_xlfn.LET(_xlpm.custom,_xlfn.XLOOKUP(F63,Data!A:A,Data!C:C),IF(_xlpm.custom="",_xlfn.XLOOKUP(F63,Data!A:A,Data!B:B),_xlpm.custom))</f>
        <v>X Sp. Atk</v>
      </c>
      <c r="H63" t="str">
        <f>_xlfn.XLOOKUP(C63,Data!A:A,Data!E:E)</f>
        <v>General</v>
      </c>
      <c r="J63">
        <f>IF(I63="",C63,_xlfn.XLOOKUP(I63,Data!E:E,Data!A:A,""))</f>
        <v>0</v>
      </c>
      <c r="L63">
        <f t="shared" si="1"/>
        <v>0</v>
      </c>
      <c r="M63">
        <f t="shared" si="2"/>
        <v>2</v>
      </c>
      <c r="N63">
        <f t="shared" si="10"/>
        <v>0</v>
      </c>
      <c r="O63">
        <f t="shared" si="3"/>
        <v>0</v>
      </c>
      <c r="P63">
        <f t="shared" si="4"/>
        <v>0</v>
      </c>
      <c r="R63" t="str">
        <f t="shared" si="5"/>
        <v>02</v>
      </c>
    </row>
    <row r="64" spans="1:18" x14ac:dyDescent="0.4">
      <c r="A64" s="1" t="str">
        <f t="shared" si="8"/>
        <v>01F</v>
      </c>
      <c r="B64">
        <f t="shared" si="9"/>
        <v>0</v>
      </c>
      <c r="C64">
        <f>VALUE(MID(Hex!$C$2,1+2*HEX2DEC(A64)+B64,1))</f>
        <v>0</v>
      </c>
      <c r="D64" s="1" t="str">
        <f t="shared" si="6"/>
        <v>03E</v>
      </c>
      <c r="E64">
        <f>HEX2DEC(MID(Hex!$C$8,1+HEX2DEC(Edit!D64)*2,2))</f>
        <v>2</v>
      </c>
      <c r="F64">
        <f t="shared" si="7"/>
        <v>62</v>
      </c>
      <c r="G64" t="str">
        <f>_xlfn.LET(_xlpm.custom,_xlfn.XLOOKUP(F64,Data!A:A,Data!C:C),IF(_xlpm.custom="",_xlfn.XLOOKUP(F64,Data!A:A,Data!B:B),_xlpm.custom))</f>
        <v>X Sp. Def</v>
      </c>
      <c r="H64" t="str">
        <f>_xlfn.XLOOKUP(C64,Data!A:A,Data!E:E)</f>
        <v>General</v>
      </c>
      <c r="J64">
        <f>IF(I64="",C64,_xlfn.XLOOKUP(I64,Data!E:E,Data!A:A,""))</f>
        <v>0</v>
      </c>
      <c r="L64">
        <f t="shared" si="1"/>
        <v>0</v>
      </c>
      <c r="M64">
        <f t="shared" si="2"/>
        <v>2</v>
      </c>
      <c r="N64">
        <f t="shared" si="10"/>
        <v>0</v>
      </c>
      <c r="O64">
        <f t="shared" si="3"/>
        <v>0</v>
      </c>
      <c r="P64">
        <f t="shared" si="4"/>
        <v>0</v>
      </c>
      <c r="R64" t="str">
        <f t="shared" si="5"/>
        <v>02</v>
      </c>
    </row>
    <row r="65" spans="1:18" x14ac:dyDescent="0.4">
      <c r="A65" s="1" t="str">
        <f t="shared" si="8"/>
        <v>01F</v>
      </c>
      <c r="B65">
        <f t="shared" si="9"/>
        <v>1</v>
      </c>
      <c r="C65">
        <f>VALUE(MID(Hex!$C$2,1+2*HEX2DEC(A65)+B65,1))</f>
        <v>0</v>
      </c>
      <c r="D65" s="1" t="str">
        <f t="shared" si="6"/>
        <v>03F</v>
      </c>
      <c r="E65">
        <f>HEX2DEC(MID(Hex!$C$8,1+HEX2DEC(Edit!D65)*2,2))</f>
        <v>2</v>
      </c>
      <c r="F65">
        <f t="shared" si="7"/>
        <v>63</v>
      </c>
      <c r="G65" t="str">
        <f>_xlfn.LET(_xlpm.custom,_xlfn.XLOOKUP(F65,Data!A:A,Data!C:C),IF(_xlpm.custom="",_xlfn.XLOOKUP(F65,Data!A:A,Data!B:B),_xlpm.custom))</f>
        <v>Poké Doll</v>
      </c>
      <c r="H65" t="str">
        <f>_xlfn.XLOOKUP(C65,Data!A:A,Data!E:E)</f>
        <v>General</v>
      </c>
      <c r="J65">
        <f>IF(I65="",C65,_xlfn.XLOOKUP(I65,Data!E:E,Data!A:A,""))</f>
        <v>0</v>
      </c>
      <c r="L65">
        <f t="shared" si="1"/>
        <v>0</v>
      </c>
      <c r="M65">
        <f t="shared" si="2"/>
        <v>2</v>
      </c>
      <c r="N65">
        <f t="shared" si="10"/>
        <v>0</v>
      </c>
      <c r="O65">
        <f t="shared" si="3"/>
        <v>0</v>
      </c>
      <c r="P65">
        <f t="shared" si="4"/>
        <v>0</v>
      </c>
      <c r="R65" t="str">
        <f t="shared" si="5"/>
        <v>02</v>
      </c>
    </row>
    <row r="66" spans="1:18" x14ac:dyDescent="0.4">
      <c r="A66" s="1" t="str">
        <f t="shared" si="8"/>
        <v>020</v>
      </c>
      <c r="B66">
        <f t="shared" si="9"/>
        <v>0</v>
      </c>
      <c r="C66">
        <f>VALUE(MID(Hex!$C$2,1+2*HEX2DEC(A66)+B66,1))</f>
        <v>0</v>
      </c>
      <c r="D66" s="1" t="str">
        <f t="shared" si="6"/>
        <v>040</v>
      </c>
      <c r="E66">
        <f>HEX2DEC(MID(Hex!$C$8,1+HEX2DEC(Edit!D66)*2,2))</f>
        <v>2</v>
      </c>
      <c r="F66">
        <f t="shared" si="7"/>
        <v>64</v>
      </c>
      <c r="G66" t="str">
        <f>_xlfn.LET(_xlpm.custom,_xlfn.XLOOKUP(F66,Data!A:A,Data!C:C),IF(_xlpm.custom="",_xlfn.XLOOKUP(F66,Data!A:A,Data!B:B),_xlpm.custom))</f>
        <v>Fluffy Tail</v>
      </c>
      <c r="H66" t="str">
        <f>_xlfn.XLOOKUP(C66,Data!A:A,Data!E:E)</f>
        <v>General</v>
      </c>
      <c r="J66">
        <f>IF(I66="",C66,_xlfn.XLOOKUP(I66,Data!E:E,Data!A:A,""))</f>
        <v>0</v>
      </c>
      <c r="L66">
        <f t="shared" si="1"/>
        <v>0</v>
      </c>
      <c r="M66">
        <f t="shared" si="2"/>
        <v>2</v>
      </c>
      <c r="N66">
        <f t="shared" si="10"/>
        <v>0</v>
      </c>
      <c r="O66">
        <f t="shared" si="3"/>
        <v>0</v>
      </c>
      <c r="P66">
        <f t="shared" si="4"/>
        <v>0</v>
      </c>
      <c r="R66" t="str">
        <f t="shared" si="5"/>
        <v>02</v>
      </c>
    </row>
    <row r="67" spans="1:18" x14ac:dyDescent="0.4">
      <c r="A67" s="1" t="str">
        <f t="shared" si="8"/>
        <v>020</v>
      </c>
      <c r="B67">
        <f t="shared" si="9"/>
        <v>1</v>
      </c>
      <c r="C67">
        <f>VALUE(MID(Hex!$C$2,1+2*HEX2DEC(A67)+B67,1))</f>
        <v>1</v>
      </c>
      <c r="D67" s="1" t="str">
        <f t="shared" si="6"/>
        <v>041</v>
      </c>
      <c r="E67">
        <f>HEX2DEC(MID(Hex!$C$8,1+HEX2DEC(Edit!D67)*2,2))</f>
        <v>8</v>
      </c>
      <c r="F67">
        <f t="shared" si="7"/>
        <v>65</v>
      </c>
      <c r="G67" t="str">
        <f>_xlfn.LET(_xlpm.custom,_xlfn.XLOOKUP(F67,Data!A:A,Data!C:C),IF(_xlpm.custom="",_xlfn.XLOOKUP(F67,Data!A:A,Data!B:B),_xlpm.custom))</f>
        <v>Blue Flute</v>
      </c>
      <c r="H67" t="str">
        <f>_xlfn.XLOOKUP(C67,Data!A:A,Data!E:E)</f>
        <v>Medicine</v>
      </c>
      <c r="J67">
        <f>IF(I67="",C67,_xlfn.XLOOKUP(I67,Data!E:E,Data!A:A,""))</f>
        <v>1</v>
      </c>
      <c r="L67">
        <f t="shared" ref="L67:L130" si="11">_xlfn.BITAND(E67,1)</f>
        <v>0</v>
      </c>
      <c r="M67">
        <f t="shared" ref="M67:M130" si="12">_xlfn.BITAND($E67,2)</f>
        <v>0</v>
      </c>
      <c r="N67">
        <f t="shared" si="10"/>
        <v>0</v>
      </c>
      <c r="O67">
        <f t="shared" ref="O67:O130" si="13">_xlfn.BITAND($E67,8)</f>
        <v>8</v>
      </c>
      <c r="P67">
        <f t="shared" ref="P67:P130" si="14">_xlfn.BITAND($E67,16)</f>
        <v>0</v>
      </c>
      <c r="R67" t="str">
        <f t="shared" ref="R67:R130" si="15">DEC2HEX(SUM(L67:P67),2)</f>
        <v>08</v>
      </c>
    </row>
    <row r="68" spans="1:18" x14ac:dyDescent="0.4">
      <c r="A68" s="1" t="str">
        <f t="shared" si="8"/>
        <v>021</v>
      </c>
      <c r="B68">
        <f t="shared" si="9"/>
        <v>0</v>
      </c>
      <c r="C68">
        <f>VALUE(MID(Hex!$C$2,1+2*HEX2DEC(A68)+B68,1))</f>
        <v>1</v>
      </c>
      <c r="D68" s="1" t="str">
        <f t="shared" ref="D68:D131" si="16">DEC2HEX(1+HEX2DEC(D67),3)</f>
        <v>042</v>
      </c>
      <c r="E68">
        <f>HEX2DEC(MID(Hex!$C$8,1+HEX2DEC(Edit!D68)*2,2))</f>
        <v>8</v>
      </c>
      <c r="F68">
        <f t="shared" ref="F68:F131" si="17">F67+1</f>
        <v>66</v>
      </c>
      <c r="G68" t="str">
        <f>_xlfn.LET(_xlpm.custom,_xlfn.XLOOKUP(F68,Data!A:A,Data!C:C),IF(_xlpm.custom="",_xlfn.XLOOKUP(F68,Data!A:A,Data!B:B),_xlpm.custom))</f>
        <v>Yellow Flute</v>
      </c>
      <c r="H68" t="str">
        <f>_xlfn.XLOOKUP(C68,Data!A:A,Data!E:E)</f>
        <v>Medicine</v>
      </c>
      <c r="J68">
        <f>IF(I68="",C68,_xlfn.XLOOKUP(I68,Data!E:E,Data!A:A,""))</f>
        <v>1</v>
      </c>
      <c r="L68">
        <f t="shared" si="11"/>
        <v>0</v>
      </c>
      <c r="M68">
        <f t="shared" si="12"/>
        <v>0</v>
      </c>
      <c r="N68">
        <f t="shared" si="10"/>
        <v>0</v>
      </c>
      <c r="O68">
        <f t="shared" si="13"/>
        <v>8</v>
      </c>
      <c r="P68">
        <f t="shared" si="14"/>
        <v>0</v>
      </c>
      <c r="R68" t="str">
        <f t="shared" si="15"/>
        <v>08</v>
      </c>
    </row>
    <row r="69" spans="1:18" x14ac:dyDescent="0.4">
      <c r="A69" s="1" t="str">
        <f t="shared" ref="A69:A132" si="18">DEC2HEX(1+HEX2DEC(A67),3)</f>
        <v>021</v>
      </c>
      <c r="B69">
        <f t="shared" ref="B69:B132" si="19">B67</f>
        <v>1</v>
      </c>
      <c r="C69">
        <f>VALUE(MID(Hex!$C$2,1+2*HEX2DEC(A69)+B69,1))</f>
        <v>1</v>
      </c>
      <c r="D69" s="1" t="str">
        <f t="shared" si="16"/>
        <v>043</v>
      </c>
      <c r="E69">
        <f>HEX2DEC(MID(Hex!$C$8,1+HEX2DEC(Edit!D69)*2,2))</f>
        <v>8</v>
      </c>
      <c r="F69">
        <f t="shared" si="17"/>
        <v>67</v>
      </c>
      <c r="G69" t="str">
        <f>_xlfn.LET(_xlpm.custom,_xlfn.XLOOKUP(F69,Data!A:A,Data!C:C),IF(_xlpm.custom="",_xlfn.XLOOKUP(F69,Data!A:A,Data!B:B),_xlpm.custom))</f>
        <v>Red Flute</v>
      </c>
      <c r="H69" t="str">
        <f>_xlfn.XLOOKUP(C69,Data!A:A,Data!E:E)</f>
        <v>Medicine</v>
      </c>
      <c r="J69">
        <f>IF(I69="",C69,_xlfn.XLOOKUP(I69,Data!E:E,Data!A:A,""))</f>
        <v>1</v>
      </c>
      <c r="L69">
        <f t="shared" si="11"/>
        <v>0</v>
      </c>
      <c r="M69">
        <f t="shared" si="12"/>
        <v>0</v>
      </c>
      <c r="N69">
        <f t="shared" si="10"/>
        <v>0</v>
      </c>
      <c r="O69">
        <f t="shared" si="13"/>
        <v>8</v>
      </c>
      <c r="P69">
        <f t="shared" si="14"/>
        <v>0</v>
      </c>
      <c r="R69" t="str">
        <f t="shared" si="15"/>
        <v>08</v>
      </c>
    </row>
    <row r="70" spans="1:18" x14ac:dyDescent="0.4">
      <c r="A70" s="1" t="str">
        <f t="shared" si="18"/>
        <v>022</v>
      </c>
      <c r="B70">
        <f t="shared" si="19"/>
        <v>0</v>
      </c>
      <c r="C70">
        <f>VALUE(MID(Hex!$C$2,1+2*HEX2DEC(A70)+B70,1))</f>
        <v>0</v>
      </c>
      <c r="D70" s="1" t="str">
        <f t="shared" si="16"/>
        <v>044</v>
      </c>
      <c r="E70">
        <f>HEX2DEC(MID(Hex!$C$8,1+HEX2DEC(Edit!D70)*2,2))</f>
        <v>0</v>
      </c>
      <c r="F70">
        <f t="shared" si="17"/>
        <v>68</v>
      </c>
      <c r="G70" t="str">
        <f>_xlfn.LET(_xlpm.custom,_xlfn.XLOOKUP(F70,Data!A:A,Data!C:C),IF(_xlpm.custom="",_xlfn.XLOOKUP(F70,Data!A:A,Data!B:B),_xlpm.custom))</f>
        <v>Black Flute</v>
      </c>
      <c r="H70" t="str">
        <f>_xlfn.XLOOKUP(C70,Data!A:A,Data!E:E)</f>
        <v>General</v>
      </c>
      <c r="J70">
        <f>IF(I70="",C70,_xlfn.XLOOKUP(I70,Data!E:E,Data!A:A,""))</f>
        <v>0</v>
      </c>
      <c r="L70">
        <f t="shared" si="11"/>
        <v>0</v>
      </c>
      <c r="M70">
        <f t="shared" si="12"/>
        <v>0</v>
      </c>
      <c r="N70">
        <f t="shared" si="10"/>
        <v>0</v>
      </c>
      <c r="O70">
        <f t="shared" si="13"/>
        <v>0</v>
      </c>
      <c r="P70">
        <f t="shared" si="14"/>
        <v>0</v>
      </c>
      <c r="R70" t="str">
        <f t="shared" si="15"/>
        <v>00</v>
      </c>
    </row>
    <row r="71" spans="1:18" x14ac:dyDescent="0.4">
      <c r="A71" s="1" t="str">
        <f t="shared" si="18"/>
        <v>022</v>
      </c>
      <c r="B71">
        <f t="shared" si="19"/>
        <v>1</v>
      </c>
      <c r="C71">
        <f>VALUE(MID(Hex!$C$2,1+2*HEX2DEC(A71)+B71,1))</f>
        <v>0</v>
      </c>
      <c r="D71" s="1" t="str">
        <f t="shared" si="16"/>
        <v>045</v>
      </c>
      <c r="E71">
        <f>HEX2DEC(MID(Hex!$C$8,1+HEX2DEC(Edit!D71)*2,2))</f>
        <v>0</v>
      </c>
      <c r="F71">
        <f t="shared" si="17"/>
        <v>69</v>
      </c>
      <c r="G71" t="str">
        <f>_xlfn.LET(_xlpm.custom,_xlfn.XLOOKUP(F71,Data!A:A,Data!C:C),IF(_xlpm.custom="",_xlfn.XLOOKUP(F71,Data!A:A,Data!B:B),_xlpm.custom))</f>
        <v>White Flute</v>
      </c>
      <c r="H71" t="str">
        <f>_xlfn.XLOOKUP(C71,Data!A:A,Data!E:E)</f>
        <v>General</v>
      </c>
      <c r="J71">
        <f>IF(I71="",C71,_xlfn.XLOOKUP(I71,Data!E:E,Data!A:A,""))</f>
        <v>0</v>
      </c>
      <c r="L71">
        <f t="shared" si="11"/>
        <v>0</v>
      </c>
      <c r="M71">
        <f t="shared" si="12"/>
        <v>0</v>
      </c>
      <c r="N71">
        <f t="shared" si="10"/>
        <v>0</v>
      </c>
      <c r="O71">
        <f t="shared" si="13"/>
        <v>0</v>
      </c>
      <c r="P71">
        <f t="shared" si="14"/>
        <v>0</v>
      </c>
      <c r="R71" t="str">
        <f t="shared" si="15"/>
        <v>00</v>
      </c>
    </row>
    <row r="72" spans="1:18" x14ac:dyDescent="0.4">
      <c r="A72" s="1" t="str">
        <f t="shared" si="18"/>
        <v>023</v>
      </c>
      <c r="B72">
        <f t="shared" si="19"/>
        <v>0</v>
      </c>
      <c r="C72">
        <f>VALUE(MID(Hex!$C$2,1+2*HEX2DEC(A72)+B72,1))</f>
        <v>0</v>
      </c>
      <c r="D72" s="1" t="str">
        <f t="shared" si="16"/>
        <v>046</v>
      </c>
      <c r="E72">
        <f>HEX2DEC(MID(Hex!$C$8,1+HEX2DEC(Edit!D72)*2,2))</f>
        <v>0</v>
      </c>
      <c r="F72">
        <f t="shared" si="17"/>
        <v>70</v>
      </c>
      <c r="G72" t="str">
        <f>_xlfn.LET(_xlpm.custom,_xlfn.XLOOKUP(F72,Data!A:A,Data!C:C),IF(_xlpm.custom="",_xlfn.XLOOKUP(F72,Data!A:A,Data!B:B),_xlpm.custom))</f>
        <v>Shoal Salt</v>
      </c>
      <c r="H72" t="str">
        <f>_xlfn.XLOOKUP(C72,Data!A:A,Data!E:E)</f>
        <v>General</v>
      </c>
      <c r="J72">
        <f>IF(I72="",C72,_xlfn.XLOOKUP(I72,Data!E:E,Data!A:A,""))</f>
        <v>0</v>
      </c>
      <c r="L72">
        <f t="shared" si="11"/>
        <v>0</v>
      </c>
      <c r="M72">
        <f t="shared" si="12"/>
        <v>0</v>
      </c>
      <c r="N72">
        <f t="shared" si="10"/>
        <v>0</v>
      </c>
      <c r="O72">
        <f t="shared" si="13"/>
        <v>0</v>
      </c>
      <c r="P72">
        <f t="shared" si="14"/>
        <v>0</v>
      </c>
      <c r="R72" t="str">
        <f t="shared" si="15"/>
        <v>00</v>
      </c>
    </row>
    <row r="73" spans="1:18" x14ac:dyDescent="0.4">
      <c r="A73" s="1" t="str">
        <f t="shared" si="18"/>
        <v>023</v>
      </c>
      <c r="B73">
        <f t="shared" si="19"/>
        <v>1</v>
      </c>
      <c r="C73">
        <f>VALUE(MID(Hex!$C$2,1+2*HEX2DEC(A73)+B73,1))</f>
        <v>0</v>
      </c>
      <c r="D73" s="1" t="str">
        <f t="shared" si="16"/>
        <v>047</v>
      </c>
      <c r="E73">
        <f>HEX2DEC(MID(Hex!$C$8,1+HEX2DEC(Edit!D73)*2,2))</f>
        <v>0</v>
      </c>
      <c r="F73">
        <f t="shared" si="17"/>
        <v>71</v>
      </c>
      <c r="G73" t="str">
        <f>_xlfn.LET(_xlpm.custom,_xlfn.XLOOKUP(F73,Data!A:A,Data!C:C),IF(_xlpm.custom="",_xlfn.XLOOKUP(F73,Data!A:A,Data!B:B),_xlpm.custom))</f>
        <v>Shoal Shell</v>
      </c>
      <c r="H73" t="str">
        <f>_xlfn.XLOOKUP(C73,Data!A:A,Data!E:E)</f>
        <v>General</v>
      </c>
      <c r="J73">
        <f>IF(I73="",C73,_xlfn.XLOOKUP(I73,Data!E:E,Data!A:A,""))</f>
        <v>0</v>
      </c>
      <c r="L73">
        <f t="shared" si="11"/>
        <v>0</v>
      </c>
      <c r="M73">
        <f t="shared" si="12"/>
        <v>0</v>
      </c>
      <c r="N73">
        <f t="shared" si="10"/>
        <v>0</v>
      </c>
      <c r="O73">
        <f t="shared" si="13"/>
        <v>0</v>
      </c>
      <c r="P73">
        <f t="shared" si="14"/>
        <v>0</v>
      </c>
      <c r="R73" t="str">
        <f t="shared" si="15"/>
        <v>00</v>
      </c>
    </row>
    <row r="74" spans="1:18" x14ac:dyDescent="0.4">
      <c r="A74" s="1" t="str">
        <f t="shared" si="18"/>
        <v>024</v>
      </c>
      <c r="B74">
        <f t="shared" si="19"/>
        <v>0</v>
      </c>
      <c r="C74">
        <f>VALUE(MID(Hex!$C$2,1+2*HEX2DEC(A74)+B74,1))</f>
        <v>0</v>
      </c>
      <c r="D74" s="1" t="str">
        <f t="shared" si="16"/>
        <v>048</v>
      </c>
      <c r="E74">
        <f>HEX2DEC(MID(Hex!$C$8,1+HEX2DEC(Edit!D74)*2,2))</f>
        <v>0</v>
      </c>
      <c r="F74">
        <f t="shared" si="17"/>
        <v>72</v>
      </c>
      <c r="G74" t="str">
        <f>_xlfn.LET(_xlpm.custom,_xlfn.XLOOKUP(F74,Data!A:A,Data!C:C),IF(_xlpm.custom="",_xlfn.XLOOKUP(F74,Data!A:A,Data!B:B),_xlpm.custom))</f>
        <v>Red Shard</v>
      </c>
      <c r="H74" t="str">
        <f>_xlfn.XLOOKUP(C74,Data!A:A,Data!E:E)</f>
        <v>General</v>
      </c>
      <c r="J74">
        <f>IF(I74="",C74,_xlfn.XLOOKUP(I74,Data!E:E,Data!A:A,""))</f>
        <v>0</v>
      </c>
      <c r="L74">
        <f t="shared" si="11"/>
        <v>0</v>
      </c>
      <c r="M74">
        <f t="shared" si="12"/>
        <v>0</v>
      </c>
      <c r="N74">
        <f t="shared" si="10"/>
        <v>0</v>
      </c>
      <c r="O74">
        <f t="shared" si="13"/>
        <v>0</v>
      </c>
      <c r="P74">
        <f t="shared" si="14"/>
        <v>0</v>
      </c>
      <c r="R74" t="str">
        <f t="shared" si="15"/>
        <v>00</v>
      </c>
    </row>
    <row r="75" spans="1:18" x14ac:dyDescent="0.4">
      <c r="A75" s="1" t="str">
        <f t="shared" si="18"/>
        <v>024</v>
      </c>
      <c r="B75">
        <f t="shared" si="19"/>
        <v>1</v>
      </c>
      <c r="C75">
        <f>VALUE(MID(Hex!$C$2,1+2*HEX2DEC(A75)+B75,1))</f>
        <v>0</v>
      </c>
      <c r="D75" s="1" t="str">
        <f t="shared" si="16"/>
        <v>049</v>
      </c>
      <c r="E75">
        <f>HEX2DEC(MID(Hex!$C$8,1+HEX2DEC(Edit!D75)*2,2))</f>
        <v>0</v>
      </c>
      <c r="F75">
        <f t="shared" si="17"/>
        <v>73</v>
      </c>
      <c r="G75" t="str">
        <f>_xlfn.LET(_xlpm.custom,_xlfn.XLOOKUP(F75,Data!A:A,Data!C:C),IF(_xlpm.custom="",_xlfn.XLOOKUP(F75,Data!A:A,Data!B:B),_xlpm.custom))</f>
        <v>Blue Shard</v>
      </c>
      <c r="H75" t="str">
        <f>_xlfn.XLOOKUP(C75,Data!A:A,Data!E:E)</f>
        <v>General</v>
      </c>
      <c r="J75">
        <f>IF(I75="",C75,_xlfn.XLOOKUP(I75,Data!E:E,Data!A:A,""))</f>
        <v>0</v>
      </c>
      <c r="L75">
        <f t="shared" si="11"/>
        <v>0</v>
      </c>
      <c r="M75">
        <f t="shared" si="12"/>
        <v>0</v>
      </c>
      <c r="N75">
        <f t="shared" si="10"/>
        <v>0</v>
      </c>
      <c r="O75">
        <f t="shared" si="13"/>
        <v>0</v>
      </c>
      <c r="P75">
        <f t="shared" si="14"/>
        <v>0</v>
      </c>
      <c r="R75" t="str">
        <f t="shared" si="15"/>
        <v>00</v>
      </c>
    </row>
    <row r="76" spans="1:18" x14ac:dyDescent="0.4">
      <c r="A76" s="1" t="str">
        <f t="shared" si="18"/>
        <v>025</v>
      </c>
      <c r="B76">
        <f t="shared" si="19"/>
        <v>0</v>
      </c>
      <c r="C76">
        <f>VALUE(MID(Hex!$C$2,1+2*HEX2DEC(A76)+B76,1))</f>
        <v>0</v>
      </c>
      <c r="D76" s="1" t="str">
        <f t="shared" si="16"/>
        <v>04A</v>
      </c>
      <c r="E76">
        <f>HEX2DEC(MID(Hex!$C$8,1+HEX2DEC(Edit!D76)*2,2))</f>
        <v>0</v>
      </c>
      <c r="F76">
        <f t="shared" si="17"/>
        <v>74</v>
      </c>
      <c r="G76" t="str">
        <f>_xlfn.LET(_xlpm.custom,_xlfn.XLOOKUP(F76,Data!A:A,Data!C:C),IF(_xlpm.custom="",_xlfn.XLOOKUP(F76,Data!A:A,Data!B:B),_xlpm.custom))</f>
        <v>Yellow Shard</v>
      </c>
      <c r="H76" t="str">
        <f>_xlfn.XLOOKUP(C76,Data!A:A,Data!E:E)</f>
        <v>General</v>
      </c>
      <c r="J76">
        <f>IF(I76="",C76,_xlfn.XLOOKUP(I76,Data!E:E,Data!A:A,""))</f>
        <v>0</v>
      </c>
      <c r="L76">
        <f t="shared" si="11"/>
        <v>0</v>
      </c>
      <c r="M76">
        <f t="shared" si="12"/>
        <v>0</v>
      </c>
      <c r="N76">
        <f t="shared" si="10"/>
        <v>0</v>
      </c>
      <c r="O76">
        <f t="shared" si="13"/>
        <v>0</v>
      </c>
      <c r="P76">
        <f t="shared" si="14"/>
        <v>0</v>
      </c>
      <c r="R76" t="str">
        <f t="shared" si="15"/>
        <v>00</v>
      </c>
    </row>
    <row r="77" spans="1:18" x14ac:dyDescent="0.4">
      <c r="A77" s="1" t="str">
        <f t="shared" si="18"/>
        <v>025</v>
      </c>
      <c r="B77">
        <f t="shared" si="19"/>
        <v>1</v>
      </c>
      <c r="C77">
        <f>VALUE(MID(Hex!$C$2,1+2*HEX2DEC(A77)+B77,1))</f>
        <v>0</v>
      </c>
      <c r="D77" s="1" t="str">
        <f t="shared" si="16"/>
        <v>04B</v>
      </c>
      <c r="E77">
        <f>HEX2DEC(MID(Hex!$C$8,1+HEX2DEC(Edit!D77)*2,2))</f>
        <v>0</v>
      </c>
      <c r="F77">
        <f t="shared" si="17"/>
        <v>75</v>
      </c>
      <c r="G77" t="str">
        <f>_xlfn.LET(_xlpm.custom,_xlfn.XLOOKUP(F77,Data!A:A,Data!C:C),IF(_xlpm.custom="",_xlfn.XLOOKUP(F77,Data!A:A,Data!B:B),_xlpm.custom))</f>
        <v>Green Shard</v>
      </c>
      <c r="H77" t="str">
        <f>_xlfn.XLOOKUP(C77,Data!A:A,Data!E:E)</f>
        <v>General</v>
      </c>
      <c r="J77">
        <f>IF(I77="",C77,_xlfn.XLOOKUP(I77,Data!E:E,Data!A:A,""))</f>
        <v>0</v>
      </c>
      <c r="L77">
        <f t="shared" si="11"/>
        <v>0</v>
      </c>
      <c r="M77">
        <f t="shared" si="12"/>
        <v>0</v>
      </c>
      <c r="N77">
        <f t="shared" si="10"/>
        <v>0</v>
      </c>
      <c r="O77">
        <f t="shared" si="13"/>
        <v>0</v>
      </c>
      <c r="P77">
        <f t="shared" si="14"/>
        <v>0</v>
      </c>
      <c r="R77" t="str">
        <f t="shared" si="15"/>
        <v>00</v>
      </c>
    </row>
    <row r="78" spans="1:18" x14ac:dyDescent="0.4">
      <c r="A78" s="1" t="str">
        <f t="shared" si="18"/>
        <v>026</v>
      </c>
      <c r="B78">
        <f t="shared" si="19"/>
        <v>0</v>
      </c>
      <c r="C78">
        <f>VALUE(MID(Hex!$C$2,1+2*HEX2DEC(A78)+B78,1))</f>
        <v>0</v>
      </c>
      <c r="D78" s="1" t="str">
        <f t="shared" si="16"/>
        <v>04C</v>
      </c>
      <c r="E78">
        <f>HEX2DEC(MID(Hex!$C$8,1+HEX2DEC(Edit!D78)*2,2))</f>
        <v>0</v>
      </c>
      <c r="F78">
        <f t="shared" si="17"/>
        <v>76</v>
      </c>
      <c r="G78" t="str">
        <f>_xlfn.LET(_xlpm.custom,_xlfn.XLOOKUP(F78,Data!A:A,Data!C:C),IF(_xlpm.custom="",_xlfn.XLOOKUP(F78,Data!A:A,Data!B:B),_xlpm.custom))</f>
        <v>Super Repel</v>
      </c>
      <c r="H78" t="str">
        <f>_xlfn.XLOOKUP(C78,Data!A:A,Data!E:E)</f>
        <v>General</v>
      </c>
      <c r="J78">
        <f>IF(I78="",C78,_xlfn.XLOOKUP(I78,Data!E:E,Data!A:A,""))</f>
        <v>0</v>
      </c>
      <c r="L78">
        <f t="shared" si="11"/>
        <v>0</v>
      </c>
      <c r="M78">
        <f t="shared" si="12"/>
        <v>0</v>
      </c>
      <c r="N78">
        <f t="shared" si="10"/>
        <v>0</v>
      </c>
      <c r="O78">
        <f t="shared" si="13"/>
        <v>0</v>
      </c>
      <c r="P78">
        <f t="shared" si="14"/>
        <v>0</v>
      </c>
      <c r="R78" t="str">
        <f t="shared" si="15"/>
        <v>00</v>
      </c>
    </row>
    <row r="79" spans="1:18" x14ac:dyDescent="0.4">
      <c r="A79" s="1" t="str">
        <f t="shared" si="18"/>
        <v>026</v>
      </c>
      <c r="B79">
        <f t="shared" si="19"/>
        <v>1</v>
      </c>
      <c r="C79">
        <f>VALUE(MID(Hex!$C$2,1+2*HEX2DEC(A79)+B79,1))</f>
        <v>0</v>
      </c>
      <c r="D79" s="1" t="str">
        <f t="shared" si="16"/>
        <v>04D</v>
      </c>
      <c r="E79">
        <f>HEX2DEC(MID(Hex!$C$8,1+HEX2DEC(Edit!D79)*2,2))</f>
        <v>0</v>
      </c>
      <c r="F79">
        <f t="shared" si="17"/>
        <v>77</v>
      </c>
      <c r="G79" t="str">
        <f>_xlfn.LET(_xlpm.custom,_xlfn.XLOOKUP(F79,Data!A:A,Data!C:C),IF(_xlpm.custom="",_xlfn.XLOOKUP(F79,Data!A:A,Data!B:B),_xlpm.custom))</f>
        <v>Max Repel</v>
      </c>
      <c r="H79" t="str">
        <f>_xlfn.XLOOKUP(C79,Data!A:A,Data!E:E)</f>
        <v>General</v>
      </c>
      <c r="J79">
        <f>IF(I79="",C79,_xlfn.XLOOKUP(I79,Data!E:E,Data!A:A,""))</f>
        <v>0</v>
      </c>
      <c r="L79">
        <f t="shared" si="11"/>
        <v>0</v>
      </c>
      <c r="M79">
        <f t="shared" si="12"/>
        <v>0</v>
      </c>
      <c r="N79">
        <f t="shared" si="10"/>
        <v>0</v>
      </c>
      <c r="O79">
        <f t="shared" si="13"/>
        <v>0</v>
      </c>
      <c r="P79">
        <f t="shared" si="14"/>
        <v>0</v>
      </c>
      <c r="R79" t="str">
        <f t="shared" si="15"/>
        <v>00</v>
      </c>
    </row>
    <row r="80" spans="1:18" x14ac:dyDescent="0.4">
      <c r="A80" s="1" t="str">
        <f t="shared" si="18"/>
        <v>027</v>
      </c>
      <c r="B80">
        <f t="shared" si="19"/>
        <v>0</v>
      </c>
      <c r="C80">
        <f>VALUE(MID(Hex!$C$2,1+2*HEX2DEC(A80)+B80,1))</f>
        <v>0</v>
      </c>
      <c r="D80" s="1" t="str">
        <f t="shared" si="16"/>
        <v>04E</v>
      </c>
      <c r="E80">
        <f>HEX2DEC(MID(Hex!$C$8,1+HEX2DEC(Edit!D80)*2,2))</f>
        <v>0</v>
      </c>
      <c r="F80">
        <f t="shared" si="17"/>
        <v>78</v>
      </c>
      <c r="G80" t="str">
        <f>_xlfn.LET(_xlpm.custom,_xlfn.XLOOKUP(F80,Data!A:A,Data!C:C),IF(_xlpm.custom="",_xlfn.XLOOKUP(F80,Data!A:A,Data!B:B),_xlpm.custom))</f>
        <v>Escape Rope</v>
      </c>
      <c r="H80" t="str">
        <f>_xlfn.XLOOKUP(C80,Data!A:A,Data!E:E)</f>
        <v>General</v>
      </c>
      <c r="J80">
        <f>IF(I80="",C80,_xlfn.XLOOKUP(I80,Data!E:E,Data!A:A,""))</f>
        <v>0</v>
      </c>
      <c r="L80">
        <f t="shared" si="11"/>
        <v>0</v>
      </c>
      <c r="M80">
        <f t="shared" si="12"/>
        <v>0</v>
      </c>
      <c r="N80">
        <f t="shared" si="10"/>
        <v>0</v>
      </c>
      <c r="O80">
        <f t="shared" si="13"/>
        <v>0</v>
      </c>
      <c r="P80">
        <f t="shared" si="14"/>
        <v>0</v>
      </c>
      <c r="R80" t="str">
        <f t="shared" si="15"/>
        <v>00</v>
      </c>
    </row>
    <row r="81" spans="1:18" x14ac:dyDescent="0.4">
      <c r="A81" s="1" t="str">
        <f t="shared" si="18"/>
        <v>027</v>
      </c>
      <c r="B81">
        <f t="shared" si="19"/>
        <v>1</v>
      </c>
      <c r="C81">
        <f>VALUE(MID(Hex!$C$2,1+2*HEX2DEC(A81)+B81,1))</f>
        <v>0</v>
      </c>
      <c r="D81" s="1" t="str">
        <f t="shared" si="16"/>
        <v>04F</v>
      </c>
      <c r="E81">
        <f>HEX2DEC(MID(Hex!$C$8,1+HEX2DEC(Edit!D81)*2,2))</f>
        <v>0</v>
      </c>
      <c r="F81">
        <f t="shared" si="17"/>
        <v>79</v>
      </c>
      <c r="G81" t="str">
        <f>_xlfn.LET(_xlpm.custom,_xlfn.XLOOKUP(F81,Data!A:A,Data!C:C),IF(_xlpm.custom="",_xlfn.XLOOKUP(F81,Data!A:A,Data!B:B),_xlpm.custom))</f>
        <v>Repel</v>
      </c>
      <c r="H81" t="str">
        <f>_xlfn.XLOOKUP(C81,Data!A:A,Data!E:E)</f>
        <v>General</v>
      </c>
      <c r="J81">
        <f>IF(I81="",C81,_xlfn.XLOOKUP(I81,Data!E:E,Data!A:A,""))</f>
        <v>0</v>
      </c>
      <c r="L81">
        <f t="shared" si="11"/>
        <v>0</v>
      </c>
      <c r="M81">
        <f t="shared" si="12"/>
        <v>0</v>
      </c>
      <c r="N81">
        <f t="shared" si="10"/>
        <v>0</v>
      </c>
      <c r="O81">
        <f t="shared" si="13"/>
        <v>0</v>
      </c>
      <c r="P81">
        <f t="shared" si="14"/>
        <v>0</v>
      </c>
      <c r="R81" t="str">
        <f t="shared" si="15"/>
        <v>00</v>
      </c>
    </row>
    <row r="82" spans="1:18" x14ac:dyDescent="0.4">
      <c r="A82" s="1" t="str">
        <f t="shared" si="18"/>
        <v>028</v>
      </c>
      <c r="B82">
        <f t="shared" si="19"/>
        <v>0</v>
      </c>
      <c r="C82">
        <f>VALUE(MID(Hex!$C$2,1+2*HEX2DEC(A82)+B82,1))</f>
        <v>0</v>
      </c>
      <c r="D82" s="1" t="str">
        <f t="shared" si="16"/>
        <v>050</v>
      </c>
      <c r="E82">
        <f>HEX2DEC(MID(Hex!$C$8,1+HEX2DEC(Edit!D82)*2,2))</f>
        <v>0</v>
      </c>
      <c r="F82">
        <f t="shared" si="17"/>
        <v>80</v>
      </c>
      <c r="G82" t="str">
        <f>_xlfn.LET(_xlpm.custom,_xlfn.XLOOKUP(F82,Data!A:A,Data!C:C),IF(_xlpm.custom="",_xlfn.XLOOKUP(F82,Data!A:A,Data!B:B),_xlpm.custom))</f>
        <v>Sun Stone</v>
      </c>
      <c r="H82" t="str">
        <f>_xlfn.XLOOKUP(C82,Data!A:A,Data!E:E)</f>
        <v>General</v>
      </c>
      <c r="J82">
        <f>IF(I82="",C82,_xlfn.XLOOKUP(I82,Data!E:E,Data!A:A,""))</f>
        <v>0</v>
      </c>
      <c r="L82">
        <f t="shared" si="11"/>
        <v>0</v>
      </c>
      <c r="M82">
        <f t="shared" si="12"/>
        <v>0</v>
      </c>
      <c r="N82">
        <f t="shared" si="10"/>
        <v>0</v>
      </c>
      <c r="O82">
        <f t="shared" si="13"/>
        <v>0</v>
      </c>
      <c r="P82">
        <f t="shared" si="14"/>
        <v>0</v>
      </c>
      <c r="R82" t="str">
        <f t="shared" si="15"/>
        <v>00</v>
      </c>
    </row>
    <row r="83" spans="1:18" x14ac:dyDescent="0.4">
      <c r="A83" s="1" t="str">
        <f t="shared" si="18"/>
        <v>028</v>
      </c>
      <c r="B83">
        <f t="shared" si="19"/>
        <v>1</v>
      </c>
      <c r="C83">
        <f>VALUE(MID(Hex!$C$2,1+2*HEX2DEC(A83)+B83,1))</f>
        <v>0</v>
      </c>
      <c r="D83" s="1" t="str">
        <f t="shared" si="16"/>
        <v>051</v>
      </c>
      <c r="E83">
        <f>HEX2DEC(MID(Hex!$C$8,1+HEX2DEC(Edit!D83)*2,2))</f>
        <v>0</v>
      </c>
      <c r="F83">
        <f t="shared" si="17"/>
        <v>81</v>
      </c>
      <c r="G83" t="str">
        <f>_xlfn.LET(_xlpm.custom,_xlfn.XLOOKUP(F83,Data!A:A,Data!C:C),IF(_xlpm.custom="",_xlfn.XLOOKUP(F83,Data!A:A,Data!B:B),_xlpm.custom))</f>
        <v>Moon Stone</v>
      </c>
      <c r="H83" t="str">
        <f>_xlfn.XLOOKUP(C83,Data!A:A,Data!E:E)</f>
        <v>General</v>
      </c>
      <c r="J83">
        <f>IF(I83="",C83,_xlfn.XLOOKUP(I83,Data!E:E,Data!A:A,""))</f>
        <v>0</v>
      </c>
      <c r="L83">
        <f t="shared" si="11"/>
        <v>0</v>
      </c>
      <c r="M83">
        <f t="shared" si="12"/>
        <v>0</v>
      </c>
      <c r="N83">
        <f t="shared" si="10"/>
        <v>0</v>
      </c>
      <c r="O83">
        <f t="shared" si="13"/>
        <v>0</v>
      </c>
      <c r="P83">
        <f t="shared" si="14"/>
        <v>0</v>
      </c>
      <c r="R83" t="str">
        <f t="shared" si="15"/>
        <v>00</v>
      </c>
    </row>
    <row r="84" spans="1:18" x14ac:dyDescent="0.4">
      <c r="A84" s="1" t="str">
        <f t="shared" si="18"/>
        <v>029</v>
      </c>
      <c r="B84">
        <f t="shared" si="19"/>
        <v>0</v>
      </c>
      <c r="C84">
        <f>VALUE(MID(Hex!$C$2,1+2*HEX2DEC(A84)+B84,1))</f>
        <v>0</v>
      </c>
      <c r="D84" s="1" t="str">
        <f t="shared" si="16"/>
        <v>052</v>
      </c>
      <c r="E84">
        <f>HEX2DEC(MID(Hex!$C$8,1+HEX2DEC(Edit!D84)*2,2))</f>
        <v>0</v>
      </c>
      <c r="F84">
        <f t="shared" si="17"/>
        <v>82</v>
      </c>
      <c r="G84" t="str">
        <f>_xlfn.LET(_xlpm.custom,_xlfn.XLOOKUP(F84,Data!A:A,Data!C:C),IF(_xlpm.custom="",_xlfn.XLOOKUP(F84,Data!A:A,Data!B:B),_xlpm.custom))</f>
        <v>Fire Stone</v>
      </c>
      <c r="H84" t="str">
        <f>_xlfn.XLOOKUP(C84,Data!A:A,Data!E:E)</f>
        <v>General</v>
      </c>
      <c r="J84">
        <f>IF(I84="",C84,_xlfn.XLOOKUP(I84,Data!E:E,Data!A:A,""))</f>
        <v>0</v>
      </c>
      <c r="L84">
        <f t="shared" si="11"/>
        <v>0</v>
      </c>
      <c r="M84">
        <f t="shared" si="12"/>
        <v>0</v>
      </c>
      <c r="N84">
        <f t="shared" si="10"/>
        <v>0</v>
      </c>
      <c r="O84">
        <f t="shared" si="13"/>
        <v>0</v>
      </c>
      <c r="P84">
        <f t="shared" si="14"/>
        <v>0</v>
      </c>
      <c r="R84" t="str">
        <f t="shared" si="15"/>
        <v>00</v>
      </c>
    </row>
    <row r="85" spans="1:18" x14ac:dyDescent="0.4">
      <c r="A85" s="1" t="str">
        <f t="shared" si="18"/>
        <v>029</v>
      </c>
      <c r="B85">
        <f t="shared" si="19"/>
        <v>1</v>
      </c>
      <c r="C85">
        <f>VALUE(MID(Hex!$C$2,1+2*HEX2DEC(A85)+B85,1))</f>
        <v>0</v>
      </c>
      <c r="D85" s="1" t="str">
        <f t="shared" si="16"/>
        <v>053</v>
      </c>
      <c r="E85">
        <f>HEX2DEC(MID(Hex!$C$8,1+HEX2DEC(Edit!D85)*2,2))</f>
        <v>0</v>
      </c>
      <c r="F85">
        <f t="shared" si="17"/>
        <v>83</v>
      </c>
      <c r="G85" t="str">
        <f>_xlfn.LET(_xlpm.custom,_xlfn.XLOOKUP(F85,Data!A:A,Data!C:C),IF(_xlpm.custom="",_xlfn.XLOOKUP(F85,Data!A:A,Data!B:B),_xlpm.custom))</f>
        <v>Thunder Stone</v>
      </c>
      <c r="H85" t="str">
        <f>_xlfn.XLOOKUP(C85,Data!A:A,Data!E:E)</f>
        <v>General</v>
      </c>
      <c r="J85">
        <f>IF(I85="",C85,_xlfn.XLOOKUP(I85,Data!E:E,Data!A:A,""))</f>
        <v>0</v>
      </c>
      <c r="L85">
        <f t="shared" si="11"/>
        <v>0</v>
      </c>
      <c r="M85">
        <f t="shared" si="12"/>
        <v>0</v>
      </c>
      <c r="N85">
        <f t="shared" ref="N85:N148" si="20">_xlfn.BITAND($E85,4)</f>
        <v>0</v>
      </c>
      <c r="O85">
        <f t="shared" si="13"/>
        <v>0</v>
      </c>
      <c r="P85">
        <f t="shared" si="14"/>
        <v>0</v>
      </c>
      <c r="R85" t="str">
        <f t="shared" si="15"/>
        <v>00</v>
      </c>
    </row>
    <row r="86" spans="1:18" x14ac:dyDescent="0.4">
      <c r="A86" s="1" t="str">
        <f t="shared" si="18"/>
        <v>02A</v>
      </c>
      <c r="B86">
        <f t="shared" si="19"/>
        <v>0</v>
      </c>
      <c r="C86">
        <f>VALUE(MID(Hex!$C$2,1+2*HEX2DEC(A86)+B86,1))</f>
        <v>0</v>
      </c>
      <c r="D86" s="1" t="str">
        <f t="shared" si="16"/>
        <v>054</v>
      </c>
      <c r="E86">
        <f>HEX2DEC(MID(Hex!$C$8,1+HEX2DEC(Edit!D86)*2,2))</f>
        <v>0</v>
      </c>
      <c r="F86">
        <f t="shared" si="17"/>
        <v>84</v>
      </c>
      <c r="G86" t="str">
        <f>_xlfn.LET(_xlpm.custom,_xlfn.XLOOKUP(F86,Data!A:A,Data!C:C),IF(_xlpm.custom="",_xlfn.XLOOKUP(F86,Data!A:A,Data!B:B),_xlpm.custom))</f>
        <v>Water Stone</v>
      </c>
      <c r="H86" t="str">
        <f>_xlfn.XLOOKUP(C86,Data!A:A,Data!E:E)</f>
        <v>General</v>
      </c>
      <c r="J86">
        <f>IF(I86="",C86,_xlfn.XLOOKUP(I86,Data!E:E,Data!A:A,""))</f>
        <v>0</v>
      </c>
      <c r="L86">
        <f t="shared" si="11"/>
        <v>0</v>
      </c>
      <c r="M86">
        <f t="shared" si="12"/>
        <v>0</v>
      </c>
      <c r="N86">
        <f t="shared" si="20"/>
        <v>0</v>
      </c>
      <c r="O86">
        <f t="shared" si="13"/>
        <v>0</v>
      </c>
      <c r="P86">
        <f t="shared" si="14"/>
        <v>0</v>
      </c>
      <c r="R86" t="str">
        <f t="shared" si="15"/>
        <v>00</v>
      </c>
    </row>
    <row r="87" spans="1:18" x14ac:dyDescent="0.4">
      <c r="A87" s="1" t="str">
        <f t="shared" si="18"/>
        <v>02A</v>
      </c>
      <c r="B87">
        <f t="shared" si="19"/>
        <v>1</v>
      </c>
      <c r="C87">
        <f>VALUE(MID(Hex!$C$2,1+2*HEX2DEC(A87)+B87,1))</f>
        <v>0</v>
      </c>
      <c r="D87" s="1" t="str">
        <f t="shared" si="16"/>
        <v>055</v>
      </c>
      <c r="E87">
        <f>HEX2DEC(MID(Hex!$C$8,1+HEX2DEC(Edit!D87)*2,2))</f>
        <v>0</v>
      </c>
      <c r="F87">
        <f t="shared" si="17"/>
        <v>85</v>
      </c>
      <c r="G87" t="str">
        <f>_xlfn.LET(_xlpm.custom,_xlfn.XLOOKUP(F87,Data!A:A,Data!C:C),IF(_xlpm.custom="",_xlfn.XLOOKUP(F87,Data!A:A,Data!B:B),_xlpm.custom))</f>
        <v>Leaf Stone</v>
      </c>
      <c r="H87" t="str">
        <f>_xlfn.XLOOKUP(C87,Data!A:A,Data!E:E)</f>
        <v>General</v>
      </c>
      <c r="J87">
        <f>IF(I87="",C87,_xlfn.XLOOKUP(I87,Data!E:E,Data!A:A,""))</f>
        <v>0</v>
      </c>
      <c r="L87">
        <f t="shared" si="11"/>
        <v>0</v>
      </c>
      <c r="M87">
        <f t="shared" si="12"/>
        <v>0</v>
      </c>
      <c r="N87">
        <f t="shared" si="20"/>
        <v>0</v>
      </c>
      <c r="O87">
        <f t="shared" si="13"/>
        <v>0</v>
      </c>
      <c r="P87">
        <f t="shared" si="14"/>
        <v>0</v>
      </c>
      <c r="R87" t="str">
        <f t="shared" si="15"/>
        <v>00</v>
      </c>
    </row>
    <row r="88" spans="1:18" x14ac:dyDescent="0.4">
      <c r="A88" s="1" t="str">
        <f t="shared" si="18"/>
        <v>02B</v>
      </c>
      <c r="B88">
        <f t="shared" si="19"/>
        <v>0</v>
      </c>
      <c r="C88">
        <f>VALUE(MID(Hex!$C$2,1+2*HEX2DEC(A88)+B88,1))</f>
        <v>0</v>
      </c>
      <c r="D88" s="1" t="str">
        <f t="shared" si="16"/>
        <v>056</v>
      </c>
      <c r="E88">
        <f>HEX2DEC(MID(Hex!$C$8,1+HEX2DEC(Edit!D88)*2,2))</f>
        <v>0</v>
      </c>
      <c r="F88">
        <f t="shared" si="17"/>
        <v>86</v>
      </c>
      <c r="G88" t="str">
        <f>_xlfn.LET(_xlpm.custom,_xlfn.XLOOKUP(F88,Data!A:A,Data!C:C),IF(_xlpm.custom="",_xlfn.XLOOKUP(F88,Data!A:A,Data!B:B),_xlpm.custom))</f>
        <v>Tiny Mushroom</v>
      </c>
      <c r="H88" t="str">
        <f>_xlfn.XLOOKUP(C88,Data!A:A,Data!E:E)</f>
        <v>General</v>
      </c>
      <c r="J88">
        <f>IF(I88="",C88,_xlfn.XLOOKUP(I88,Data!E:E,Data!A:A,""))</f>
        <v>0</v>
      </c>
      <c r="L88">
        <f t="shared" si="11"/>
        <v>0</v>
      </c>
      <c r="M88">
        <f t="shared" si="12"/>
        <v>0</v>
      </c>
      <c r="N88">
        <f t="shared" si="20"/>
        <v>0</v>
      </c>
      <c r="O88">
        <f t="shared" si="13"/>
        <v>0</v>
      </c>
      <c r="P88">
        <f t="shared" si="14"/>
        <v>0</v>
      </c>
      <c r="R88" t="str">
        <f t="shared" si="15"/>
        <v>00</v>
      </c>
    </row>
    <row r="89" spans="1:18" x14ac:dyDescent="0.4">
      <c r="A89" s="1" t="str">
        <f t="shared" si="18"/>
        <v>02B</v>
      </c>
      <c r="B89">
        <f t="shared" si="19"/>
        <v>1</v>
      </c>
      <c r="C89">
        <f>VALUE(MID(Hex!$C$2,1+2*HEX2DEC(A89)+B89,1))</f>
        <v>0</v>
      </c>
      <c r="D89" s="1" t="str">
        <f t="shared" si="16"/>
        <v>057</v>
      </c>
      <c r="E89">
        <f>HEX2DEC(MID(Hex!$C$8,1+HEX2DEC(Edit!D89)*2,2))</f>
        <v>0</v>
      </c>
      <c r="F89">
        <f t="shared" si="17"/>
        <v>87</v>
      </c>
      <c r="G89" t="str">
        <f>_xlfn.LET(_xlpm.custom,_xlfn.XLOOKUP(F89,Data!A:A,Data!C:C),IF(_xlpm.custom="",_xlfn.XLOOKUP(F89,Data!A:A,Data!B:B),_xlpm.custom))</f>
        <v>Big Mushroom</v>
      </c>
      <c r="H89" t="str">
        <f>_xlfn.XLOOKUP(C89,Data!A:A,Data!E:E)</f>
        <v>General</v>
      </c>
      <c r="J89">
        <f>IF(I89="",C89,_xlfn.XLOOKUP(I89,Data!E:E,Data!A:A,""))</f>
        <v>0</v>
      </c>
      <c r="L89">
        <f t="shared" si="11"/>
        <v>0</v>
      </c>
      <c r="M89">
        <f t="shared" si="12"/>
        <v>0</v>
      </c>
      <c r="N89">
        <f t="shared" si="20"/>
        <v>0</v>
      </c>
      <c r="O89">
        <f t="shared" si="13"/>
        <v>0</v>
      </c>
      <c r="P89">
        <f t="shared" si="14"/>
        <v>0</v>
      </c>
      <c r="R89" t="str">
        <f t="shared" si="15"/>
        <v>00</v>
      </c>
    </row>
    <row r="90" spans="1:18" x14ac:dyDescent="0.4">
      <c r="A90" s="1" t="str">
        <f t="shared" si="18"/>
        <v>02C</v>
      </c>
      <c r="B90">
        <f t="shared" si="19"/>
        <v>0</v>
      </c>
      <c r="C90">
        <f>VALUE(MID(Hex!$C$2,1+2*HEX2DEC(A90)+B90,1))</f>
        <v>0</v>
      </c>
      <c r="D90" s="1" t="str">
        <f t="shared" si="16"/>
        <v>058</v>
      </c>
      <c r="E90">
        <f>HEX2DEC(MID(Hex!$C$8,1+HEX2DEC(Edit!D90)*2,2))</f>
        <v>0</v>
      </c>
      <c r="F90">
        <f t="shared" si="17"/>
        <v>88</v>
      </c>
      <c r="G90" t="str">
        <f>_xlfn.LET(_xlpm.custom,_xlfn.XLOOKUP(F90,Data!A:A,Data!C:C),IF(_xlpm.custom="",_xlfn.XLOOKUP(F90,Data!A:A,Data!B:B),_xlpm.custom))</f>
        <v>Pearl</v>
      </c>
      <c r="H90" t="str">
        <f>_xlfn.XLOOKUP(C90,Data!A:A,Data!E:E)</f>
        <v>General</v>
      </c>
      <c r="J90">
        <f>IF(I90="",C90,_xlfn.XLOOKUP(I90,Data!E:E,Data!A:A,""))</f>
        <v>0</v>
      </c>
      <c r="L90">
        <f t="shared" si="11"/>
        <v>0</v>
      </c>
      <c r="M90">
        <f t="shared" si="12"/>
        <v>0</v>
      </c>
      <c r="N90">
        <f t="shared" si="20"/>
        <v>0</v>
      </c>
      <c r="O90">
        <f t="shared" si="13"/>
        <v>0</v>
      </c>
      <c r="P90">
        <f t="shared" si="14"/>
        <v>0</v>
      </c>
      <c r="R90" t="str">
        <f t="shared" si="15"/>
        <v>00</v>
      </c>
    </row>
    <row r="91" spans="1:18" x14ac:dyDescent="0.4">
      <c r="A91" s="1" t="str">
        <f t="shared" si="18"/>
        <v>02C</v>
      </c>
      <c r="B91">
        <f t="shared" si="19"/>
        <v>1</v>
      </c>
      <c r="C91">
        <f>VALUE(MID(Hex!$C$2,1+2*HEX2DEC(A91)+B91,1))</f>
        <v>0</v>
      </c>
      <c r="D91" s="1" t="str">
        <f t="shared" si="16"/>
        <v>059</v>
      </c>
      <c r="E91">
        <f>HEX2DEC(MID(Hex!$C$8,1+HEX2DEC(Edit!D91)*2,2))</f>
        <v>0</v>
      </c>
      <c r="F91">
        <f t="shared" si="17"/>
        <v>89</v>
      </c>
      <c r="G91" t="str">
        <f>_xlfn.LET(_xlpm.custom,_xlfn.XLOOKUP(F91,Data!A:A,Data!C:C),IF(_xlpm.custom="",_xlfn.XLOOKUP(F91,Data!A:A,Data!B:B),_xlpm.custom))</f>
        <v>Big Pearl</v>
      </c>
      <c r="H91" t="str">
        <f>_xlfn.XLOOKUP(C91,Data!A:A,Data!E:E)</f>
        <v>General</v>
      </c>
      <c r="J91">
        <f>IF(I91="",C91,_xlfn.XLOOKUP(I91,Data!E:E,Data!A:A,""))</f>
        <v>0</v>
      </c>
      <c r="L91">
        <f t="shared" si="11"/>
        <v>0</v>
      </c>
      <c r="M91">
        <f t="shared" si="12"/>
        <v>0</v>
      </c>
      <c r="N91">
        <f t="shared" si="20"/>
        <v>0</v>
      </c>
      <c r="O91">
        <f t="shared" si="13"/>
        <v>0</v>
      </c>
      <c r="P91">
        <f t="shared" si="14"/>
        <v>0</v>
      </c>
      <c r="R91" t="str">
        <f t="shared" si="15"/>
        <v>00</v>
      </c>
    </row>
    <row r="92" spans="1:18" x14ac:dyDescent="0.4">
      <c r="A92" s="1" t="str">
        <f t="shared" si="18"/>
        <v>02D</v>
      </c>
      <c r="B92">
        <f t="shared" si="19"/>
        <v>0</v>
      </c>
      <c r="C92">
        <f>VALUE(MID(Hex!$C$2,1+2*HEX2DEC(A92)+B92,1))</f>
        <v>0</v>
      </c>
      <c r="D92" s="1" t="str">
        <f t="shared" si="16"/>
        <v>05A</v>
      </c>
      <c r="E92">
        <f>HEX2DEC(MID(Hex!$C$8,1+HEX2DEC(Edit!D92)*2,2))</f>
        <v>0</v>
      </c>
      <c r="F92">
        <f t="shared" si="17"/>
        <v>90</v>
      </c>
      <c r="G92" t="str">
        <f>_xlfn.LET(_xlpm.custom,_xlfn.XLOOKUP(F92,Data!A:A,Data!C:C),IF(_xlpm.custom="",_xlfn.XLOOKUP(F92,Data!A:A,Data!B:B),_xlpm.custom))</f>
        <v>Stardust</v>
      </c>
      <c r="H92" t="str">
        <f>_xlfn.XLOOKUP(C92,Data!A:A,Data!E:E)</f>
        <v>General</v>
      </c>
      <c r="J92">
        <f>IF(I92="",C92,_xlfn.XLOOKUP(I92,Data!E:E,Data!A:A,""))</f>
        <v>0</v>
      </c>
      <c r="L92">
        <f t="shared" si="11"/>
        <v>0</v>
      </c>
      <c r="M92">
        <f t="shared" si="12"/>
        <v>0</v>
      </c>
      <c r="N92">
        <f t="shared" si="20"/>
        <v>0</v>
      </c>
      <c r="O92">
        <f t="shared" si="13"/>
        <v>0</v>
      </c>
      <c r="P92">
        <f t="shared" si="14"/>
        <v>0</v>
      </c>
      <c r="R92" t="str">
        <f t="shared" si="15"/>
        <v>00</v>
      </c>
    </row>
    <row r="93" spans="1:18" x14ac:dyDescent="0.4">
      <c r="A93" s="1" t="str">
        <f t="shared" si="18"/>
        <v>02D</v>
      </c>
      <c r="B93">
        <f t="shared" si="19"/>
        <v>1</v>
      </c>
      <c r="C93">
        <f>VALUE(MID(Hex!$C$2,1+2*HEX2DEC(A93)+B93,1))</f>
        <v>0</v>
      </c>
      <c r="D93" s="1" t="str">
        <f t="shared" si="16"/>
        <v>05B</v>
      </c>
      <c r="E93">
        <f>HEX2DEC(MID(Hex!$C$8,1+HEX2DEC(Edit!D93)*2,2))</f>
        <v>0</v>
      </c>
      <c r="F93">
        <f t="shared" si="17"/>
        <v>91</v>
      </c>
      <c r="G93" t="str">
        <f>_xlfn.LET(_xlpm.custom,_xlfn.XLOOKUP(F93,Data!A:A,Data!C:C),IF(_xlpm.custom="",_xlfn.XLOOKUP(F93,Data!A:A,Data!B:B),_xlpm.custom))</f>
        <v>Star Piece</v>
      </c>
      <c r="H93" t="str">
        <f>_xlfn.XLOOKUP(C93,Data!A:A,Data!E:E)</f>
        <v>General</v>
      </c>
      <c r="J93">
        <f>IF(I93="",C93,_xlfn.XLOOKUP(I93,Data!E:E,Data!A:A,""))</f>
        <v>0</v>
      </c>
      <c r="L93">
        <f t="shared" si="11"/>
        <v>0</v>
      </c>
      <c r="M93">
        <f t="shared" si="12"/>
        <v>0</v>
      </c>
      <c r="N93">
        <f t="shared" si="20"/>
        <v>0</v>
      </c>
      <c r="O93">
        <f t="shared" si="13"/>
        <v>0</v>
      </c>
      <c r="P93">
        <f t="shared" si="14"/>
        <v>0</v>
      </c>
      <c r="R93" t="str">
        <f t="shared" si="15"/>
        <v>00</v>
      </c>
    </row>
    <row r="94" spans="1:18" x14ac:dyDescent="0.4">
      <c r="A94" s="1" t="str">
        <f t="shared" si="18"/>
        <v>02E</v>
      </c>
      <c r="B94">
        <f t="shared" si="19"/>
        <v>0</v>
      </c>
      <c r="C94">
        <f>VALUE(MID(Hex!$C$2,1+2*HEX2DEC(A94)+B94,1))</f>
        <v>0</v>
      </c>
      <c r="D94" s="1" t="str">
        <f t="shared" si="16"/>
        <v>05C</v>
      </c>
      <c r="E94">
        <f>HEX2DEC(MID(Hex!$C$8,1+HEX2DEC(Edit!D94)*2,2))</f>
        <v>0</v>
      </c>
      <c r="F94">
        <f t="shared" si="17"/>
        <v>92</v>
      </c>
      <c r="G94" t="str">
        <f>_xlfn.LET(_xlpm.custom,_xlfn.XLOOKUP(F94,Data!A:A,Data!C:C),IF(_xlpm.custom="",_xlfn.XLOOKUP(F94,Data!A:A,Data!B:B),_xlpm.custom))</f>
        <v>Nugget</v>
      </c>
      <c r="H94" t="str">
        <f>_xlfn.XLOOKUP(C94,Data!A:A,Data!E:E)</f>
        <v>General</v>
      </c>
      <c r="J94">
        <f>IF(I94="",C94,_xlfn.XLOOKUP(I94,Data!E:E,Data!A:A,""))</f>
        <v>0</v>
      </c>
      <c r="L94">
        <f t="shared" si="11"/>
        <v>0</v>
      </c>
      <c r="M94">
        <f t="shared" si="12"/>
        <v>0</v>
      </c>
      <c r="N94">
        <f t="shared" si="20"/>
        <v>0</v>
      </c>
      <c r="O94">
        <f t="shared" si="13"/>
        <v>0</v>
      </c>
      <c r="P94">
        <f t="shared" si="14"/>
        <v>0</v>
      </c>
      <c r="R94" t="str">
        <f t="shared" si="15"/>
        <v>00</v>
      </c>
    </row>
    <row r="95" spans="1:18" x14ac:dyDescent="0.4">
      <c r="A95" s="1" t="str">
        <f t="shared" si="18"/>
        <v>02E</v>
      </c>
      <c r="B95">
        <f t="shared" si="19"/>
        <v>1</v>
      </c>
      <c r="C95">
        <f>VALUE(MID(Hex!$C$2,1+2*HEX2DEC(A95)+B95,1))</f>
        <v>0</v>
      </c>
      <c r="D95" s="1" t="str">
        <f t="shared" si="16"/>
        <v>05D</v>
      </c>
      <c r="E95">
        <f>HEX2DEC(MID(Hex!$C$8,1+HEX2DEC(Edit!D95)*2,2))</f>
        <v>0</v>
      </c>
      <c r="F95">
        <f t="shared" si="17"/>
        <v>93</v>
      </c>
      <c r="G95" t="str">
        <f>_xlfn.LET(_xlpm.custom,_xlfn.XLOOKUP(F95,Data!A:A,Data!C:C),IF(_xlpm.custom="",_xlfn.XLOOKUP(F95,Data!A:A,Data!B:B),_xlpm.custom))</f>
        <v>Heart Scale</v>
      </c>
      <c r="H95" t="str">
        <f>_xlfn.XLOOKUP(C95,Data!A:A,Data!E:E)</f>
        <v>General</v>
      </c>
      <c r="J95">
        <f>IF(I95="",C95,_xlfn.XLOOKUP(I95,Data!E:E,Data!A:A,""))</f>
        <v>0</v>
      </c>
      <c r="L95">
        <f t="shared" si="11"/>
        <v>0</v>
      </c>
      <c r="M95">
        <f t="shared" si="12"/>
        <v>0</v>
      </c>
      <c r="N95">
        <f t="shared" si="20"/>
        <v>0</v>
      </c>
      <c r="O95">
        <f t="shared" si="13"/>
        <v>0</v>
      </c>
      <c r="P95">
        <f t="shared" si="14"/>
        <v>0</v>
      </c>
      <c r="R95" t="str">
        <f t="shared" si="15"/>
        <v>00</v>
      </c>
    </row>
    <row r="96" spans="1:18" x14ac:dyDescent="0.4">
      <c r="A96" s="1" t="str">
        <f t="shared" si="18"/>
        <v>02F</v>
      </c>
      <c r="B96">
        <f t="shared" si="19"/>
        <v>0</v>
      </c>
      <c r="C96">
        <f>VALUE(MID(Hex!$C$2,1+2*HEX2DEC(A96)+B96,1))</f>
        <v>0</v>
      </c>
      <c r="D96" s="1" t="str">
        <f t="shared" si="16"/>
        <v>05E</v>
      </c>
      <c r="E96">
        <f>HEX2DEC(MID(Hex!$C$8,1+HEX2DEC(Edit!D96)*2,2))</f>
        <v>0</v>
      </c>
      <c r="F96">
        <f t="shared" si="17"/>
        <v>94</v>
      </c>
      <c r="G96" t="str">
        <f>_xlfn.LET(_xlpm.custom,_xlfn.XLOOKUP(F96,Data!A:A,Data!C:C),IF(_xlpm.custom="",_xlfn.XLOOKUP(F96,Data!A:A,Data!B:B),_xlpm.custom))</f>
        <v>Honey</v>
      </c>
      <c r="H96" t="str">
        <f>_xlfn.XLOOKUP(C96,Data!A:A,Data!E:E)</f>
        <v>General</v>
      </c>
      <c r="J96">
        <f>IF(I96="",C96,_xlfn.XLOOKUP(I96,Data!E:E,Data!A:A,""))</f>
        <v>0</v>
      </c>
      <c r="L96">
        <f t="shared" si="11"/>
        <v>0</v>
      </c>
      <c r="M96">
        <f t="shared" si="12"/>
        <v>0</v>
      </c>
      <c r="N96">
        <f t="shared" si="20"/>
        <v>0</v>
      </c>
      <c r="O96">
        <f t="shared" si="13"/>
        <v>0</v>
      </c>
      <c r="P96">
        <f t="shared" si="14"/>
        <v>0</v>
      </c>
      <c r="R96" t="str">
        <f t="shared" si="15"/>
        <v>00</v>
      </c>
    </row>
    <row r="97" spans="1:18" x14ac:dyDescent="0.4">
      <c r="A97" s="1" t="str">
        <f t="shared" si="18"/>
        <v>02F</v>
      </c>
      <c r="B97">
        <f t="shared" si="19"/>
        <v>1</v>
      </c>
      <c r="C97">
        <f>VALUE(MID(Hex!$C$2,1+2*HEX2DEC(A97)+B97,1))</f>
        <v>0</v>
      </c>
      <c r="D97" s="1" t="str">
        <f t="shared" si="16"/>
        <v>05F</v>
      </c>
      <c r="E97">
        <f>HEX2DEC(MID(Hex!$C$8,1+HEX2DEC(Edit!D97)*2,2))</f>
        <v>0</v>
      </c>
      <c r="F97">
        <f t="shared" si="17"/>
        <v>95</v>
      </c>
      <c r="G97" t="str">
        <f>_xlfn.LET(_xlpm.custom,_xlfn.XLOOKUP(F97,Data!A:A,Data!C:C),IF(_xlpm.custom="",_xlfn.XLOOKUP(F97,Data!A:A,Data!B:B),_xlpm.custom))</f>
        <v>Growth Mulch</v>
      </c>
      <c r="H97" t="str">
        <f>_xlfn.XLOOKUP(C97,Data!A:A,Data!E:E)</f>
        <v>General</v>
      </c>
      <c r="J97">
        <f>IF(I97="",C97,_xlfn.XLOOKUP(I97,Data!E:E,Data!A:A,""))</f>
        <v>0</v>
      </c>
      <c r="L97">
        <f t="shared" si="11"/>
        <v>0</v>
      </c>
      <c r="M97">
        <f t="shared" si="12"/>
        <v>0</v>
      </c>
      <c r="N97">
        <f t="shared" si="20"/>
        <v>0</v>
      </c>
      <c r="O97">
        <f t="shared" si="13"/>
        <v>0</v>
      </c>
      <c r="P97">
        <f t="shared" si="14"/>
        <v>0</v>
      </c>
      <c r="R97" t="str">
        <f t="shared" si="15"/>
        <v>00</v>
      </c>
    </row>
    <row r="98" spans="1:18" x14ac:dyDescent="0.4">
      <c r="A98" s="1" t="str">
        <f t="shared" si="18"/>
        <v>030</v>
      </c>
      <c r="B98">
        <f t="shared" si="19"/>
        <v>0</v>
      </c>
      <c r="C98">
        <f>VALUE(MID(Hex!$C$2,1+2*HEX2DEC(A98)+B98,1))</f>
        <v>0</v>
      </c>
      <c r="D98" s="1" t="str">
        <f t="shared" si="16"/>
        <v>060</v>
      </c>
      <c r="E98">
        <f>HEX2DEC(MID(Hex!$C$8,1+HEX2DEC(Edit!D98)*2,2))</f>
        <v>0</v>
      </c>
      <c r="F98">
        <f t="shared" si="17"/>
        <v>96</v>
      </c>
      <c r="G98" t="str">
        <f>_xlfn.LET(_xlpm.custom,_xlfn.XLOOKUP(F98,Data!A:A,Data!C:C),IF(_xlpm.custom="",_xlfn.XLOOKUP(F98,Data!A:A,Data!B:B),_xlpm.custom))</f>
        <v>Damp Mulch</v>
      </c>
      <c r="H98" t="str">
        <f>_xlfn.XLOOKUP(C98,Data!A:A,Data!E:E)</f>
        <v>General</v>
      </c>
      <c r="J98">
        <f>IF(I98="",C98,_xlfn.XLOOKUP(I98,Data!E:E,Data!A:A,""))</f>
        <v>0</v>
      </c>
      <c r="L98">
        <f t="shared" si="11"/>
        <v>0</v>
      </c>
      <c r="M98">
        <f t="shared" si="12"/>
        <v>0</v>
      </c>
      <c r="N98">
        <f t="shared" si="20"/>
        <v>0</v>
      </c>
      <c r="O98">
        <f t="shared" si="13"/>
        <v>0</v>
      </c>
      <c r="P98">
        <f t="shared" si="14"/>
        <v>0</v>
      </c>
      <c r="R98" t="str">
        <f t="shared" si="15"/>
        <v>00</v>
      </c>
    </row>
    <row r="99" spans="1:18" x14ac:dyDescent="0.4">
      <c r="A99" s="1" t="str">
        <f t="shared" si="18"/>
        <v>030</v>
      </c>
      <c r="B99">
        <f t="shared" si="19"/>
        <v>1</v>
      </c>
      <c r="C99">
        <f>VALUE(MID(Hex!$C$2,1+2*HEX2DEC(A99)+B99,1))</f>
        <v>0</v>
      </c>
      <c r="D99" s="1" t="str">
        <f t="shared" si="16"/>
        <v>061</v>
      </c>
      <c r="E99">
        <f>HEX2DEC(MID(Hex!$C$8,1+HEX2DEC(Edit!D99)*2,2))</f>
        <v>0</v>
      </c>
      <c r="F99">
        <f t="shared" si="17"/>
        <v>97</v>
      </c>
      <c r="G99" t="str">
        <f>_xlfn.LET(_xlpm.custom,_xlfn.XLOOKUP(F99,Data!A:A,Data!C:C),IF(_xlpm.custom="",_xlfn.XLOOKUP(F99,Data!A:A,Data!B:B),_xlpm.custom))</f>
        <v>Stable Mulch</v>
      </c>
      <c r="H99" t="str">
        <f>_xlfn.XLOOKUP(C99,Data!A:A,Data!E:E)</f>
        <v>General</v>
      </c>
      <c r="J99">
        <f>IF(I99="",C99,_xlfn.XLOOKUP(I99,Data!E:E,Data!A:A,""))</f>
        <v>0</v>
      </c>
      <c r="L99">
        <f t="shared" si="11"/>
        <v>0</v>
      </c>
      <c r="M99">
        <f t="shared" si="12"/>
        <v>0</v>
      </c>
      <c r="N99">
        <f t="shared" si="20"/>
        <v>0</v>
      </c>
      <c r="O99">
        <f t="shared" si="13"/>
        <v>0</v>
      </c>
      <c r="P99">
        <f t="shared" si="14"/>
        <v>0</v>
      </c>
      <c r="R99" t="str">
        <f t="shared" si="15"/>
        <v>00</v>
      </c>
    </row>
    <row r="100" spans="1:18" x14ac:dyDescent="0.4">
      <c r="A100" s="1" t="str">
        <f t="shared" si="18"/>
        <v>031</v>
      </c>
      <c r="B100">
        <f t="shared" si="19"/>
        <v>0</v>
      </c>
      <c r="C100">
        <f>VALUE(MID(Hex!$C$2,1+2*HEX2DEC(A100)+B100,1))</f>
        <v>0</v>
      </c>
      <c r="D100" s="1" t="str">
        <f t="shared" si="16"/>
        <v>062</v>
      </c>
      <c r="E100">
        <f>HEX2DEC(MID(Hex!$C$8,1+HEX2DEC(Edit!D100)*2,2))</f>
        <v>0</v>
      </c>
      <c r="F100">
        <f t="shared" si="17"/>
        <v>98</v>
      </c>
      <c r="G100" t="str">
        <f>_xlfn.LET(_xlpm.custom,_xlfn.XLOOKUP(F100,Data!A:A,Data!C:C),IF(_xlpm.custom="",_xlfn.XLOOKUP(F100,Data!A:A,Data!B:B),_xlpm.custom))</f>
        <v>Gooey Mulch</v>
      </c>
      <c r="H100" t="str">
        <f>_xlfn.XLOOKUP(C100,Data!A:A,Data!E:E)</f>
        <v>General</v>
      </c>
      <c r="J100">
        <f>IF(I100="",C100,_xlfn.XLOOKUP(I100,Data!E:E,Data!A:A,""))</f>
        <v>0</v>
      </c>
      <c r="L100">
        <f t="shared" si="11"/>
        <v>0</v>
      </c>
      <c r="M100">
        <f t="shared" si="12"/>
        <v>0</v>
      </c>
      <c r="N100">
        <f t="shared" si="20"/>
        <v>0</v>
      </c>
      <c r="O100">
        <f t="shared" si="13"/>
        <v>0</v>
      </c>
      <c r="P100">
        <f t="shared" si="14"/>
        <v>0</v>
      </c>
      <c r="R100" t="str">
        <f t="shared" si="15"/>
        <v>00</v>
      </c>
    </row>
    <row r="101" spans="1:18" x14ac:dyDescent="0.4">
      <c r="A101" s="1" t="str">
        <f t="shared" si="18"/>
        <v>031</v>
      </c>
      <c r="B101">
        <f t="shared" si="19"/>
        <v>1</v>
      </c>
      <c r="C101">
        <f>VALUE(MID(Hex!$C$2,1+2*HEX2DEC(A101)+B101,1))</f>
        <v>0</v>
      </c>
      <c r="D101" s="1" t="str">
        <f t="shared" si="16"/>
        <v>063</v>
      </c>
      <c r="E101">
        <f>HEX2DEC(MID(Hex!$C$8,1+HEX2DEC(Edit!D101)*2,2))</f>
        <v>0</v>
      </c>
      <c r="F101">
        <f t="shared" si="17"/>
        <v>99</v>
      </c>
      <c r="G101" t="str">
        <f>_xlfn.LET(_xlpm.custom,_xlfn.XLOOKUP(F101,Data!A:A,Data!C:C),IF(_xlpm.custom="",_xlfn.XLOOKUP(F101,Data!A:A,Data!B:B),_xlpm.custom))</f>
        <v>Root Fossil</v>
      </c>
      <c r="H101" t="str">
        <f>_xlfn.XLOOKUP(C101,Data!A:A,Data!E:E)</f>
        <v>General</v>
      </c>
      <c r="J101">
        <f>IF(I101="",C101,_xlfn.XLOOKUP(I101,Data!E:E,Data!A:A,""))</f>
        <v>0</v>
      </c>
      <c r="L101">
        <f t="shared" si="11"/>
        <v>0</v>
      </c>
      <c r="M101">
        <f t="shared" si="12"/>
        <v>0</v>
      </c>
      <c r="N101">
        <f t="shared" si="20"/>
        <v>0</v>
      </c>
      <c r="O101">
        <f t="shared" si="13"/>
        <v>0</v>
      </c>
      <c r="P101">
        <f t="shared" si="14"/>
        <v>0</v>
      </c>
      <c r="R101" t="str">
        <f t="shared" si="15"/>
        <v>00</v>
      </c>
    </row>
    <row r="102" spans="1:18" x14ac:dyDescent="0.4">
      <c r="A102" s="1" t="str">
        <f t="shared" si="18"/>
        <v>032</v>
      </c>
      <c r="B102">
        <f t="shared" si="19"/>
        <v>0</v>
      </c>
      <c r="C102">
        <f>VALUE(MID(Hex!$C$2,1+2*HEX2DEC(A102)+B102,1))</f>
        <v>0</v>
      </c>
      <c r="D102" s="1" t="str">
        <f t="shared" si="16"/>
        <v>064</v>
      </c>
      <c r="E102">
        <f>HEX2DEC(MID(Hex!$C$8,1+HEX2DEC(Edit!D102)*2,2))</f>
        <v>0</v>
      </c>
      <c r="F102">
        <f t="shared" si="17"/>
        <v>100</v>
      </c>
      <c r="G102" t="str">
        <f>_xlfn.LET(_xlpm.custom,_xlfn.XLOOKUP(F102,Data!A:A,Data!C:C),IF(_xlpm.custom="",_xlfn.XLOOKUP(F102,Data!A:A,Data!B:B),_xlpm.custom))</f>
        <v>Claw Fossil</v>
      </c>
      <c r="H102" t="str">
        <f>_xlfn.XLOOKUP(C102,Data!A:A,Data!E:E)</f>
        <v>General</v>
      </c>
      <c r="J102">
        <f>IF(I102="",C102,_xlfn.XLOOKUP(I102,Data!E:E,Data!A:A,""))</f>
        <v>0</v>
      </c>
      <c r="L102">
        <f t="shared" si="11"/>
        <v>0</v>
      </c>
      <c r="M102">
        <f t="shared" si="12"/>
        <v>0</v>
      </c>
      <c r="N102">
        <f t="shared" si="20"/>
        <v>0</v>
      </c>
      <c r="O102">
        <f t="shared" si="13"/>
        <v>0</v>
      </c>
      <c r="P102">
        <f t="shared" si="14"/>
        <v>0</v>
      </c>
      <c r="R102" t="str">
        <f t="shared" si="15"/>
        <v>00</v>
      </c>
    </row>
    <row r="103" spans="1:18" x14ac:dyDescent="0.4">
      <c r="A103" s="1" t="str">
        <f t="shared" si="18"/>
        <v>032</v>
      </c>
      <c r="B103">
        <f t="shared" si="19"/>
        <v>1</v>
      </c>
      <c r="C103">
        <f>VALUE(MID(Hex!$C$2,1+2*HEX2DEC(A103)+B103,1))</f>
        <v>0</v>
      </c>
      <c r="D103" s="1" t="str">
        <f t="shared" si="16"/>
        <v>065</v>
      </c>
      <c r="E103">
        <f>HEX2DEC(MID(Hex!$C$8,1+HEX2DEC(Edit!D103)*2,2))</f>
        <v>0</v>
      </c>
      <c r="F103">
        <f t="shared" si="17"/>
        <v>101</v>
      </c>
      <c r="G103" t="str">
        <f>_xlfn.LET(_xlpm.custom,_xlfn.XLOOKUP(F103,Data!A:A,Data!C:C),IF(_xlpm.custom="",_xlfn.XLOOKUP(F103,Data!A:A,Data!B:B),_xlpm.custom))</f>
        <v>Helix Fossil</v>
      </c>
      <c r="H103" t="str">
        <f>_xlfn.XLOOKUP(C103,Data!A:A,Data!E:E)</f>
        <v>General</v>
      </c>
      <c r="J103">
        <f>IF(I103="",C103,_xlfn.XLOOKUP(I103,Data!E:E,Data!A:A,""))</f>
        <v>0</v>
      </c>
      <c r="L103">
        <f t="shared" si="11"/>
        <v>0</v>
      </c>
      <c r="M103">
        <f t="shared" si="12"/>
        <v>0</v>
      </c>
      <c r="N103">
        <f t="shared" si="20"/>
        <v>0</v>
      </c>
      <c r="O103">
        <f t="shared" si="13"/>
        <v>0</v>
      </c>
      <c r="P103">
        <f t="shared" si="14"/>
        <v>0</v>
      </c>
      <c r="R103" t="str">
        <f t="shared" si="15"/>
        <v>00</v>
      </c>
    </row>
    <row r="104" spans="1:18" x14ac:dyDescent="0.4">
      <c r="A104" s="1" t="str">
        <f t="shared" si="18"/>
        <v>033</v>
      </c>
      <c r="B104">
        <f t="shared" si="19"/>
        <v>0</v>
      </c>
      <c r="C104">
        <f>VALUE(MID(Hex!$C$2,1+2*HEX2DEC(A104)+B104,1))</f>
        <v>0</v>
      </c>
      <c r="D104" s="1" t="str">
        <f t="shared" si="16"/>
        <v>066</v>
      </c>
      <c r="E104">
        <f>HEX2DEC(MID(Hex!$C$8,1+HEX2DEC(Edit!D104)*2,2))</f>
        <v>0</v>
      </c>
      <c r="F104">
        <f t="shared" si="17"/>
        <v>102</v>
      </c>
      <c r="G104" t="str">
        <f>_xlfn.LET(_xlpm.custom,_xlfn.XLOOKUP(F104,Data!A:A,Data!C:C),IF(_xlpm.custom="",_xlfn.XLOOKUP(F104,Data!A:A,Data!B:B),_xlpm.custom))</f>
        <v>Dome Fossil</v>
      </c>
      <c r="H104" t="str">
        <f>_xlfn.XLOOKUP(C104,Data!A:A,Data!E:E)</f>
        <v>General</v>
      </c>
      <c r="J104">
        <f>IF(I104="",C104,_xlfn.XLOOKUP(I104,Data!E:E,Data!A:A,""))</f>
        <v>0</v>
      </c>
      <c r="L104">
        <f t="shared" si="11"/>
        <v>0</v>
      </c>
      <c r="M104">
        <f t="shared" si="12"/>
        <v>0</v>
      </c>
      <c r="N104">
        <f t="shared" si="20"/>
        <v>0</v>
      </c>
      <c r="O104">
        <f t="shared" si="13"/>
        <v>0</v>
      </c>
      <c r="P104">
        <f t="shared" si="14"/>
        <v>0</v>
      </c>
      <c r="R104" t="str">
        <f t="shared" si="15"/>
        <v>00</v>
      </c>
    </row>
    <row r="105" spans="1:18" x14ac:dyDescent="0.4">
      <c r="A105" s="1" t="str">
        <f t="shared" si="18"/>
        <v>033</v>
      </c>
      <c r="B105">
        <f t="shared" si="19"/>
        <v>1</v>
      </c>
      <c r="C105">
        <f>VALUE(MID(Hex!$C$2,1+2*HEX2DEC(A105)+B105,1))</f>
        <v>0</v>
      </c>
      <c r="D105" s="1" t="str">
        <f t="shared" si="16"/>
        <v>067</v>
      </c>
      <c r="E105">
        <f>HEX2DEC(MID(Hex!$C$8,1+HEX2DEC(Edit!D105)*2,2))</f>
        <v>0</v>
      </c>
      <c r="F105">
        <f t="shared" si="17"/>
        <v>103</v>
      </c>
      <c r="G105" t="str">
        <f>_xlfn.LET(_xlpm.custom,_xlfn.XLOOKUP(F105,Data!A:A,Data!C:C),IF(_xlpm.custom="",_xlfn.XLOOKUP(F105,Data!A:A,Data!B:B),_xlpm.custom))</f>
        <v>Old Amber</v>
      </c>
      <c r="H105" t="str">
        <f>_xlfn.XLOOKUP(C105,Data!A:A,Data!E:E)</f>
        <v>General</v>
      </c>
      <c r="J105">
        <f>IF(I105="",C105,_xlfn.XLOOKUP(I105,Data!E:E,Data!A:A,""))</f>
        <v>0</v>
      </c>
      <c r="L105">
        <f t="shared" si="11"/>
        <v>0</v>
      </c>
      <c r="M105">
        <f t="shared" si="12"/>
        <v>0</v>
      </c>
      <c r="N105">
        <f t="shared" si="20"/>
        <v>0</v>
      </c>
      <c r="O105">
        <f t="shared" si="13"/>
        <v>0</v>
      </c>
      <c r="P105">
        <f t="shared" si="14"/>
        <v>0</v>
      </c>
      <c r="R105" t="str">
        <f t="shared" si="15"/>
        <v>00</v>
      </c>
    </row>
    <row r="106" spans="1:18" x14ac:dyDescent="0.4">
      <c r="A106" s="1" t="str">
        <f t="shared" si="18"/>
        <v>034</v>
      </c>
      <c r="B106">
        <f t="shared" si="19"/>
        <v>0</v>
      </c>
      <c r="C106">
        <f>VALUE(MID(Hex!$C$2,1+2*HEX2DEC(A106)+B106,1))</f>
        <v>0</v>
      </c>
      <c r="D106" s="1" t="str">
        <f t="shared" si="16"/>
        <v>068</v>
      </c>
      <c r="E106">
        <f>HEX2DEC(MID(Hex!$C$8,1+HEX2DEC(Edit!D106)*2,2))</f>
        <v>0</v>
      </c>
      <c r="F106">
        <f t="shared" si="17"/>
        <v>104</v>
      </c>
      <c r="G106" t="str">
        <f>_xlfn.LET(_xlpm.custom,_xlfn.XLOOKUP(F106,Data!A:A,Data!C:C),IF(_xlpm.custom="",_xlfn.XLOOKUP(F106,Data!A:A,Data!B:B),_xlpm.custom))</f>
        <v>Armor Fossil</v>
      </c>
      <c r="H106" t="str">
        <f>_xlfn.XLOOKUP(C106,Data!A:A,Data!E:E)</f>
        <v>General</v>
      </c>
      <c r="J106">
        <f>IF(I106="",C106,_xlfn.XLOOKUP(I106,Data!E:E,Data!A:A,""))</f>
        <v>0</v>
      </c>
      <c r="L106">
        <f t="shared" si="11"/>
        <v>0</v>
      </c>
      <c r="M106">
        <f t="shared" si="12"/>
        <v>0</v>
      </c>
      <c r="N106">
        <f t="shared" si="20"/>
        <v>0</v>
      </c>
      <c r="O106">
        <f t="shared" si="13"/>
        <v>0</v>
      </c>
      <c r="P106">
        <f t="shared" si="14"/>
        <v>0</v>
      </c>
      <c r="R106" t="str">
        <f t="shared" si="15"/>
        <v>00</v>
      </c>
    </row>
    <row r="107" spans="1:18" x14ac:dyDescent="0.4">
      <c r="A107" s="1" t="str">
        <f t="shared" si="18"/>
        <v>034</v>
      </c>
      <c r="B107">
        <f t="shared" si="19"/>
        <v>1</v>
      </c>
      <c r="C107">
        <f>VALUE(MID(Hex!$C$2,1+2*HEX2DEC(A107)+B107,1))</f>
        <v>0</v>
      </c>
      <c r="D107" s="1" t="str">
        <f t="shared" si="16"/>
        <v>069</v>
      </c>
      <c r="E107">
        <f>HEX2DEC(MID(Hex!$C$8,1+HEX2DEC(Edit!D107)*2,2))</f>
        <v>0</v>
      </c>
      <c r="F107">
        <f t="shared" si="17"/>
        <v>105</v>
      </c>
      <c r="G107" t="str">
        <f>_xlfn.LET(_xlpm.custom,_xlfn.XLOOKUP(F107,Data!A:A,Data!C:C),IF(_xlpm.custom="",_xlfn.XLOOKUP(F107,Data!A:A,Data!B:B),_xlpm.custom))</f>
        <v>Skull Fossil</v>
      </c>
      <c r="H107" t="str">
        <f>_xlfn.XLOOKUP(C107,Data!A:A,Data!E:E)</f>
        <v>General</v>
      </c>
      <c r="J107">
        <f>IF(I107="",C107,_xlfn.XLOOKUP(I107,Data!E:E,Data!A:A,""))</f>
        <v>0</v>
      </c>
      <c r="L107">
        <f t="shared" si="11"/>
        <v>0</v>
      </c>
      <c r="M107">
        <f t="shared" si="12"/>
        <v>0</v>
      </c>
      <c r="N107">
        <f t="shared" si="20"/>
        <v>0</v>
      </c>
      <c r="O107">
        <f t="shared" si="13"/>
        <v>0</v>
      </c>
      <c r="P107">
        <f t="shared" si="14"/>
        <v>0</v>
      </c>
      <c r="R107" t="str">
        <f t="shared" si="15"/>
        <v>00</v>
      </c>
    </row>
    <row r="108" spans="1:18" x14ac:dyDescent="0.4">
      <c r="A108" s="1" t="str">
        <f t="shared" si="18"/>
        <v>035</v>
      </c>
      <c r="B108">
        <f t="shared" si="19"/>
        <v>0</v>
      </c>
      <c r="C108">
        <f>VALUE(MID(Hex!$C$2,1+2*HEX2DEC(A108)+B108,1))</f>
        <v>0</v>
      </c>
      <c r="D108" s="1" t="str">
        <f t="shared" si="16"/>
        <v>06A</v>
      </c>
      <c r="E108">
        <f>HEX2DEC(MID(Hex!$C$8,1+HEX2DEC(Edit!D108)*2,2))</f>
        <v>0</v>
      </c>
      <c r="F108">
        <f t="shared" si="17"/>
        <v>106</v>
      </c>
      <c r="G108" t="str">
        <f>_xlfn.LET(_xlpm.custom,_xlfn.XLOOKUP(F108,Data!A:A,Data!C:C),IF(_xlpm.custom="",_xlfn.XLOOKUP(F108,Data!A:A,Data!B:B),_xlpm.custom))</f>
        <v>Rare Bone</v>
      </c>
      <c r="H108" t="str">
        <f>_xlfn.XLOOKUP(C108,Data!A:A,Data!E:E)</f>
        <v>General</v>
      </c>
      <c r="J108">
        <f>IF(I108="",C108,_xlfn.XLOOKUP(I108,Data!E:E,Data!A:A,""))</f>
        <v>0</v>
      </c>
      <c r="L108">
        <f t="shared" si="11"/>
        <v>0</v>
      </c>
      <c r="M108">
        <f t="shared" si="12"/>
        <v>0</v>
      </c>
      <c r="N108">
        <f t="shared" si="20"/>
        <v>0</v>
      </c>
      <c r="O108">
        <f t="shared" si="13"/>
        <v>0</v>
      </c>
      <c r="P108">
        <f t="shared" si="14"/>
        <v>0</v>
      </c>
      <c r="R108" t="str">
        <f t="shared" si="15"/>
        <v>00</v>
      </c>
    </row>
    <row r="109" spans="1:18" x14ac:dyDescent="0.4">
      <c r="A109" s="1" t="str">
        <f t="shared" si="18"/>
        <v>035</v>
      </c>
      <c r="B109">
        <f t="shared" si="19"/>
        <v>1</v>
      </c>
      <c r="C109">
        <f>VALUE(MID(Hex!$C$2,1+2*HEX2DEC(A109)+B109,1))</f>
        <v>0</v>
      </c>
      <c r="D109" s="1" t="str">
        <f t="shared" si="16"/>
        <v>06B</v>
      </c>
      <c r="E109">
        <f>HEX2DEC(MID(Hex!$C$8,1+HEX2DEC(Edit!D109)*2,2))</f>
        <v>0</v>
      </c>
      <c r="F109">
        <f t="shared" si="17"/>
        <v>107</v>
      </c>
      <c r="G109" t="str">
        <f>_xlfn.LET(_xlpm.custom,_xlfn.XLOOKUP(F109,Data!A:A,Data!C:C),IF(_xlpm.custom="",_xlfn.XLOOKUP(F109,Data!A:A,Data!B:B),_xlpm.custom))</f>
        <v>Shiny Stone</v>
      </c>
      <c r="H109" t="str">
        <f>_xlfn.XLOOKUP(C109,Data!A:A,Data!E:E)</f>
        <v>General</v>
      </c>
      <c r="J109">
        <f>IF(I109="",C109,_xlfn.XLOOKUP(I109,Data!E:E,Data!A:A,""))</f>
        <v>0</v>
      </c>
      <c r="L109">
        <f t="shared" si="11"/>
        <v>0</v>
      </c>
      <c r="M109">
        <f t="shared" si="12"/>
        <v>0</v>
      </c>
      <c r="N109">
        <f t="shared" si="20"/>
        <v>0</v>
      </c>
      <c r="O109">
        <f t="shared" si="13"/>
        <v>0</v>
      </c>
      <c r="P109">
        <f t="shared" si="14"/>
        <v>0</v>
      </c>
      <c r="R109" t="str">
        <f t="shared" si="15"/>
        <v>00</v>
      </c>
    </row>
    <row r="110" spans="1:18" x14ac:dyDescent="0.4">
      <c r="A110" s="1" t="str">
        <f t="shared" si="18"/>
        <v>036</v>
      </c>
      <c r="B110">
        <f t="shared" si="19"/>
        <v>0</v>
      </c>
      <c r="C110">
        <f>VALUE(MID(Hex!$C$2,1+2*HEX2DEC(A110)+B110,1))</f>
        <v>0</v>
      </c>
      <c r="D110" s="1" t="str">
        <f t="shared" si="16"/>
        <v>06C</v>
      </c>
      <c r="E110">
        <f>HEX2DEC(MID(Hex!$C$8,1+HEX2DEC(Edit!D110)*2,2))</f>
        <v>0</v>
      </c>
      <c r="F110">
        <f t="shared" si="17"/>
        <v>108</v>
      </c>
      <c r="G110" t="str">
        <f>_xlfn.LET(_xlpm.custom,_xlfn.XLOOKUP(F110,Data!A:A,Data!C:C),IF(_xlpm.custom="",_xlfn.XLOOKUP(F110,Data!A:A,Data!B:B),_xlpm.custom))</f>
        <v>Dusk Stone</v>
      </c>
      <c r="H110" t="str">
        <f>_xlfn.XLOOKUP(C110,Data!A:A,Data!E:E)</f>
        <v>General</v>
      </c>
      <c r="J110">
        <f>IF(I110="",C110,_xlfn.XLOOKUP(I110,Data!E:E,Data!A:A,""))</f>
        <v>0</v>
      </c>
      <c r="L110">
        <f t="shared" si="11"/>
        <v>0</v>
      </c>
      <c r="M110">
        <f t="shared" si="12"/>
        <v>0</v>
      </c>
      <c r="N110">
        <f t="shared" si="20"/>
        <v>0</v>
      </c>
      <c r="O110">
        <f t="shared" si="13"/>
        <v>0</v>
      </c>
      <c r="P110">
        <f t="shared" si="14"/>
        <v>0</v>
      </c>
      <c r="R110" t="str">
        <f t="shared" si="15"/>
        <v>00</v>
      </c>
    </row>
    <row r="111" spans="1:18" x14ac:dyDescent="0.4">
      <c r="A111" s="1" t="str">
        <f t="shared" si="18"/>
        <v>036</v>
      </c>
      <c r="B111">
        <f t="shared" si="19"/>
        <v>1</v>
      </c>
      <c r="C111">
        <f>VALUE(MID(Hex!$C$2,1+2*HEX2DEC(A111)+B111,1))</f>
        <v>0</v>
      </c>
      <c r="D111" s="1" t="str">
        <f t="shared" si="16"/>
        <v>06D</v>
      </c>
      <c r="E111">
        <f>HEX2DEC(MID(Hex!$C$8,1+HEX2DEC(Edit!D111)*2,2))</f>
        <v>0</v>
      </c>
      <c r="F111">
        <f t="shared" si="17"/>
        <v>109</v>
      </c>
      <c r="G111" t="str">
        <f>_xlfn.LET(_xlpm.custom,_xlfn.XLOOKUP(F111,Data!A:A,Data!C:C),IF(_xlpm.custom="",_xlfn.XLOOKUP(F111,Data!A:A,Data!B:B),_xlpm.custom))</f>
        <v>Dawn Stone</v>
      </c>
      <c r="H111" t="str">
        <f>_xlfn.XLOOKUP(C111,Data!A:A,Data!E:E)</f>
        <v>General</v>
      </c>
      <c r="J111">
        <f>IF(I111="",C111,_xlfn.XLOOKUP(I111,Data!E:E,Data!A:A,""))</f>
        <v>0</v>
      </c>
      <c r="L111">
        <f t="shared" si="11"/>
        <v>0</v>
      </c>
      <c r="M111">
        <f t="shared" si="12"/>
        <v>0</v>
      </c>
      <c r="N111">
        <f t="shared" si="20"/>
        <v>0</v>
      </c>
      <c r="O111">
        <f t="shared" si="13"/>
        <v>0</v>
      </c>
      <c r="P111">
        <f t="shared" si="14"/>
        <v>0</v>
      </c>
      <c r="R111" t="str">
        <f t="shared" si="15"/>
        <v>00</v>
      </c>
    </row>
    <row r="112" spans="1:18" x14ac:dyDescent="0.4">
      <c r="A112" s="1" t="str">
        <f t="shared" si="18"/>
        <v>037</v>
      </c>
      <c r="B112">
        <f t="shared" si="19"/>
        <v>0</v>
      </c>
      <c r="C112">
        <f>VALUE(MID(Hex!$C$2,1+2*HEX2DEC(A112)+B112,1))</f>
        <v>0</v>
      </c>
      <c r="D112" s="1" t="str">
        <f t="shared" si="16"/>
        <v>06E</v>
      </c>
      <c r="E112">
        <f>HEX2DEC(MID(Hex!$C$8,1+HEX2DEC(Edit!D112)*2,2))</f>
        <v>0</v>
      </c>
      <c r="F112">
        <f t="shared" si="17"/>
        <v>110</v>
      </c>
      <c r="G112" t="str">
        <f>_xlfn.LET(_xlpm.custom,_xlfn.XLOOKUP(F112,Data!A:A,Data!C:C),IF(_xlpm.custom="",_xlfn.XLOOKUP(F112,Data!A:A,Data!B:B),_xlpm.custom))</f>
        <v>Oval Stone</v>
      </c>
      <c r="H112" t="str">
        <f>_xlfn.XLOOKUP(C112,Data!A:A,Data!E:E)</f>
        <v>General</v>
      </c>
      <c r="J112">
        <f>IF(I112="",C112,_xlfn.XLOOKUP(I112,Data!E:E,Data!A:A,""))</f>
        <v>0</v>
      </c>
      <c r="L112">
        <f t="shared" si="11"/>
        <v>0</v>
      </c>
      <c r="M112">
        <f t="shared" si="12"/>
        <v>0</v>
      </c>
      <c r="N112">
        <f t="shared" si="20"/>
        <v>0</v>
      </c>
      <c r="O112">
        <f t="shared" si="13"/>
        <v>0</v>
      </c>
      <c r="P112">
        <f t="shared" si="14"/>
        <v>0</v>
      </c>
      <c r="R112" t="str">
        <f t="shared" si="15"/>
        <v>00</v>
      </c>
    </row>
    <row r="113" spans="1:18" x14ac:dyDescent="0.4">
      <c r="A113" s="1" t="str">
        <f t="shared" si="18"/>
        <v>037</v>
      </c>
      <c r="B113">
        <f t="shared" si="19"/>
        <v>1</v>
      </c>
      <c r="C113">
        <f>VALUE(MID(Hex!$C$2,1+2*HEX2DEC(A113)+B113,1))</f>
        <v>0</v>
      </c>
      <c r="D113" s="1" t="str">
        <f t="shared" si="16"/>
        <v>06F</v>
      </c>
      <c r="E113">
        <f>HEX2DEC(MID(Hex!$C$8,1+HEX2DEC(Edit!D113)*2,2))</f>
        <v>0</v>
      </c>
      <c r="F113">
        <f t="shared" si="17"/>
        <v>111</v>
      </c>
      <c r="G113" t="str">
        <f>_xlfn.LET(_xlpm.custom,_xlfn.XLOOKUP(F113,Data!A:A,Data!C:C),IF(_xlpm.custom="",_xlfn.XLOOKUP(F113,Data!A:A,Data!B:B),_xlpm.custom))</f>
        <v>Odd Keystone</v>
      </c>
      <c r="H113" t="str">
        <f>_xlfn.XLOOKUP(C113,Data!A:A,Data!E:E)</f>
        <v>General</v>
      </c>
      <c r="J113">
        <f>IF(I113="",C113,_xlfn.XLOOKUP(I113,Data!E:E,Data!A:A,""))</f>
        <v>0</v>
      </c>
      <c r="L113">
        <f t="shared" si="11"/>
        <v>0</v>
      </c>
      <c r="M113">
        <f t="shared" si="12"/>
        <v>0</v>
      </c>
      <c r="N113">
        <f t="shared" si="20"/>
        <v>0</v>
      </c>
      <c r="O113">
        <f t="shared" si="13"/>
        <v>0</v>
      </c>
      <c r="P113">
        <f t="shared" si="14"/>
        <v>0</v>
      </c>
      <c r="R113" t="str">
        <f t="shared" si="15"/>
        <v>00</v>
      </c>
    </row>
    <row r="114" spans="1:18" x14ac:dyDescent="0.4">
      <c r="A114" s="1" t="str">
        <f t="shared" si="18"/>
        <v>038</v>
      </c>
      <c r="B114">
        <f t="shared" si="19"/>
        <v>0</v>
      </c>
      <c r="C114">
        <f>VALUE(MID(Hex!$C$2,1+2*HEX2DEC(A114)+B114,1))</f>
        <v>0</v>
      </c>
      <c r="D114" s="1" t="str">
        <f t="shared" si="16"/>
        <v>070</v>
      </c>
      <c r="E114">
        <f>HEX2DEC(MID(Hex!$C$8,1+HEX2DEC(Edit!D114)*2,2))</f>
        <v>0</v>
      </c>
      <c r="F114">
        <f t="shared" si="17"/>
        <v>112</v>
      </c>
      <c r="G114" t="str">
        <f>_xlfn.LET(_xlpm.custom,_xlfn.XLOOKUP(F114,Data!A:A,Data!C:C),IF(_xlpm.custom="",_xlfn.XLOOKUP(F114,Data!A:A,Data!B:B),_xlpm.custom))</f>
        <v>Griseous Orb</v>
      </c>
      <c r="H114" t="str">
        <f>_xlfn.XLOOKUP(C114,Data!A:A,Data!E:E)</f>
        <v>General</v>
      </c>
      <c r="J114">
        <f>IF(I114="",C114,_xlfn.XLOOKUP(I114,Data!E:E,Data!A:A,""))</f>
        <v>0</v>
      </c>
      <c r="L114">
        <f t="shared" si="11"/>
        <v>0</v>
      </c>
      <c r="M114">
        <f t="shared" si="12"/>
        <v>0</v>
      </c>
      <c r="N114">
        <f t="shared" si="20"/>
        <v>0</v>
      </c>
      <c r="O114">
        <f t="shared" si="13"/>
        <v>0</v>
      </c>
      <c r="P114">
        <f t="shared" si="14"/>
        <v>0</v>
      </c>
      <c r="R114" t="str">
        <f t="shared" si="15"/>
        <v>00</v>
      </c>
    </row>
    <row r="115" spans="1:18" x14ac:dyDescent="0.4">
      <c r="A115" s="1" t="str">
        <f t="shared" si="18"/>
        <v>038</v>
      </c>
      <c r="B115">
        <f t="shared" si="19"/>
        <v>1</v>
      </c>
      <c r="C115">
        <f>VALUE(MID(Hex!$C$2,1+2*HEX2DEC(A115)+B115,1))</f>
        <v>0</v>
      </c>
      <c r="D115" s="1" t="str">
        <f t="shared" si="16"/>
        <v>071</v>
      </c>
      <c r="E115">
        <f>HEX2DEC(MID(Hex!$C$8,1+HEX2DEC(Edit!D115)*2,2))</f>
        <v>0</v>
      </c>
      <c r="F115">
        <f t="shared" si="17"/>
        <v>113</v>
      </c>
      <c r="G115" t="str">
        <f>_xlfn.LET(_xlpm.custom,_xlfn.XLOOKUP(F115,Data!A:A,Data!C:C),IF(_xlpm.custom="",_xlfn.XLOOKUP(F115,Data!A:A,Data!B:B),_xlpm.custom))</f>
        <v>Covert Cloak</v>
      </c>
      <c r="H115" t="str">
        <f>_xlfn.XLOOKUP(C115,Data!A:A,Data!E:E)</f>
        <v>General</v>
      </c>
      <c r="J115">
        <f>IF(I115="",C115,_xlfn.XLOOKUP(I115,Data!E:E,Data!A:A,""))</f>
        <v>0</v>
      </c>
      <c r="L115">
        <f t="shared" si="11"/>
        <v>0</v>
      </c>
      <c r="M115">
        <f t="shared" si="12"/>
        <v>0</v>
      </c>
      <c r="N115">
        <f t="shared" si="20"/>
        <v>0</v>
      </c>
      <c r="O115">
        <f t="shared" si="13"/>
        <v>0</v>
      </c>
      <c r="P115">
        <f t="shared" si="14"/>
        <v>0</v>
      </c>
      <c r="R115" t="str">
        <f t="shared" si="15"/>
        <v>00</v>
      </c>
    </row>
    <row r="116" spans="1:18" x14ac:dyDescent="0.4">
      <c r="A116" s="1" t="str">
        <f t="shared" si="18"/>
        <v>039</v>
      </c>
      <c r="B116">
        <f t="shared" si="19"/>
        <v>0</v>
      </c>
      <c r="C116">
        <f>VALUE(MID(Hex!$C$2,1+2*HEX2DEC(A116)+B116,1))</f>
        <v>0</v>
      </c>
      <c r="D116" s="1" t="str">
        <f t="shared" si="16"/>
        <v>072</v>
      </c>
      <c r="E116">
        <f>HEX2DEC(MID(Hex!$C$8,1+HEX2DEC(Edit!D116)*2,2))</f>
        <v>0</v>
      </c>
      <c r="F116">
        <f t="shared" si="17"/>
        <v>114</v>
      </c>
      <c r="G116" t="str">
        <f>_xlfn.LET(_xlpm.custom,_xlfn.XLOOKUP(F116,Data!A:A,Data!C:C),IF(_xlpm.custom="",_xlfn.XLOOKUP(F116,Data!A:A,Data!B:B),_xlpm.custom))</f>
        <v>Loaded Die</v>
      </c>
      <c r="H116" t="str">
        <f>_xlfn.XLOOKUP(C116,Data!A:A,Data!E:E)</f>
        <v>General</v>
      </c>
      <c r="J116">
        <f>IF(I116="",C116,_xlfn.XLOOKUP(I116,Data!E:E,Data!A:A,""))</f>
        <v>0</v>
      </c>
      <c r="L116">
        <f t="shared" si="11"/>
        <v>0</v>
      </c>
      <c r="M116">
        <f t="shared" si="12"/>
        <v>0</v>
      </c>
      <c r="N116">
        <f t="shared" si="20"/>
        <v>0</v>
      </c>
      <c r="O116">
        <f t="shared" si="13"/>
        <v>0</v>
      </c>
      <c r="P116">
        <f t="shared" si="14"/>
        <v>0</v>
      </c>
      <c r="R116" t="str">
        <f t="shared" si="15"/>
        <v>00</v>
      </c>
    </row>
    <row r="117" spans="1:18" x14ac:dyDescent="0.4">
      <c r="A117" s="1" t="str">
        <f t="shared" si="18"/>
        <v>039</v>
      </c>
      <c r="B117">
        <f t="shared" si="19"/>
        <v>1</v>
      </c>
      <c r="C117">
        <f>VALUE(MID(Hex!$C$2,1+2*HEX2DEC(A117)+B117,1))</f>
        <v>0</v>
      </c>
      <c r="D117" s="1" t="str">
        <f t="shared" si="16"/>
        <v>073</v>
      </c>
      <c r="E117">
        <f>HEX2DEC(MID(Hex!$C$8,1+HEX2DEC(Edit!D117)*2,2))</f>
        <v>0</v>
      </c>
      <c r="F117">
        <f t="shared" si="17"/>
        <v>115</v>
      </c>
      <c r="G117" t="str">
        <f>_xlfn.LET(_xlpm.custom,_xlfn.XLOOKUP(F117,Data!A:A,Data!C:C),IF(_xlpm.custom="",_xlfn.XLOOKUP(F117,Data!A:A,Data!B:B),_xlpm.custom))</f>
        <v>Umbrella Tree</v>
      </c>
      <c r="H117" t="str">
        <f>_xlfn.XLOOKUP(C117,Data!A:A,Data!E:E)</f>
        <v>General</v>
      </c>
      <c r="J117">
        <f>IF(I117="",C117,_xlfn.XLOOKUP(I117,Data!E:E,Data!A:A,""))</f>
        <v>0</v>
      </c>
      <c r="L117">
        <f t="shared" si="11"/>
        <v>0</v>
      </c>
      <c r="M117">
        <f t="shared" si="12"/>
        <v>0</v>
      </c>
      <c r="N117">
        <f t="shared" si="20"/>
        <v>0</v>
      </c>
      <c r="O117">
        <f t="shared" si="13"/>
        <v>0</v>
      </c>
      <c r="P117">
        <f t="shared" si="14"/>
        <v>0</v>
      </c>
      <c r="R117" t="str">
        <f t="shared" si="15"/>
        <v>00</v>
      </c>
    </row>
    <row r="118" spans="1:18" x14ac:dyDescent="0.4">
      <c r="A118" s="1" t="str">
        <f t="shared" si="18"/>
        <v>03A</v>
      </c>
      <c r="B118">
        <f t="shared" si="19"/>
        <v>0</v>
      </c>
      <c r="C118">
        <f>VALUE(MID(Hex!$C$2,1+2*HEX2DEC(A118)+B118,1))</f>
        <v>0</v>
      </c>
      <c r="D118" s="1" t="str">
        <f t="shared" si="16"/>
        <v>074</v>
      </c>
      <c r="E118">
        <f>HEX2DEC(MID(Hex!$C$8,1+HEX2DEC(Edit!D118)*2,2))</f>
        <v>0</v>
      </c>
      <c r="F118">
        <f t="shared" si="17"/>
        <v>116</v>
      </c>
      <c r="G118" t="str">
        <f>_xlfn.LET(_xlpm.custom,_xlfn.XLOOKUP(F118,Data!A:A,Data!C:C),IF(_xlpm.custom="",_xlfn.XLOOKUP(F118,Data!A:A,Data!B:B),_xlpm.custom))</f>
        <v>Douse Drive</v>
      </c>
      <c r="H118" t="str">
        <f>_xlfn.XLOOKUP(C118,Data!A:A,Data!E:E)</f>
        <v>General</v>
      </c>
      <c r="J118">
        <f>IF(I118="",C118,_xlfn.XLOOKUP(I118,Data!E:E,Data!A:A,""))</f>
        <v>0</v>
      </c>
      <c r="L118">
        <f t="shared" si="11"/>
        <v>0</v>
      </c>
      <c r="M118">
        <f t="shared" si="12"/>
        <v>0</v>
      </c>
      <c r="N118">
        <f t="shared" si="20"/>
        <v>0</v>
      </c>
      <c r="O118">
        <f t="shared" si="13"/>
        <v>0</v>
      </c>
      <c r="P118">
        <f t="shared" si="14"/>
        <v>0</v>
      </c>
      <c r="R118" t="str">
        <f t="shared" si="15"/>
        <v>00</v>
      </c>
    </row>
    <row r="119" spans="1:18" x14ac:dyDescent="0.4">
      <c r="A119" s="1" t="str">
        <f t="shared" si="18"/>
        <v>03A</v>
      </c>
      <c r="B119">
        <f t="shared" si="19"/>
        <v>1</v>
      </c>
      <c r="C119">
        <f>VALUE(MID(Hex!$C$2,1+2*HEX2DEC(A119)+B119,1))</f>
        <v>0</v>
      </c>
      <c r="D119" s="1" t="str">
        <f t="shared" si="16"/>
        <v>075</v>
      </c>
      <c r="E119">
        <f>HEX2DEC(MID(Hex!$C$8,1+HEX2DEC(Edit!D119)*2,2))</f>
        <v>0</v>
      </c>
      <c r="F119">
        <f t="shared" si="17"/>
        <v>117</v>
      </c>
      <c r="G119" t="str">
        <f>_xlfn.LET(_xlpm.custom,_xlfn.XLOOKUP(F119,Data!A:A,Data!C:C),IF(_xlpm.custom="",_xlfn.XLOOKUP(F119,Data!A:A,Data!B:B),_xlpm.custom))</f>
        <v>Shock Drive</v>
      </c>
      <c r="H119" t="str">
        <f>_xlfn.XLOOKUP(C119,Data!A:A,Data!E:E)</f>
        <v>General</v>
      </c>
      <c r="J119">
        <f>IF(I119="",C119,_xlfn.XLOOKUP(I119,Data!E:E,Data!A:A,""))</f>
        <v>0</v>
      </c>
      <c r="L119">
        <f t="shared" si="11"/>
        <v>0</v>
      </c>
      <c r="M119">
        <f t="shared" si="12"/>
        <v>0</v>
      </c>
      <c r="N119">
        <f t="shared" si="20"/>
        <v>0</v>
      </c>
      <c r="O119">
        <f t="shared" si="13"/>
        <v>0</v>
      </c>
      <c r="P119">
        <f t="shared" si="14"/>
        <v>0</v>
      </c>
      <c r="R119" t="str">
        <f t="shared" si="15"/>
        <v>00</v>
      </c>
    </row>
    <row r="120" spans="1:18" x14ac:dyDescent="0.4">
      <c r="A120" s="1" t="str">
        <f t="shared" si="18"/>
        <v>03B</v>
      </c>
      <c r="B120">
        <f t="shared" si="19"/>
        <v>0</v>
      </c>
      <c r="C120">
        <f>VALUE(MID(Hex!$C$2,1+2*HEX2DEC(A120)+B120,1))</f>
        <v>0</v>
      </c>
      <c r="D120" s="1" t="str">
        <f t="shared" si="16"/>
        <v>076</v>
      </c>
      <c r="E120">
        <f>HEX2DEC(MID(Hex!$C$8,1+HEX2DEC(Edit!D120)*2,2))</f>
        <v>0</v>
      </c>
      <c r="F120">
        <f t="shared" si="17"/>
        <v>118</v>
      </c>
      <c r="G120" t="str">
        <f>_xlfn.LET(_xlpm.custom,_xlfn.XLOOKUP(F120,Data!A:A,Data!C:C),IF(_xlpm.custom="",_xlfn.XLOOKUP(F120,Data!A:A,Data!B:B),_xlpm.custom))</f>
        <v>Burn Drive</v>
      </c>
      <c r="H120" t="str">
        <f>_xlfn.XLOOKUP(C120,Data!A:A,Data!E:E)</f>
        <v>General</v>
      </c>
      <c r="J120">
        <f>IF(I120="",C120,_xlfn.XLOOKUP(I120,Data!E:E,Data!A:A,""))</f>
        <v>0</v>
      </c>
      <c r="L120">
        <f t="shared" si="11"/>
        <v>0</v>
      </c>
      <c r="M120">
        <f t="shared" si="12"/>
        <v>0</v>
      </c>
      <c r="N120">
        <f t="shared" si="20"/>
        <v>0</v>
      </c>
      <c r="O120">
        <f t="shared" si="13"/>
        <v>0</v>
      </c>
      <c r="P120">
        <f t="shared" si="14"/>
        <v>0</v>
      </c>
      <c r="R120" t="str">
        <f t="shared" si="15"/>
        <v>00</v>
      </c>
    </row>
    <row r="121" spans="1:18" x14ac:dyDescent="0.4">
      <c r="A121" s="1" t="str">
        <f t="shared" si="18"/>
        <v>03B</v>
      </c>
      <c r="B121">
        <f t="shared" si="19"/>
        <v>1</v>
      </c>
      <c r="C121">
        <f>VALUE(MID(Hex!$C$2,1+2*HEX2DEC(A121)+B121,1))</f>
        <v>0</v>
      </c>
      <c r="D121" s="1" t="str">
        <f t="shared" si="16"/>
        <v>077</v>
      </c>
      <c r="E121">
        <f>HEX2DEC(MID(Hex!$C$8,1+HEX2DEC(Edit!D121)*2,2))</f>
        <v>0</v>
      </c>
      <c r="F121">
        <f t="shared" si="17"/>
        <v>119</v>
      </c>
      <c r="G121" t="str">
        <f>_xlfn.LET(_xlpm.custom,_xlfn.XLOOKUP(F121,Data!A:A,Data!C:C),IF(_xlpm.custom="",_xlfn.XLOOKUP(F121,Data!A:A,Data!B:B),_xlpm.custom))</f>
        <v>Chill Drive</v>
      </c>
      <c r="H121" t="str">
        <f>_xlfn.XLOOKUP(C121,Data!A:A,Data!E:E)</f>
        <v>General</v>
      </c>
      <c r="J121">
        <f>IF(I121="",C121,_xlfn.XLOOKUP(I121,Data!E:E,Data!A:A,""))</f>
        <v>0</v>
      </c>
      <c r="L121">
        <f t="shared" si="11"/>
        <v>0</v>
      </c>
      <c r="M121">
        <f t="shared" si="12"/>
        <v>0</v>
      </c>
      <c r="N121">
        <f t="shared" si="20"/>
        <v>0</v>
      </c>
      <c r="O121">
        <f t="shared" si="13"/>
        <v>0</v>
      </c>
      <c r="P121">
        <f t="shared" si="14"/>
        <v>0</v>
      </c>
      <c r="R121" t="str">
        <f t="shared" si="15"/>
        <v>00</v>
      </c>
    </row>
    <row r="122" spans="1:18" x14ac:dyDescent="0.4">
      <c r="A122" s="1" t="str">
        <f t="shared" si="18"/>
        <v>03C</v>
      </c>
      <c r="B122">
        <f t="shared" si="19"/>
        <v>0</v>
      </c>
      <c r="C122">
        <f>VALUE(MID(Hex!$C$2,1+2*HEX2DEC(A122)+B122,1))</f>
        <v>0</v>
      </c>
      <c r="D122" s="1" t="str">
        <f t="shared" si="16"/>
        <v>078</v>
      </c>
      <c r="E122">
        <f>HEX2DEC(MID(Hex!$C$8,1+HEX2DEC(Edit!D122)*2,2))</f>
        <v>0</v>
      </c>
      <c r="F122">
        <f t="shared" si="17"/>
        <v>120</v>
      </c>
      <c r="G122" t="str">
        <f>_xlfn.LET(_xlpm.custom,_xlfn.XLOOKUP(F122,Data!A:A,Data!C:C),IF(_xlpm.custom="",_xlfn.XLOOKUP(F122,Data!A:A,Data!B:B),_xlpm.custom))</f>
        <v>Frost Orb</v>
      </c>
      <c r="H122" t="str">
        <f>_xlfn.XLOOKUP(C122,Data!A:A,Data!E:E)</f>
        <v>General</v>
      </c>
      <c r="J122">
        <f>IF(I122="",C122,_xlfn.XLOOKUP(I122,Data!E:E,Data!A:A,""))</f>
        <v>0</v>
      </c>
      <c r="L122">
        <f t="shared" si="11"/>
        <v>0</v>
      </c>
      <c r="M122">
        <f t="shared" si="12"/>
        <v>0</v>
      </c>
      <c r="N122">
        <f t="shared" si="20"/>
        <v>0</v>
      </c>
      <c r="O122">
        <f t="shared" si="13"/>
        <v>0</v>
      </c>
      <c r="P122">
        <f t="shared" si="14"/>
        <v>0</v>
      </c>
      <c r="R122" t="str">
        <f t="shared" si="15"/>
        <v>00</v>
      </c>
    </row>
    <row r="123" spans="1:18" x14ac:dyDescent="0.4">
      <c r="A123" s="1" t="str">
        <f t="shared" si="18"/>
        <v>03C</v>
      </c>
      <c r="B123">
        <f t="shared" si="19"/>
        <v>1</v>
      </c>
      <c r="C123">
        <f>VALUE(MID(Hex!$C$2,1+2*HEX2DEC(A123)+B123,1))</f>
        <v>0</v>
      </c>
      <c r="D123" s="1" t="str">
        <f t="shared" si="16"/>
        <v>079</v>
      </c>
      <c r="E123">
        <f>HEX2DEC(MID(Hex!$C$8,1+HEX2DEC(Edit!D123)*2,2))</f>
        <v>0</v>
      </c>
      <c r="F123">
        <f t="shared" si="17"/>
        <v>121</v>
      </c>
      <c r="G123" t="str">
        <f>_xlfn.LET(_xlpm.custom,_xlfn.XLOOKUP(F123,Data!A:A,Data!C:C),IF(_xlpm.custom="",_xlfn.XLOOKUP(F123,Data!A:A,Data!B:B),_xlpm.custom))</f>
        <v>Spark Orb</v>
      </c>
      <c r="H123" t="str">
        <f>_xlfn.XLOOKUP(C123,Data!A:A,Data!E:E)</f>
        <v>General</v>
      </c>
      <c r="J123">
        <f>IF(I123="",C123,_xlfn.XLOOKUP(I123,Data!E:E,Data!A:A,""))</f>
        <v>0</v>
      </c>
      <c r="L123">
        <f t="shared" si="11"/>
        <v>0</v>
      </c>
      <c r="M123">
        <f t="shared" si="12"/>
        <v>0</v>
      </c>
      <c r="N123">
        <f t="shared" si="20"/>
        <v>0</v>
      </c>
      <c r="O123">
        <f t="shared" si="13"/>
        <v>0</v>
      </c>
      <c r="P123">
        <f t="shared" si="14"/>
        <v>0</v>
      </c>
      <c r="R123" t="str">
        <f t="shared" si="15"/>
        <v>00</v>
      </c>
    </row>
    <row r="124" spans="1:18" x14ac:dyDescent="0.4">
      <c r="A124" s="1" t="str">
        <f t="shared" si="18"/>
        <v>03D</v>
      </c>
      <c r="B124">
        <f t="shared" si="19"/>
        <v>0</v>
      </c>
      <c r="C124">
        <f>VALUE(MID(Hex!$C$2,1+2*HEX2DEC(A124)+B124,1))</f>
        <v>0</v>
      </c>
      <c r="D124" s="1" t="str">
        <f t="shared" si="16"/>
        <v>07A</v>
      </c>
      <c r="E124">
        <f>HEX2DEC(MID(Hex!$C$8,1+HEX2DEC(Edit!D124)*2,2))</f>
        <v>0</v>
      </c>
      <c r="F124">
        <f t="shared" si="17"/>
        <v>122</v>
      </c>
      <c r="G124" t="str">
        <f>_xlfn.LET(_xlpm.custom,_xlfn.XLOOKUP(F124,Data!A:A,Data!C:C),IF(_xlpm.custom="",_xlfn.XLOOKUP(F124,Data!A:A,Data!B:B),_xlpm.custom))</f>
        <v>Clear Amulet</v>
      </c>
      <c r="H124" t="str">
        <f>_xlfn.XLOOKUP(C124,Data!A:A,Data!E:E)</f>
        <v>General</v>
      </c>
      <c r="J124">
        <f>IF(I124="",C124,_xlfn.XLOOKUP(I124,Data!E:E,Data!A:A,""))</f>
        <v>0</v>
      </c>
      <c r="L124">
        <f t="shared" si="11"/>
        <v>0</v>
      </c>
      <c r="M124">
        <f t="shared" si="12"/>
        <v>0</v>
      </c>
      <c r="N124">
        <f t="shared" si="20"/>
        <v>0</v>
      </c>
      <c r="O124">
        <f t="shared" si="13"/>
        <v>0</v>
      </c>
      <c r="P124">
        <f t="shared" si="14"/>
        <v>0</v>
      </c>
      <c r="R124" t="str">
        <f t="shared" si="15"/>
        <v>00</v>
      </c>
    </row>
    <row r="125" spans="1:18" x14ac:dyDescent="0.4">
      <c r="A125" s="1" t="str">
        <f t="shared" si="18"/>
        <v>03D</v>
      </c>
      <c r="B125">
        <f t="shared" si="19"/>
        <v>1</v>
      </c>
      <c r="C125">
        <f>VALUE(MID(Hex!$C$2,1+2*HEX2DEC(A125)+B125,1))</f>
        <v>7</v>
      </c>
      <c r="D125" s="1" t="str">
        <f t="shared" si="16"/>
        <v>07B</v>
      </c>
      <c r="E125">
        <f>HEX2DEC(MID(Hex!$C$8,1+HEX2DEC(Edit!D125)*2,2))</f>
        <v>0</v>
      </c>
      <c r="F125">
        <f t="shared" si="17"/>
        <v>123</v>
      </c>
      <c r="G125" t="str">
        <f>_xlfn.LET(_xlpm.custom,_xlfn.XLOOKUP(F125,Data!A:A,Data!C:C),IF(_xlpm.custom="",_xlfn.XLOOKUP(F125,Data!A:A,Data!B:B),_xlpm.custom))</f>
        <v>Squirtilium Z</v>
      </c>
      <c r="H125" t="str">
        <f>_xlfn.XLOOKUP(C125,Data!A:A,Data!E:E)</f>
        <v>Z-Crystal (Hold Version)</v>
      </c>
      <c r="J125">
        <f>IF(I125="",C125,_xlfn.XLOOKUP(I125,Data!E:E,Data!A:A,""))</f>
        <v>7</v>
      </c>
      <c r="L125">
        <f t="shared" si="11"/>
        <v>0</v>
      </c>
      <c r="M125">
        <f t="shared" si="12"/>
        <v>0</v>
      </c>
      <c r="N125">
        <f t="shared" si="20"/>
        <v>0</v>
      </c>
      <c r="O125">
        <f t="shared" si="13"/>
        <v>0</v>
      </c>
      <c r="P125">
        <f t="shared" si="14"/>
        <v>0</v>
      </c>
      <c r="R125" t="str">
        <f t="shared" si="15"/>
        <v>00</v>
      </c>
    </row>
    <row r="126" spans="1:18" x14ac:dyDescent="0.4">
      <c r="A126" s="1" t="str">
        <f t="shared" si="18"/>
        <v>03E</v>
      </c>
      <c r="B126">
        <f t="shared" si="19"/>
        <v>0</v>
      </c>
      <c r="C126">
        <f>VALUE(MID(Hex!$C$2,1+2*HEX2DEC(A126)+B126,1))</f>
        <v>0</v>
      </c>
      <c r="D126" s="1" t="str">
        <f t="shared" si="16"/>
        <v>07C</v>
      </c>
      <c r="E126">
        <f>HEX2DEC(MID(Hex!$C$8,1+HEX2DEC(Edit!D126)*2,2))</f>
        <v>0</v>
      </c>
      <c r="F126">
        <f t="shared" si="17"/>
        <v>124</v>
      </c>
      <c r="G126" t="str">
        <f>_xlfn.LET(_xlpm.custom,_xlfn.XLOOKUP(F126,Data!A:A,Data!C:C),IF(_xlpm.custom="",_xlfn.XLOOKUP(F126,Data!A:A,Data!B:B),_xlpm.custom))</f>
        <v>Radiant Cloak</v>
      </c>
      <c r="H126" t="str">
        <f>_xlfn.XLOOKUP(C126,Data!A:A,Data!E:E)</f>
        <v>General</v>
      </c>
      <c r="J126">
        <f>IF(I126="",C126,_xlfn.XLOOKUP(I126,Data!E:E,Data!A:A,""))</f>
        <v>0</v>
      </c>
      <c r="L126">
        <f t="shared" si="11"/>
        <v>0</v>
      </c>
      <c r="M126">
        <f t="shared" si="12"/>
        <v>0</v>
      </c>
      <c r="N126">
        <f t="shared" si="20"/>
        <v>0</v>
      </c>
      <c r="O126">
        <f t="shared" si="13"/>
        <v>0</v>
      </c>
      <c r="P126">
        <f t="shared" si="14"/>
        <v>0</v>
      </c>
      <c r="R126" t="str">
        <f t="shared" si="15"/>
        <v>00</v>
      </c>
    </row>
    <row r="127" spans="1:18" x14ac:dyDescent="0.4">
      <c r="A127" s="1" t="str">
        <f t="shared" si="18"/>
        <v>03E</v>
      </c>
      <c r="B127">
        <f t="shared" si="19"/>
        <v>1</v>
      </c>
      <c r="C127">
        <f>VALUE(MID(Hex!$C$2,1+2*HEX2DEC(A127)+B127,1))</f>
        <v>0</v>
      </c>
      <c r="D127" s="1" t="str">
        <f t="shared" si="16"/>
        <v>07D</v>
      </c>
      <c r="E127">
        <f>HEX2DEC(MID(Hex!$C$8,1+HEX2DEC(Edit!D127)*2,2))</f>
        <v>0</v>
      </c>
      <c r="F127">
        <f t="shared" si="17"/>
        <v>125</v>
      </c>
      <c r="G127" t="str">
        <f>_xlfn.LET(_xlpm.custom,_xlfn.XLOOKUP(F127,Data!A:A,Data!C:C),IF(_xlpm.custom="",_xlfn.XLOOKUP(F127,Data!A:A,Data!B:B),_xlpm.custom))</f>
        <v>Hallucinatory Map</v>
      </c>
      <c r="H127" t="str">
        <f>_xlfn.XLOOKUP(C127,Data!A:A,Data!E:E)</f>
        <v>General</v>
      </c>
      <c r="J127">
        <f>IF(I127="",C127,_xlfn.XLOOKUP(I127,Data!E:E,Data!A:A,""))</f>
        <v>0</v>
      </c>
      <c r="L127">
        <f t="shared" si="11"/>
        <v>0</v>
      </c>
      <c r="M127">
        <f t="shared" si="12"/>
        <v>0</v>
      </c>
      <c r="N127">
        <f t="shared" si="20"/>
        <v>0</v>
      </c>
      <c r="O127">
        <f t="shared" si="13"/>
        <v>0</v>
      </c>
      <c r="P127">
        <f t="shared" si="14"/>
        <v>0</v>
      </c>
      <c r="R127" t="str">
        <f t="shared" si="15"/>
        <v>00</v>
      </c>
    </row>
    <row r="128" spans="1:18" x14ac:dyDescent="0.4">
      <c r="A128" s="1" t="str">
        <f t="shared" si="18"/>
        <v>03F</v>
      </c>
      <c r="B128">
        <f t="shared" si="19"/>
        <v>0</v>
      </c>
      <c r="C128">
        <f>VALUE(MID(Hex!$C$2,1+2*HEX2DEC(A128)+B128,1))</f>
        <v>0</v>
      </c>
      <c r="D128" s="1" t="str">
        <f t="shared" si="16"/>
        <v>07E</v>
      </c>
      <c r="E128">
        <f>HEX2DEC(MID(Hex!$C$8,1+HEX2DEC(Edit!D128)*2,2))</f>
        <v>0</v>
      </c>
      <c r="F128">
        <f t="shared" si="17"/>
        <v>126</v>
      </c>
      <c r="G128" t="str">
        <f>_xlfn.LET(_xlpm.custom,_xlfn.XLOOKUP(F128,Data!A:A,Data!C:C),IF(_xlpm.custom="",_xlfn.XLOOKUP(F128,Data!A:A,Data!B:B),_xlpm.custom))</f>
        <v>Solar Sail</v>
      </c>
      <c r="H128" t="str">
        <f>_xlfn.XLOOKUP(C128,Data!A:A,Data!E:E)</f>
        <v>General</v>
      </c>
      <c r="J128">
        <f>IF(I128="",C128,_xlfn.XLOOKUP(I128,Data!E:E,Data!A:A,""))</f>
        <v>0</v>
      </c>
      <c r="L128">
        <f t="shared" si="11"/>
        <v>0</v>
      </c>
      <c r="M128">
        <f t="shared" si="12"/>
        <v>0</v>
      </c>
      <c r="N128">
        <f t="shared" si="20"/>
        <v>0</v>
      </c>
      <c r="O128">
        <f t="shared" si="13"/>
        <v>0</v>
      </c>
      <c r="P128">
        <f t="shared" si="14"/>
        <v>0</v>
      </c>
      <c r="R128" t="str">
        <f t="shared" si="15"/>
        <v>00</v>
      </c>
    </row>
    <row r="129" spans="1:18" x14ac:dyDescent="0.4">
      <c r="A129" s="1" t="str">
        <f t="shared" si="18"/>
        <v>03F</v>
      </c>
      <c r="B129">
        <f t="shared" si="19"/>
        <v>1</v>
      </c>
      <c r="C129">
        <f>VALUE(MID(Hex!$C$2,1+2*HEX2DEC(A129)+B129,1))</f>
        <v>0</v>
      </c>
      <c r="D129" s="1" t="str">
        <f t="shared" si="16"/>
        <v>07F</v>
      </c>
      <c r="E129">
        <f>HEX2DEC(MID(Hex!$C$8,1+HEX2DEC(Edit!D129)*2,2))</f>
        <v>0</v>
      </c>
      <c r="F129">
        <f t="shared" si="17"/>
        <v>127</v>
      </c>
      <c r="G129" t="str">
        <f>_xlfn.LET(_xlpm.custom,_xlfn.XLOOKUP(F129,Data!A:A,Data!C:C),IF(_xlpm.custom="",_xlfn.XLOOKUP(F129,Data!A:A,Data!B:B),_xlpm.custom))</f>
        <v>Kinglerite</v>
      </c>
      <c r="H129" t="str">
        <f>_xlfn.XLOOKUP(C129,Data!A:A,Data!E:E)</f>
        <v>General</v>
      </c>
      <c r="J129">
        <f>IF(I129="",C129,_xlfn.XLOOKUP(I129,Data!E:E,Data!A:A,""))</f>
        <v>0</v>
      </c>
      <c r="L129">
        <f t="shared" si="11"/>
        <v>0</v>
      </c>
      <c r="M129">
        <f t="shared" si="12"/>
        <v>0</v>
      </c>
      <c r="N129">
        <f t="shared" si="20"/>
        <v>0</v>
      </c>
      <c r="O129">
        <f t="shared" si="13"/>
        <v>0</v>
      </c>
      <c r="P129">
        <f t="shared" si="14"/>
        <v>0</v>
      </c>
      <c r="R129" t="str">
        <f t="shared" si="15"/>
        <v>00</v>
      </c>
    </row>
    <row r="130" spans="1:18" x14ac:dyDescent="0.4">
      <c r="A130" s="1" t="str">
        <f t="shared" si="18"/>
        <v>040</v>
      </c>
      <c r="B130">
        <f t="shared" si="19"/>
        <v>0</v>
      </c>
      <c r="C130">
        <f>VALUE(MID(Hex!$C$2,1+2*HEX2DEC(A130)+B130,1))</f>
        <v>0</v>
      </c>
      <c r="D130" s="1" t="str">
        <f t="shared" si="16"/>
        <v>080</v>
      </c>
      <c r="E130">
        <f>HEX2DEC(MID(Hex!$C$8,1+HEX2DEC(Edit!D130)*2,2))</f>
        <v>0</v>
      </c>
      <c r="F130">
        <f t="shared" si="17"/>
        <v>128</v>
      </c>
      <c r="G130" t="str">
        <f>_xlfn.LET(_xlpm.custom,_xlfn.XLOOKUP(F130,Data!A:A,Data!C:C),IF(_xlpm.custom="",_xlfn.XLOOKUP(F130,Data!A:A,Data!B:B),_xlpm.custom))</f>
        <v>Vikavoltinite</v>
      </c>
      <c r="H130" t="str">
        <f>_xlfn.XLOOKUP(C130,Data!A:A,Data!E:E)</f>
        <v>General</v>
      </c>
      <c r="J130">
        <f>IF(I130="",C130,_xlfn.XLOOKUP(I130,Data!E:E,Data!A:A,""))</f>
        <v>0</v>
      </c>
      <c r="L130">
        <f t="shared" si="11"/>
        <v>0</v>
      </c>
      <c r="M130">
        <f t="shared" si="12"/>
        <v>0</v>
      </c>
      <c r="N130">
        <f t="shared" si="20"/>
        <v>0</v>
      </c>
      <c r="O130">
        <f t="shared" si="13"/>
        <v>0</v>
      </c>
      <c r="P130">
        <f t="shared" si="14"/>
        <v>0</v>
      </c>
      <c r="R130" t="str">
        <f t="shared" si="15"/>
        <v>00</v>
      </c>
    </row>
    <row r="131" spans="1:18" x14ac:dyDescent="0.4">
      <c r="A131" s="1" t="str">
        <f t="shared" si="18"/>
        <v>040</v>
      </c>
      <c r="B131">
        <f t="shared" si="19"/>
        <v>1</v>
      </c>
      <c r="C131">
        <f>VALUE(MID(Hex!$C$2,1+2*HEX2DEC(A131)+B131,1))</f>
        <v>0</v>
      </c>
      <c r="D131" s="1" t="str">
        <f t="shared" si="16"/>
        <v>081</v>
      </c>
      <c r="E131">
        <f>HEX2DEC(MID(Hex!$C$8,1+HEX2DEC(Edit!D131)*2,2))</f>
        <v>0</v>
      </c>
      <c r="F131">
        <f t="shared" si="17"/>
        <v>129</v>
      </c>
      <c r="G131" t="str">
        <f>_xlfn.LET(_xlpm.custom,_xlfn.XLOOKUP(F131,Data!A:A,Data!C:C),IF(_xlpm.custom="",_xlfn.XLOOKUP(F131,Data!A:A,Data!B:B),_xlpm.custom))</f>
        <v>Togekissite</v>
      </c>
      <c r="H131" t="str">
        <f>_xlfn.XLOOKUP(C131,Data!A:A,Data!E:E)</f>
        <v>General</v>
      </c>
      <c r="J131">
        <f>IF(I131="",C131,_xlfn.XLOOKUP(I131,Data!E:E,Data!A:A,""))</f>
        <v>0</v>
      </c>
      <c r="L131">
        <f t="shared" ref="L131:L194" si="21">_xlfn.BITAND(E131,1)</f>
        <v>0</v>
      </c>
      <c r="M131">
        <f t="shared" ref="M131:M194" si="22">_xlfn.BITAND($E131,2)</f>
        <v>0</v>
      </c>
      <c r="N131">
        <f t="shared" si="20"/>
        <v>0</v>
      </c>
      <c r="O131">
        <f t="shared" ref="O131:O194" si="23">_xlfn.BITAND($E131,8)</f>
        <v>0</v>
      </c>
      <c r="P131">
        <f t="shared" ref="P131:P194" si="24">_xlfn.BITAND($E131,16)</f>
        <v>0</v>
      </c>
      <c r="R131" t="str">
        <f t="shared" ref="R131:R194" si="25">DEC2HEX(SUM(L131:P131),2)</f>
        <v>00</v>
      </c>
    </row>
    <row r="132" spans="1:18" x14ac:dyDescent="0.4">
      <c r="A132" s="1" t="str">
        <f t="shared" si="18"/>
        <v>041</v>
      </c>
      <c r="B132">
        <f t="shared" si="19"/>
        <v>0</v>
      </c>
      <c r="C132">
        <f>VALUE(MID(Hex!$C$2,1+2*HEX2DEC(A132)+B132,1))</f>
        <v>0</v>
      </c>
      <c r="D132" s="1" t="str">
        <f t="shared" ref="D132:D195" si="26">DEC2HEX(1+HEX2DEC(D131),3)</f>
        <v>082</v>
      </c>
      <c r="E132">
        <f>HEX2DEC(MID(Hex!$C$8,1+HEX2DEC(Edit!D132)*2,2))</f>
        <v>0</v>
      </c>
      <c r="F132">
        <f t="shared" ref="F132:F195" si="27">F131+1</f>
        <v>130</v>
      </c>
      <c r="G132" t="str">
        <f>_xlfn.LET(_xlpm.custom,_xlfn.XLOOKUP(F132,Data!A:A,Data!C:C),IF(_xlpm.custom="",_xlfn.XLOOKUP(F132,Data!A:A,Data!B:B),_xlpm.custom))</f>
        <v>Flygonite</v>
      </c>
      <c r="H132" t="str">
        <f>_xlfn.XLOOKUP(C132,Data!A:A,Data!E:E)</f>
        <v>General</v>
      </c>
      <c r="J132">
        <f>IF(I132="",C132,_xlfn.XLOOKUP(I132,Data!E:E,Data!A:A,""))</f>
        <v>0</v>
      </c>
      <c r="L132">
        <f t="shared" si="21"/>
        <v>0</v>
      </c>
      <c r="M132">
        <f t="shared" si="22"/>
        <v>0</v>
      </c>
      <c r="N132">
        <f t="shared" si="20"/>
        <v>0</v>
      </c>
      <c r="O132">
        <f t="shared" si="23"/>
        <v>0</v>
      </c>
      <c r="P132">
        <f t="shared" si="24"/>
        <v>0</v>
      </c>
      <c r="R132" t="str">
        <f t="shared" si="25"/>
        <v>00</v>
      </c>
    </row>
    <row r="133" spans="1:18" x14ac:dyDescent="0.4">
      <c r="A133" s="1" t="str">
        <f t="shared" ref="A133:A196" si="28">DEC2HEX(1+HEX2DEC(A131),3)</f>
        <v>041</v>
      </c>
      <c r="B133">
        <f t="shared" ref="B133:B196" si="29">B131</f>
        <v>1</v>
      </c>
      <c r="C133">
        <f>VALUE(MID(Hex!$C$2,1+2*HEX2DEC(A133)+B133,1))</f>
        <v>0</v>
      </c>
      <c r="D133" s="1" t="str">
        <f t="shared" si="26"/>
        <v>083</v>
      </c>
      <c r="E133">
        <f>HEX2DEC(MID(Hex!$C$8,1+HEX2DEC(Edit!D133)*2,2))</f>
        <v>0</v>
      </c>
      <c r="F133">
        <f t="shared" si="27"/>
        <v>131</v>
      </c>
      <c r="G133" t="str">
        <f>_xlfn.LET(_xlpm.custom,_xlfn.XLOOKUP(F133,Data!A:A,Data!C:C),IF(_xlpm.custom="",_xlfn.XLOOKUP(F133,Data!A:A,Data!B:B),_xlpm.custom))</f>
        <v>Laprasite</v>
      </c>
      <c r="H133" t="str">
        <f>_xlfn.XLOOKUP(C133,Data!A:A,Data!E:E)</f>
        <v>General</v>
      </c>
      <c r="J133">
        <f>IF(I133="",C133,_xlfn.XLOOKUP(I133,Data!E:E,Data!A:A,""))</f>
        <v>0</v>
      </c>
      <c r="L133">
        <f t="shared" si="21"/>
        <v>0</v>
      </c>
      <c r="M133">
        <f t="shared" si="22"/>
        <v>0</v>
      </c>
      <c r="N133">
        <f t="shared" si="20"/>
        <v>0</v>
      </c>
      <c r="O133">
        <f t="shared" si="23"/>
        <v>0</v>
      </c>
      <c r="P133">
        <f t="shared" si="24"/>
        <v>0</v>
      </c>
      <c r="R133" t="str">
        <f t="shared" si="25"/>
        <v>00</v>
      </c>
    </row>
    <row r="134" spans="1:18" x14ac:dyDescent="0.4">
      <c r="A134" s="1" t="str">
        <f t="shared" si="28"/>
        <v>042</v>
      </c>
      <c r="B134">
        <f t="shared" si="29"/>
        <v>0</v>
      </c>
      <c r="C134">
        <f>VALUE(MID(Hex!$C$2,1+2*HEX2DEC(A134)+B134,1))</f>
        <v>0</v>
      </c>
      <c r="D134" s="1" t="str">
        <f t="shared" si="26"/>
        <v>084</v>
      </c>
      <c r="E134">
        <f>HEX2DEC(MID(Hex!$C$8,1+HEX2DEC(Edit!D134)*2,2))</f>
        <v>0</v>
      </c>
      <c r="F134">
        <f t="shared" si="27"/>
        <v>132</v>
      </c>
      <c r="G134" t="str">
        <f>_xlfn.LET(_xlpm.custom,_xlfn.XLOOKUP(F134,Data!A:A,Data!C:C),IF(_xlpm.custom="",_xlfn.XLOOKUP(F134,Data!A:A,Data!B:B),_xlpm.custom))</f>
        <v>Chesnaughtite</v>
      </c>
      <c r="H134" t="str">
        <f>_xlfn.XLOOKUP(C134,Data!A:A,Data!E:E)</f>
        <v>General</v>
      </c>
      <c r="J134">
        <f>IF(I134="",C134,_xlfn.XLOOKUP(I134,Data!E:E,Data!A:A,""))</f>
        <v>0</v>
      </c>
      <c r="L134">
        <f t="shared" si="21"/>
        <v>0</v>
      </c>
      <c r="M134">
        <f t="shared" si="22"/>
        <v>0</v>
      </c>
      <c r="N134">
        <f t="shared" si="20"/>
        <v>0</v>
      </c>
      <c r="O134">
        <f t="shared" si="23"/>
        <v>0</v>
      </c>
      <c r="P134">
        <f t="shared" si="24"/>
        <v>0</v>
      </c>
      <c r="R134" t="str">
        <f t="shared" si="25"/>
        <v>00</v>
      </c>
    </row>
    <row r="135" spans="1:18" x14ac:dyDescent="0.4">
      <c r="A135" s="1" t="str">
        <f t="shared" si="28"/>
        <v>042</v>
      </c>
      <c r="B135">
        <f t="shared" si="29"/>
        <v>1</v>
      </c>
      <c r="C135">
        <f>VALUE(MID(Hex!$C$2,1+2*HEX2DEC(A135)+B135,1))</f>
        <v>0</v>
      </c>
      <c r="D135" s="1" t="str">
        <f t="shared" si="26"/>
        <v>085</v>
      </c>
      <c r="E135">
        <f>HEX2DEC(MID(Hex!$C$8,1+HEX2DEC(Edit!D135)*2,2))</f>
        <v>0</v>
      </c>
      <c r="F135">
        <f t="shared" si="27"/>
        <v>133</v>
      </c>
      <c r="G135" t="str">
        <f>_xlfn.LET(_xlpm.custom,_xlfn.XLOOKUP(F135,Data!A:A,Data!C:C),IF(_xlpm.custom="",_xlfn.XLOOKUP(F135,Data!A:A,Data!B:B),_xlpm.custom))</f>
        <v>Delphoxite</v>
      </c>
      <c r="H135" t="str">
        <f>_xlfn.XLOOKUP(C135,Data!A:A,Data!E:E)</f>
        <v>General</v>
      </c>
      <c r="J135">
        <f>IF(I135="",C135,_xlfn.XLOOKUP(I135,Data!E:E,Data!A:A,""))</f>
        <v>0</v>
      </c>
      <c r="L135">
        <f t="shared" si="21"/>
        <v>0</v>
      </c>
      <c r="M135">
        <f t="shared" si="22"/>
        <v>0</v>
      </c>
      <c r="N135">
        <f t="shared" si="20"/>
        <v>0</v>
      </c>
      <c r="O135">
        <f t="shared" si="23"/>
        <v>0</v>
      </c>
      <c r="P135">
        <f t="shared" si="24"/>
        <v>0</v>
      </c>
      <c r="R135" t="str">
        <f t="shared" si="25"/>
        <v>00</v>
      </c>
    </row>
    <row r="136" spans="1:18" x14ac:dyDescent="0.4">
      <c r="A136" s="1" t="str">
        <f t="shared" si="28"/>
        <v>043</v>
      </c>
      <c r="B136">
        <f t="shared" si="29"/>
        <v>0</v>
      </c>
      <c r="C136">
        <f>VALUE(MID(Hex!$C$2,1+2*HEX2DEC(A136)+B136,1))</f>
        <v>1</v>
      </c>
      <c r="D136" s="1" t="str">
        <f t="shared" si="26"/>
        <v>086</v>
      </c>
      <c r="E136">
        <f>HEX2DEC(MID(Hex!$C$8,1+HEX2DEC(Edit!D136)*2,2))</f>
        <v>4</v>
      </c>
      <c r="F136">
        <f t="shared" si="27"/>
        <v>134</v>
      </c>
      <c r="G136" t="str">
        <f>_xlfn.LET(_xlpm.custom,_xlfn.XLOOKUP(F136,Data!A:A,Data!C:C),IF(_xlpm.custom="",_xlfn.XLOOKUP(F136,Data!A:A,Data!B:B),_xlpm.custom))</f>
        <v>Sweet Heart</v>
      </c>
      <c r="H136" t="str">
        <f>_xlfn.XLOOKUP(C136,Data!A:A,Data!E:E)</f>
        <v>Medicine</v>
      </c>
      <c r="J136">
        <f>IF(I136="",C136,_xlfn.XLOOKUP(I136,Data!E:E,Data!A:A,""))</f>
        <v>1</v>
      </c>
      <c r="L136">
        <f t="shared" si="21"/>
        <v>0</v>
      </c>
      <c r="M136">
        <f t="shared" si="22"/>
        <v>0</v>
      </c>
      <c r="N136">
        <f t="shared" si="20"/>
        <v>4</v>
      </c>
      <c r="O136">
        <f t="shared" si="23"/>
        <v>0</v>
      </c>
      <c r="P136">
        <f t="shared" si="24"/>
        <v>0</v>
      </c>
      <c r="R136" t="str">
        <f t="shared" si="25"/>
        <v>04</v>
      </c>
    </row>
    <row r="137" spans="1:18" x14ac:dyDescent="0.4">
      <c r="A137" s="1" t="str">
        <f t="shared" si="28"/>
        <v>043</v>
      </c>
      <c r="B137">
        <f t="shared" si="29"/>
        <v>1</v>
      </c>
      <c r="C137">
        <f>VALUE(MID(Hex!$C$2,1+2*HEX2DEC(A137)+B137,1))</f>
        <v>0</v>
      </c>
      <c r="D137" s="1" t="str">
        <f t="shared" si="26"/>
        <v>087</v>
      </c>
      <c r="E137">
        <f>HEX2DEC(MID(Hex!$C$8,1+HEX2DEC(Edit!D137)*2,2))</f>
        <v>0</v>
      </c>
      <c r="F137">
        <f t="shared" si="27"/>
        <v>135</v>
      </c>
      <c r="G137" t="str">
        <f>_xlfn.LET(_xlpm.custom,_xlfn.XLOOKUP(F137,Data!A:A,Data!C:C),IF(_xlpm.custom="",_xlfn.XLOOKUP(F137,Data!A:A,Data!B:B),_xlpm.custom))</f>
        <v>Adamant Orb</v>
      </c>
      <c r="H137" t="str">
        <f>_xlfn.XLOOKUP(C137,Data!A:A,Data!E:E)</f>
        <v>General</v>
      </c>
      <c r="J137">
        <f>IF(I137="",C137,_xlfn.XLOOKUP(I137,Data!E:E,Data!A:A,""))</f>
        <v>0</v>
      </c>
      <c r="L137">
        <f t="shared" si="21"/>
        <v>0</v>
      </c>
      <c r="M137">
        <f t="shared" si="22"/>
        <v>0</v>
      </c>
      <c r="N137">
        <f t="shared" si="20"/>
        <v>0</v>
      </c>
      <c r="O137">
        <f t="shared" si="23"/>
        <v>0</v>
      </c>
      <c r="P137">
        <f t="shared" si="24"/>
        <v>0</v>
      </c>
      <c r="R137" t="str">
        <f t="shared" si="25"/>
        <v>00</v>
      </c>
    </row>
    <row r="138" spans="1:18" x14ac:dyDescent="0.4">
      <c r="A138" s="1" t="str">
        <f t="shared" si="28"/>
        <v>044</v>
      </c>
      <c r="B138">
        <f t="shared" si="29"/>
        <v>0</v>
      </c>
      <c r="C138">
        <f>VALUE(MID(Hex!$C$2,1+2*HEX2DEC(A138)+B138,1))</f>
        <v>0</v>
      </c>
      <c r="D138" s="1" t="str">
        <f t="shared" si="26"/>
        <v>088</v>
      </c>
      <c r="E138">
        <f>HEX2DEC(MID(Hex!$C$8,1+HEX2DEC(Edit!D138)*2,2))</f>
        <v>0</v>
      </c>
      <c r="F138">
        <f t="shared" si="27"/>
        <v>136</v>
      </c>
      <c r="G138" t="str">
        <f>_xlfn.LET(_xlpm.custom,_xlfn.XLOOKUP(F138,Data!A:A,Data!C:C),IF(_xlpm.custom="",_xlfn.XLOOKUP(F138,Data!A:A,Data!B:B),_xlpm.custom))</f>
        <v>Lustrous Orb</v>
      </c>
      <c r="H138" t="str">
        <f>_xlfn.XLOOKUP(C138,Data!A:A,Data!E:E)</f>
        <v>General</v>
      </c>
      <c r="J138">
        <f>IF(I138="",C138,_xlfn.XLOOKUP(I138,Data!E:E,Data!A:A,""))</f>
        <v>0</v>
      </c>
      <c r="L138">
        <f t="shared" si="21"/>
        <v>0</v>
      </c>
      <c r="M138">
        <f t="shared" si="22"/>
        <v>0</v>
      </c>
      <c r="N138">
        <f t="shared" si="20"/>
        <v>0</v>
      </c>
      <c r="O138">
        <f t="shared" si="23"/>
        <v>0</v>
      </c>
      <c r="P138">
        <f t="shared" si="24"/>
        <v>0</v>
      </c>
      <c r="R138" t="str">
        <f t="shared" si="25"/>
        <v>00</v>
      </c>
    </row>
    <row r="139" spans="1:18" x14ac:dyDescent="0.4">
      <c r="A139" s="1" t="str">
        <f t="shared" si="28"/>
        <v>044</v>
      </c>
      <c r="B139">
        <f t="shared" si="29"/>
        <v>1</v>
      </c>
      <c r="C139">
        <f>VALUE(MID(Hex!$C$2,1+2*HEX2DEC(A139)+B139,1))</f>
        <v>0</v>
      </c>
      <c r="D139" s="1" t="str">
        <f t="shared" si="26"/>
        <v>089</v>
      </c>
      <c r="E139">
        <f>HEX2DEC(MID(Hex!$C$8,1+HEX2DEC(Edit!D139)*2,2))</f>
        <v>0</v>
      </c>
      <c r="F139">
        <f t="shared" si="27"/>
        <v>137</v>
      </c>
      <c r="G139" t="str">
        <f>_xlfn.LET(_xlpm.custom,_xlfn.XLOOKUP(F139,Data!A:A,Data!C:C),IF(_xlpm.custom="",_xlfn.XLOOKUP(F139,Data!A:A,Data!B:B),_xlpm.custom))</f>
        <v>Greet Mail</v>
      </c>
      <c r="H139" t="str">
        <f>_xlfn.XLOOKUP(C139,Data!A:A,Data!E:E)</f>
        <v>General</v>
      </c>
      <c r="J139">
        <f>IF(I139="",C139,_xlfn.XLOOKUP(I139,Data!E:E,Data!A:A,""))</f>
        <v>0</v>
      </c>
      <c r="L139">
        <f t="shared" si="21"/>
        <v>0</v>
      </c>
      <c r="M139">
        <f t="shared" si="22"/>
        <v>0</v>
      </c>
      <c r="N139">
        <f t="shared" si="20"/>
        <v>0</v>
      </c>
      <c r="O139">
        <f t="shared" si="23"/>
        <v>0</v>
      </c>
      <c r="P139">
        <f t="shared" si="24"/>
        <v>0</v>
      </c>
      <c r="R139" t="str">
        <f t="shared" si="25"/>
        <v>00</v>
      </c>
    </row>
    <row r="140" spans="1:18" x14ac:dyDescent="0.4">
      <c r="A140" s="1" t="str">
        <f t="shared" si="28"/>
        <v>045</v>
      </c>
      <c r="B140">
        <f t="shared" si="29"/>
        <v>0</v>
      </c>
      <c r="C140">
        <f>VALUE(MID(Hex!$C$2,1+2*HEX2DEC(A140)+B140,1))</f>
        <v>0</v>
      </c>
      <c r="D140" s="1" t="str">
        <f t="shared" si="26"/>
        <v>08A</v>
      </c>
      <c r="E140">
        <f>HEX2DEC(MID(Hex!$C$8,1+HEX2DEC(Edit!D140)*2,2))</f>
        <v>0</v>
      </c>
      <c r="F140">
        <f t="shared" si="27"/>
        <v>138</v>
      </c>
      <c r="G140" t="str">
        <f>_xlfn.LET(_xlpm.custom,_xlfn.XLOOKUP(F140,Data!A:A,Data!C:C),IF(_xlpm.custom="",_xlfn.XLOOKUP(F140,Data!A:A,Data!B:B),_xlpm.custom))</f>
        <v>Favored Mail</v>
      </c>
      <c r="H140" t="str">
        <f>_xlfn.XLOOKUP(C140,Data!A:A,Data!E:E)</f>
        <v>General</v>
      </c>
      <c r="J140">
        <f>IF(I140="",C140,_xlfn.XLOOKUP(I140,Data!E:E,Data!A:A,""))</f>
        <v>0</v>
      </c>
      <c r="L140">
        <f t="shared" si="21"/>
        <v>0</v>
      </c>
      <c r="M140">
        <f t="shared" si="22"/>
        <v>0</v>
      </c>
      <c r="N140">
        <f t="shared" si="20"/>
        <v>0</v>
      </c>
      <c r="O140">
        <f t="shared" si="23"/>
        <v>0</v>
      </c>
      <c r="P140">
        <f t="shared" si="24"/>
        <v>0</v>
      </c>
      <c r="R140" t="str">
        <f t="shared" si="25"/>
        <v>00</v>
      </c>
    </row>
    <row r="141" spans="1:18" x14ac:dyDescent="0.4">
      <c r="A141" s="1" t="str">
        <f t="shared" si="28"/>
        <v>045</v>
      </c>
      <c r="B141">
        <f t="shared" si="29"/>
        <v>1</v>
      </c>
      <c r="C141">
        <f>VALUE(MID(Hex!$C$2,1+2*HEX2DEC(A141)+B141,1))</f>
        <v>0</v>
      </c>
      <c r="D141" s="1" t="str">
        <f t="shared" si="26"/>
        <v>08B</v>
      </c>
      <c r="E141">
        <f>HEX2DEC(MID(Hex!$C$8,1+HEX2DEC(Edit!D141)*2,2))</f>
        <v>0</v>
      </c>
      <c r="F141">
        <f t="shared" si="27"/>
        <v>139</v>
      </c>
      <c r="G141" t="str">
        <f>_xlfn.LET(_xlpm.custom,_xlfn.XLOOKUP(F141,Data!A:A,Data!C:C),IF(_xlpm.custom="",_xlfn.XLOOKUP(F141,Data!A:A,Data!B:B),_xlpm.custom))</f>
        <v>RSVP Mail</v>
      </c>
      <c r="H141" t="str">
        <f>_xlfn.XLOOKUP(C141,Data!A:A,Data!E:E)</f>
        <v>General</v>
      </c>
      <c r="J141">
        <f>IF(I141="",C141,_xlfn.XLOOKUP(I141,Data!E:E,Data!A:A,""))</f>
        <v>0</v>
      </c>
      <c r="L141">
        <f t="shared" si="21"/>
        <v>0</v>
      </c>
      <c r="M141">
        <f t="shared" si="22"/>
        <v>0</v>
      </c>
      <c r="N141">
        <f t="shared" si="20"/>
        <v>0</v>
      </c>
      <c r="O141">
        <f t="shared" si="23"/>
        <v>0</v>
      </c>
      <c r="P141">
        <f t="shared" si="24"/>
        <v>0</v>
      </c>
      <c r="R141" t="str">
        <f t="shared" si="25"/>
        <v>00</v>
      </c>
    </row>
    <row r="142" spans="1:18" x14ac:dyDescent="0.4">
      <c r="A142" s="1" t="str">
        <f t="shared" si="28"/>
        <v>046</v>
      </c>
      <c r="B142">
        <f t="shared" si="29"/>
        <v>0</v>
      </c>
      <c r="C142">
        <f>VALUE(MID(Hex!$C$2,1+2*HEX2DEC(A142)+B142,1))</f>
        <v>0</v>
      </c>
      <c r="D142" s="1" t="str">
        <f t="shared" si="26"/>
        <v>08C</v>
      </c>
      <c r="E142">
        <f>HEX2DEC(MID(Hex!$C$8,1+HEX2DEC(Edit!D142)*2,2))</f>
        <v>0</v>
      </c>
      <c r="F142">
        <f t="shared" si="27"/>
        <v>140</v>
      </c>
      <c r="G142" t="str">
        <f>_xlfn.LET(_xlpm.custom,_xlfn.XLOOKUP(F142,Data!A:A,Data!C:C),IF(_xlpm.custom="",_xlfn.XLOOKUP(F142,Data!A:A,Data!B:B),_xlpm.custom))</f>
        <v>Thanks Mail</v>
      </c>
      <c r="H142" t="str">
        <f>_xlfn.XLOOKUP(C142,Data!A:A,Data!E:E)</f>
        <v>General</v>
      </c>
      <c r="J142">
        <f>IF(I142="",C142,_xlfn.XLOOKUP(I142,Data!E:E,Data!A:A,""))</f>
        <v>0</v>
      </c>
      <c r="L142">
        <f t="shared" si="21"/>
        <v>0</v>
      </c>
      <c r="M142">
        <f t="shared" si="22"/>
        <v>0</v>
      </c>
      <c r="N142">
        <f t="shared" si="20"/>
        <v>0</v>
      </c>
      <c r="O142">
        <f t="shared" si="23"/>
        <v>0</v>
      </c>
      <c r="P142">
        <f t="shared" si="24"/>
        <v>0</v>
      </c>
      <c r="R142" t="str">
        <f t="shared" si="25"/>
        <v>00</v>
      </c>
    </row>
    <row r="143" spans="1:18" x14ac:dyDescent="0.4">
      <c r="A143" s="1" t="str">
        <f t="shared" si="28"/>
        <v>046</v>
      </c>
      <c r="B143">
        <f t="shared" si="29"/>
        <v>1</v>
      </c>
      <c r="C143">
        <f>VALUE(MID(Hex!$C$2,1+2*HEX2DEC(A143)+B143,1))</f>
        <v>0</v>
      </c>
      <c r="D143" s="1" t="str">
        <f t="shared" si="26"/>
        <v>08D</v>
      </c>
      <c r="E143">
        <f>HEX2DEC(MID(Hex!$C$8,1+HEX2DEC(Edit!D143)*2,2))</f>
        <v>0</v>
      </c>
      <c r="F143">
        <f t="shared" si="27"/>
        <v>141</v>
      </c>
      <c r="G143" t="str">
        <f>_xlfn.LET(_xlpm.custom,_xlfn.XLOOKUP(F143,Data!A:A,Data!C:C),IF(_xlpm.custom="",_xlfn.XLOOKUP(F143,Data!A:A,Data!B:B),_xlpm.custom))</f>
        <v>Inquiry Mail</v>
      </c>
      <c r="H143" t="str">
        <f>_xlfn.XLOOKUP(C143,Data!A:A,Data!E:E)</f>
        <v>General</v>
      </c>
      <c r="J143">
        <f>IF(I143="",C143,_xlfn.XLOOKUP(I143,Data!E:E,Data!A:A,""))</f>
        <v>0</v>
      </c>
      <c r="L143">
        <f t="shared" si="21"/>
        <v>0</v>
      </c>
      <c r="M143">
        <f t="shared" si="22"/>
        <v>0</v>
      </c>
      <c r="N143">
        <f t="shared" si="20"/>
        <v>0</v>
      </c>
      <c r="O143">
        <f t="shared" si="23"/>
        <v>0</v>
      </c>
      <c r="P143">
        <f t="shared" si="24"/>
        <v>0</v>
      </c>
      <c r="R143" t="str">
        <f t="shared" si="25"/>
        <v>00</v>
      </c>
    </row>
    <row r="144" spans="1:18" x14ac:dyDescent="0.4">
      <c r="A144" s="1" t="str">
        <f t="shared" si="28"/>
        <v>047</v>
      </c>
      <c r="B144">
        <f t="shared" si="29"/>
        <v>0</v>
      </c>
      <c r="C144">
        <f>VALUE(MID(Hex!$C$2,1+2*HEX2DEC(A144)+B144,1))</f>
        <v>0</v>
      </c>
      <c r="D144" s="1" t="str">
        <f t="shared" si="26"/>
        <v>08E</v>
      </c>
      <c r="E144">
        <f>HEX2DEC(MID(Hex!$C$8,1+HEX2DEC(Edit!D144)*2,2))</f>
        <v>0</v>
      </c>
      <c r="F144">
        <f t="shared" si="27"/>
        <v>142</v>
      </c>
      <c r="G144" t="str">
        <f>_xlfn.LET(_xlpm.custom,_xlfn.XLOOKUP(F144,Data!A:A,Data!C:C),IF(_xlpm.custom="",_xlfn.XLOOKUP(F144,Data!A:A,Data!B:B),_xlpm.custom))</f>
        <v>Like Mail</v>
      </c>
      <c r="H144" t="str">
        <f>_xlfn.XLOOKUP(C144,Data!A:A,Data!E:E)</f>
        <v>General</v>
      </c>
      <c r="J144">
        <f>IF(I144="",C144,_xlfn.XLOOKUP(I144,Data!E:E,Data!A:A,""))</f>
        <v>0</v>
      </c>
      <c r="L144">
        <f t="shared" si="21"/>
        <v>0</v>
      </c>
      <c r="M144">
        <f t="shared" si="22"/>
        <v>0</v>
      </c>
      <c r="N144">
        <f t="shared" si="20"/>
        <v>0</v>
      </c>
      <c r="O144">
        <f t="shared" si="23"/>
        <v>0</v>
      </c>
      <c r="P144">
        <f t="shared" si="24"/>
        <v>0</v>
      </c>
      <c r="R144" t="str">
        <f t="shared" si="25"/>
        <v>00</v>
      </c>
    </row>
    <row r="145" spans="1:18" x14ac:dyDescent="0.4">
      <c r="A145" s="1" t="str">
        <f t="shared" si="28"/>
        <v>047</v>
      </c>
      <c r="B145">
        <f t="shared" si="29"/>
        <v>1</v>
      </c>
      <c r="C145">
        <f>VALUE(MID(Hex!$C$2,1+2*HEX2DEC(A145)+B145,1))</f>
        <v>0</v>
      </c>
      <c r="D145" s="1" t="str">
        <f t="shared" si="26"/>
        <v>08F</v>
      </c>
      <c r="E145">
        <f>HEX2DEC(MID(Hex!$C$8,1+HEX2DEC(Edit!D145)*2,2))</f>
        <v>0</v>
      </c>
      <c r="F145">
        <f t="shared" si="27"/>
        <v>143</v>
      </c>
      <c r="G145" t="str">
        <f>_xlfn.LET(_xlpm.custom,_xlfn.XLOOKUP(F145,Data!A:A,Data!C:C),IF(_xlpm.custom="",_xlfn.XLOOKUP(F145,Data!A:A,Data!B:B),_xlpm.custom))</f>
        <v>Reply Mail</v>
      </c>
      <c r="H145" t="str">
        <f>_xlfn.XLOOKUP(C145,Data!A:A,Data!E:E)</f>
        <v>General</v>
      </c>
      <c r="J145">
        <f>IF(I145="",C145,_xlfn.XLOOKUP(I145,Data!E:E,Data!A:A,""))</f>
        <v>0</v>
      </c>
      <c r="L145">
        <f t="shared" si="21"/>
        <v>0</v>
      </c>
      <c r="M145">
        <f t="shared" si="22"/>
        <v>0</v>
      </c>
      <c r="N145">
        <f t="shared" si="20"/>
        <v>0</v>
      </c>
      <c r="O145">
        <f t="shared" si="23"/>
        <v>0</v>
      </c>
      <c r="P145">
        <f t="shared" si="24"/>
        <v>0</v>
      </c>
      <c r="R145" t="str">
        <f t="shared" si="25"/>
        <v>00</v>
      </c>
    </row>
    <row r="146" spans="1:18" x14ac:dyDescent="0.4">
      <c r="A146" s="1" t="str">
        <f t="shared" si="28"/>
        <v>048</v>
      </c>
      <c r="B146">
        <f t="shared" si="29"/>
        <v>0</v>
      </c>
      <c r="C146">
        <f>VALUE(MID(Hex!$C$2,1+2*HEX2DEC(A146)+B146,1))</f>
        <v>0</v>
      </c>
      <c r="D146" s="1" t="str">
        <f t="shared" si="26"/>
        <v>090</v>
      </c>
      <c r="E146">
        <f>HEX2DEC(MID(Hex!$C$8,1+HEX2DEC(Edit!D146)*2,2))</f>
        <v>0</v>
      </c>
      <c r="F146">
        <f t="shared" si="27"/>
        <v>144</v>
      </c>
      <c r="G146" t="str">
        <f>_xlfn.LET(_xlpm.custom,_xlfn.XLOOKUP(F146,Data!A:A,Data!C:C),IF(_xlpm.custom="",_xlfn.XLOOKUP(F146,Data!A:A,Data!B:B),_xlpm.custom))</f>
        <v>Bridge Mail S</v>
      </c>
      <c r="H146" t="str">
        <f>_xlfn.XLOOKUP(C146,Data!A:A,Data!E:E)</f>
        <v>General</v>
      </c>
      <c r="J146">
        <f>IF(I146="",C146,_xlfn.XLOOKUP(I146,Data!E:E,Data!A:A,""))</f>
        <v>0</v>
      </c>
      <c r="L146">
        <f t="shared" si="21"/>
        <v>0</v>
      </c>
      <c r="M146">
        <f t="shared" si="22"/>
        <v>0</v>
      </c>
      <c r="N146">
        <f t="shared" si="20"/>
        <v>0</v>
      </c>
      <c r="O146">
        <f t="shared" si="23"/>
        <v>0</v>
      </c>
      <c r="P146">
        <f t="shared" si="24"/>
        <v>0</v>
      </c>
      <c r="R146" t="str">
        <f t="shared" si="25"/>
        <v>00</v>
      </c>
    </row>
    <row r="147" spans="1:18" x14ac:dyDescent="0.4">
      <c r="A147" s="1" t="str">
        <f t="shared" si="28"/>
        <v>048</v>
      </c>
      <c r="B147">
        <f t="shared" si="29"/>
        <v>1</v>
      </c>
      <c r="C147">
        <f>VALUE(MID(Hex!$C$2,1+2*HEX2DEC(A147)+B147,1))</f>
        <v>0</v>
      </c>
      <c r="D147" s="1" t="str">
        <f t="shared" si="26"/>
        <v>091</v>
      </c>
      <c r="E147">
        <f>HEX2DEC(MID(Hex!$C$8,1+HEX2DEC(Edit!D147)*2,2))</f>
        <v>0</v>
      </c>
      <c r="F147">
        <f t="shared" si="27"/>
        <v>145</v>
      </c>
      <c r="G147" t="str">
        <f>_xlfn.LET(_xlpm.custom,_xlfn.XLOOKUP(F147,Data!A:A,Data!C:C),IF(_xlpm.custom="",_xlfn.XLOOKUP(F147,Data!A:A,Data!B:B),_xlpm.custom))</f>
        <v>Bridge Mail D</v>
      </c>
      <c r="H147" t="str">
        <f>_xlfn.XLOOKUP(C147,Data!A:A,Data!E:E)</f>
        <v>General</v>
      </c>
      <c r="J147">
        <f>IF(I147="",C147,_xlfn.XLOOKUP(I147,Data!E:E,Data!A:A,""))</f>
        <v>0</v>
      </c>
      <c r="L147">
        <f t="shared" si="21"/>
        <v>0</v>
      </c>
      <c r="M147">
        <f t="shared" si="22"/>
        <v>0</v>
      </c>
      <c r="N147">
        <f t="shared" si="20"/>
        <v>0</v>
      </c>
      <c r="O147">
        <f t="shared" si="23"/>
        <v>0</v>
      </c>
      <c r="P147">
        <f t="shared" si="24"/>
        <v>0</v>
      </c>
      <c r="R147" t="str">
        <f t="shared" si="25"/>
        <v>00</v>
      </c>
    </row>
    <row r="148" spans="1:18" x14ac:dyDescent="0.4">
      <c r="A148" s="1" t="str">
        <f t="shared" si="28"/>
        <v>049</v>
      </c>
      <c r="B148">
        <f t="shared" si="29"/>
        <v>0</v>
      </c>
      <c r="C148">
        <f>VALUE(MID(Hex!$C$2,1+2*HEX2DEC(A148)+B148,1))</f>
        <v>0</v>
      </c>
      <c r="D148" s="1" t="str">
        <f t="shared" si="26"/>
        <v>092</v>
      </c>
      <c r="E148">
        <f>HEX2DEC(MID(Hex!$C$8,1+HEX2DEC(Edit!D148)*2,2))</f>
        <v>0</v>
      </c>
      <c r="F148">
        <f t="shared" si="27"/>
        <v>146</v>
      </c>
      <c r="G148" t="str">
        <f>_xlfn.LET(_xlpm.custom,_xlfn.XLOOKUP(F148,Data!A:A,Data!C:C),IF(_xlpm.custom="",_xlfn.XLOOKUP(F148,Data!A:A,Data!B:B),_xlpm.custom))</f>
        <v>Bridge Mail T</v>
      </c>
      <c r="H148" t="str">
        <f>_xlfn.XLOOKUP(C148,Data!A:A,Data!E:E)</f>
        <v>General</v>
      </c>
      <c r="J148">
        <f>IF(I148="",C148,_xlfn.XLOOKUP(I148,Data!E:E,Data!A:A,""))</f>
        <v>0</v>
      </c>
      <c r="L148">
        <f t="shared" si="21"/>
        <v>0</v>
      </c>
      <c r="M148">
        <f t="shared" si="22"/>
        <v>0</v>
      </c>
      <c r="N148">
        <f t="shared" si="20"/>
        <v>0</v>
      </c>
      <c r="O148">
        <f t="shared" si="23"/>
        <v>0</v>
      </c>
      <c r="P148">
        <f t="shared" si="24"/>
        <v>0</v>
      </c>
      <c r="R148" t="str">
        <f t="shared" si="25"/>
        <v>00</v>
      </c>
    </row>
    <row r="149" spans="1:18" x14ac:dyDescent="0.4">
      <c r="A149" s="1" t="str">
        <f t="shared" si="28"/>
        <v>049</v>
      </c>
      <c r="B149">
        <f t="shared" si="29"/>
        <v>1</v>
      </c>
      <c r="C149">
        <f>VALUE(MID(Hex!$C$2,1+2*HEX2DEC(A149)+B149,1))</f>
        <v>0</v>
      </c>
      <c r="D149" s="1" t="str">
        <f t="shared" si="26"/>
        <v>093</v>
      </c>
      <c r="E149">
        <f>HEX2DEC(MID(Hex!$C$8,1+HEX2DEC(Edit!D149)*2,2))</f>
        <v>0</v>
      </c>
      <c r="F149">
        <f t="shared" si="27"/>
        <v>147</v>
      </c>
      <c r="G149" t="str">
        <f>_xlfn.LET(_xlpm.custom,_xlfn.XLOOKUP(F149,Data!A:A,Data!C:C),IF(_xlpm.custom="",_xlfn.XLOOKUP(F149,Data!A:A,Data!B:B),_xlpm.custom))</f>
        <v>Bridge Mail V</v>
      </c>
      <c r="H149" t="str">
        <f>_xlfn.XLOOKUP(C149,Data!A:A,Data!E:E)</f>
        <v>General</v>
      </c>
      <c r="J149">
        <f>IF(I149="",C149,_xlfn.XLOOKUP(I149,Data!E:E,Data!A:A,""))</f>
        <v>0</v>
      </c>
      <c r="L149">
        <f t="shared" si="21"/>
        <v>0</v>
      </c>
      <c r="M149">
        <f t="shared" si="22"/>
        <v>0</v>
      </c>
      <c r="N149">
        <f t="shared" ref="N149:N212" si="30">_xlfn.BITAND($E149,4)</f>
        <v>0</v>
      </c>
      <c r="O149">
        <f t="shared" si="23"/>
        <v>0</v>
      </c>
      <c r="P149">
        <f t="shared" si="24"/>
        <v>0</v>
      </c>
      <c r="R149" t="str">
        <f t="shared" si="25"/>
        <v>00</v>
      </c>
    </row>
    <row r="150" spans="1:18" x14ac:dyDescent="0.4">
      <c r="A150" s="1" t="str">
        <f t="shared" si="28"/>
        <v>04A</v>
      </c>
      <c r="B150">
        <f t="shared" si="29"/>
        <v>0</v>
      </c>
      <c r="C150">
        <f>VALUE(MID(Hex!$C$2,1+2*HEX2DEC(A150)+B150,1))</f>
        <v>0</v>
      </c>
      <c r="D150" s="1" t="str">
        <f t="shared" si="26"/>
        <v>094</v>
      </c>
      <c r="E150">
        <f>HEX2DEC(MID(Hex!$C$8,1+HEX2DEC(Edit!D150)*2,2))</f>
        <v>0</v>
      </c>
      <c r="F150">
        <f t="shared" si="27"/>
        <v>148</v>
      </c>
      <c r="G150" t="str">
        <f>_xlfn.LET(_xlpm.custom,_xlfn.XLOOKUP(F150,Data!A:A,Data!C:C),IF(_xlpm.custom="",_xlfn.XLOOKUP(F150,Data!A:A,Data!B:B),_xlpm.custom))</f>
        <v>Bridge Mail M</v>
      </c>
      <c r="H150" t="str">
        <f>_xlfn.XLOOKUP(C150,Data!A:A,Data!E:E)</f>
        <v>General</v>
      </c>
      <c r="J150">
        <f>IF(I150="",C150,_xlfn.XLOOKUP(I150,Data!E:E,Data!A:A,""))</f>
        <v>0</v>
      </c>
      <c r="L150">
        <f t="shared" si="21"/>
        <v>0</v>
      </c>
      <c r="M150">
        <f t="shared" si="22"/>
        <v>0</v>
      </c>
      <c r="N150">
        <f t="shared" si="30"/>
        <v>0</v>
      </c>
      <c r="O150">
        <f t="shared" si="23"/>
        <v>0</v>
      </c>
      <c r="P150">
        <f t="shared" si="24"/>
        <v>0</v>
      </c>
      <c r="R150" t="str">
        <f t="shared" si="25"/>
        <v>00</v>
      </c>
    </row>
    <row r="151" spans="1:18" x14ac:dyDescent="0.4">
      <c r="A151" s="1" t="str">
        <f t="shared" si="28"/>
        <v>04A</v>
      </c>
      <c r="B151">
        <f t="shared" si="29"/>
        <v>1</v>
      </c>
      <c r="C151">
        <f>VALUE(MID(Hex!$C$2,1+2*HEX2DEC(A151)+B151,1))</f>
        <v>3</v>
      </c>
      <c r="D151" s="1" t="str">
        <f t="shared" si="26"/>
        <v>095</v>
      </c>
      <c r="E151">
        <f>HEX2DEC(MID(Hex!$C$8,1+HEX2DEC(Edit!D151)*2,2))</f>
        <v>8</v>
      </c>
      <c r="F151">
        <f t="shared" si="27"/>
        <v>149</v>
      </c>
      <c r="G151" t="str">
        <f>_xlfn.LET(_xlpm.custom,_xlfn.XLOOKUP(F151,Data!A:A,Data!C:C),IF(_xlpm.custom="",_xlfn.XLOOKUP(F151,Data!A:A,Data!B:B),_xlpm.custom))</f>
        <v>Cheri Berry</v>
      </c>
      <c r="H151" t="str">
        <f>_xlfn.XLOOKUP(C151,Data!A:A,Data!E:E)</f>
        <v>Berry</v>
      </c>
      <c r="J151">
        <f>IF(I151="",C151,_xlfn.XLOOKUP(I151,Data!E:E,Data!A:A,""))</f>
        <v>3</v>
      </c>
      <c r="L151">
        <f t="shared" si="21"/>
        <v>0</v>
      </c>
      <c r="M151">
        <f t="shared" si="22"/>
        <v>0</v>
      </c>
      <c r="N151">
        <f t="shared" si="30"/>
        <v>0</v>
      </c>
      <c r="O151">
        <f t="shared" si="23"/>
        <v>8</v>
      </c>
      <c r="P151">
        <f t="shared" si="24"/>
        <v>0</v>
      </c>
      <c r="R151" t="str">
        <f t="shared" si="25"/>
        <v>08</v>
      </c>
    </row>
    <row r="152" spans="1:18" x14ac:dyDescent="0.4">
      <c r="A152" s="1" t="str">
        <f t="shared" si="28"/>
        <v>04B</v>
      </c>
      <c r="B152">
        <f t="shared" si="29"/>
        <v>0</v>
      </c>
      <c r="C152">
        <f>VALUE(MID(Hex!$C$2,1+2*HEX2DEC(A152)+B152,1))</f>
        <v>3</v>
      </c>
      <c r="D152" s="1" t="str">
        <f t="shared" si="26"/>
        <v>096</v>
      </c>
      <c r="E152">
        <f>HEX2DEC(MID(Hex!$C$8,1+HEX2DEC(Edit!D152)*2,2))</f>
        <v>8</v>
      </c>
      <c r="F152">
        <f t="shared" si="27"/>
        <v>150</v>
      </c>
      <c r="G152" t="str">
        <f>_xlfn.LET(_xlpm.custom,_xlfn.XLOOKUP(F152,Data!A:A,Data!C:C),IF(_xlpm.custom="",_xlfn.XLOOKUP(F152,Data!A:A,Data!B:B),_xlpm.custom))</f>
        <v>Chesto Berry</v>
      </c>
      <c r="H152" t="str">
        <f>_xlfn.XLOOKUP(C152,Data!A:A,Data!E:E)</f>
        <v>Berry</v>
      </c>
      <c r="J152">
        <f>IF(I152="",C152,_xlfn.XLOOKUP(I152,Data!E:E,Data!A:A,""))</f>
        <v>3</v>
      </c>
      <c r="L152">
        <f t="shared" si="21"/>
        <v>0</v>
      </c>
      <c r="M152">
        <f t="shared" si="22"/>
        <v>0</v>
      </c>
      <c r="N152">
        <f t="shared" si="30"/>
        <v>0</v>
      </c>
      <c r="O152">
        <f t="shared" si="23"/>
        <v>8</v>
      </c>
      <c r="P152">
        <f t="shared" si="24"/>
        <v>0</v>
      </c>
      <c r="R152" t="str">
        <f t="shared" si="25"/>
        <v>08</v>
      </c>
    </row>
    <row r="153" spans="1:18" x14ac:dyDescent="0.4">
      <c r="A153" s="1" t="str">
        <f t="shared" si="28"/>
        <v>04B</v>
      </c>
      <c r="B153">
        <f t="shared" si="29"/>
        <v>1</v>
      </c>
      <c r="C153">
        <f>VALUE(MID(Hex!$C$2,1+2*HEX2DEC(A153)+B153,1))</f>
        <v>3</v>
      </c>
      <c r="D153" s="1" t="str">
        <f t="shared" si="26"/>
        <v>097</v>
      </c>
      <c r="E153">
        <f>HEX2DEC(MID(Hex!$C$8,1+HEX2DEC(Edit!D153)*2,2))</f>
        <v>8</v>
      </c>
      <c r="F153">
        <f t="shared" si="27"/>
        <v>151</v>
      </c>
      <c r="G153" t="str">
        <f>_xlfn.LET(_xlpm.custom,_xlfn.XLOOKUP(F153,Data!A:A,Data!C:C),IF(_xlpm.custom="",_xlfn.XLOOKUP(F153,Data!A:A,Data!B:B),_xlpm.custom))</f>
        <v>Pecha Berry</v>
      </c>
      <c r="H153" t="str">
        <f>_xlfn.XLOOKUP(C153,Data!A:A,Data!E:E)</f>
        <v>Berry</v>
      </c>
      <c r="J153">
        <f>IF(I153="",C153,_xlfn.XLOOKUP(I153,Data!E:E,Data!A:A,""))</f>
        <v>3</v>
      </c>
      <c r="L153">
        <f t="shared" si="21"/>
        <v>0</v>
      </c>
      <c r="M153">
        <f t="shared" si="22"/>
        <v>0</v>
      </c>
      <c r="N153">
        <f t="shared" si="30"/>
        <v>0</v>
      </c>
      <c r="O153">
        <f t="shared" si="23"/>
        <v>8</v>
      </c>
      <c r="P153">
        <f t="shared" si="24"/>
        <v>0</v>
      </c>
      <c r="R153" t="str">
        <f t="shared" si="25"/>
        <v>08</v>
      </c>
    </row>
    <row r="154" spans="1:18" x14ac:dyDescent="0.4">
      <c r="A154" s="1" t="str">
        <f t="shared" si="28"/>
        <v>04C</v>
      </c>
      <c r="B154">
        <f t="shared" si="29"/>
        <v>0</v>
      </c>
      <c r="C154">
        <f>VALUE(MID(Hex!$C$2,1+2*HEX2DEC(A154)+B154,1))</f>
        <v>3</v>
      </c>
      <c r="D154" s="1" t="str">
        <f t="shared" si="26"/>
        <v>098</v>
      </c>
      <c r="E154">
        <f>HEX2DEC(MID(Hex!$C$8,1+HEX2DEC(Edit!D154)*2,2))</f>
        <v>8</v>
      </c>
      <c r="F154">
        <f t="shared" si="27"/>
        <v>152</v>
      </c>
      <c r="G154" t="str">
        <f>_xlfn.LET(_xlpm.custom,_xlfn.XLOOKUP(F154,Data!A:A,Data!C:C),IF(_xlpm.custom="",_xlfn.XLOOKUP(F154,Data!A:A,Data!B:B),_xlpm.custom))</f>
        <v>Rawst Berry</v>
      </c>
      <c r="H154" t="str">
        <f>_xlfn.XLOOKUP(C154,Data!A:A,Data!E:E)</f>
        <v>Berry</v>
      </c>
      <c r="J154">
        <f>IF(I154="",C154,_xlfn.XLOOKUP(I154,Data!E:E,Data!A:A,""))</f>
        <v>3</v>
      </c>
      <c r="L154">
        <f t="shared" si="21"/>
        <v>0</v>
      </c>
      <c r="M154">
        <f t="shared" si="22"/>
        <v>0</v>
      </c>
      <c r="N154">
        <f t="shared" si="30"/>
        <v>0</v>
      </c>
      <c r="O154">
        <f t="shared" si="23"/>
        <v>8</v>
      </c>
      <c r="P154">
        <f t="shared" si="24"/>
        <v>0</v>
      </c>
      <c r="R154" t="str">
        <f t="shared" si="25"/>
        <v>08</v>
      </c>
    </row>
    <row r="155" spans="1:18" x14ac:dyDescent="0.4">
      <c r="A155" s="1" t="str">
        <f t="shared" si="28"/>
        <v>04C</v>
      </c>
      <c r="B155">
        <f t="shared" si="29"/>
        <v>1</v>
      </c>
      <c r="C155">
        <f>VALUE(MID(Hex!$C$2,1+2*HEX2DEC(A155)+B155,1))</f>
        <v>3</v>
      </c>
      <c r="D155" s="1" t="str">
        <f t="shared" si="26"/>
        <v>099</v>
      </c>
      <c r="E155">
        <f>HEX2DEC(MID(Hex!$C$8,1+HEX2DEC(Edit!D155)*2,2))</f>
        <v>8</v>
      </c>
      <c r="F155">
        <f t="shared" si="27"/>
        <v>153</v>
      </c>
      <c r="G155" t="str">
        <f>_xlfn.LET(_xlpm.custom,_xlfn.XLOOKUP(F155,Data!A:A,Data!C:C),IF(_xlpm.custom="",_xlfn.XLOOKUP(F155,Data!A:A,Data!B:B),_xlpm.custom))</f>
        <v>Aspear Berry</v>
      </c>
      <c r="H155" t="str">
        <f>_xlfn.XLOOKUP(C155,Data!A:A,Data!E:E)</f>
        <v>Berry</v>
      </c>
      <c r="J155">
        <f>IF(I155="",C155,_xlfn.XLOOKUP(I155,Data!E:E,Data!A:A,""))</f>
        <v>3</v>
      </c>
      <c r="L155">
        <f t="shared" si="21"/>
        <v>0</v>
      </c>
      <c r="M155">
        <f t="shared" si="22"/>
        <v>0</v>
      </c>
      <c r="N155">
        <f t="shared" si="30"/>
        <v>0</v>
      </c>
      <c r="O155">
        <f t="shared" si="23"/>
        <v>8</v>
      </c>
      <c r="P155">
        <f t="shared" si="24"/>
        <v>0</v>
      </c>
      <c r="R155" t="str">
        <f t="shared" si="25"/>
        <v>08</v>
      </c>
    </row>
    <row r="156" spans="1:18" x14ac:dyDescent="0.4">
      <c r="A156" s="1" t="str">
        <f t="shared" si="28"/>
        <v>04D</v>
      </c>
      <c r="B156">
        <f t="shared" si="29"/>
        <v>0</v>
      </c>
      <c r="C156">
        <f>VALUE(MID(Hex!$C$2,1+2*HEX2DEC(A156)+B156,1))</f>
        <v>3</v>
      </c>
      <c r="D156" s="1" t="str">
        <f t="shared" si="26"/>
        <v>09A</v>
      </c>
      <c r="E156">
        <f>HEX2DEC(MID(Hex!$C$8,1+HEX2DEC(Edit!D156)*2,2))</f>
        <v>4</v>
      </c>
      <c r="F156">
        <f t="shared" si="27"/>
        <v>154</v>
      </c>
      <c r="G156" t="str">
        <f>_xlfn.LET(_xlpm.custom,_xlfn.XLOOKUP(F156,Data!A:A,Data!C:C),IF(_xlpm.custom="",_xlfn.XLOOKUP(F156,Data!A:A,Data!B:B),_xlpm.custom))</f>
        <v>Leppa Berry</v>
      </c>
      <c r="H156" t="str">
        <f>_xlfn.XLOOKUP(C156,Data!A:A,Data!E:E)</f>
        <v>Berry</v>
      </c>
      <c r="J156">
        <f>IF(I156="",C156,_xlfn.XLOOKUP(I156,Data!E:E,Data!A:A,""))</f>
        <v>3</v>
      </c>
      <c r="L156">
        <f t="shared" si="21"/>
        <v>0</v>
      </c>
      <c r="M156">
        <f t="shared" si="22"/>
        <v>0</v>
      </c>
      <c r="N156">
        <f t="shared" si="30"/>
        <v>4</v>
      </c>
      <c r="O156">
        <f t="shared" si="23"/>
        <v>0</v>
      </c>
      <c r="P156">
        <f t="shared" si="24"/>
        <v>0</v>
      </c>
      <c r="R156" t="str">
        <f t="shared" si="25"/>
        <v>04</v>
      </c>
    </row>
    <row r="157" spans="1:18" x14ac:dyDescent="0.4">
      <c r="A157" s="1" t="str">
        <f t="shared" si="28"/>
        <v>04D</v>
      </c>
      <c r="B157">
        <f t="shared" si="29"/>
        <v>1</v>
      </c>
      <c r="C157">
        <f>VALUE(MID(Hex!$C$2,1+2*HEX2DEC(A157)+B157,1))</f>
        <v>3</v>
      </c>
      <c r="D157" s="1" t="str">
        <f t="shared" si="26"/>
        <v>09B</v>
      </c>
      <c r="E157">
        <f>HEX2DEC(MID(Hex!$C$8,1+HEX2DEC(Edit!D157)*2,2))</f>
        <v>4</v>
      </c>
      <c r="F157">
        <f t="shared" si="27"/>
        <v>155</v>
      </c>
      <c r="G157" t="str">
        <f>_xlfn.LET(_xlpm.custom,_xlfn.XLOOKUP(F157,Data!A:A,Data!C:C),IF(_xlpm.custom="",_xlfn.XLOOKUP(F157,Data!A:A,Data!B:B),_xlpm.custom))</f>
        <v>Oran Berry</v>
      </c>
      <c r="H157" t="str">
        <f>_xlfn.XLOOKUP(C157,Data!A:A,Data!E:E)</f>
        <v>Berry</v>
      </c>
      <c r="J157">
        <f>IF(I157="",C157,_xlfn.XLOOKUP(I157,Data!E:E,Data!A:A,""))</f>
        <v>3</v>
      </c>
      <c r="L157">
        <f t="shared" si="21"/>
        <v>0</v>
      </c>
      <c r="M157">
        <f t="shared" si="22"/>
        <v>0</v>
      </c>
      <c r="N157">
        <f t="shared" si="30"/>
        <v>4</v>
      </c>
      <c r="O157">
        <f t="shared" si="23"/>
        <v>0</v>
      </c>
      <c r="P157">
        <f t="shared" si="24"/>
        <v>0</v>
      </c>
      <c r="R157" t="str">
        <f t="shared" si="25"/>
        <v>04</v>
      </c>
    </row>
    <row r="158" spans="1:18" x14ac:dyDescent="0.4">
      <c r="A158" s="1" t="str">
        <f t="shared" si="28"/>
        <v>04E</v>
      </c>
      <c r="B158">
        <f t="shared" si="29"/>
        <v>0</v>
      </c>
      <c r="C158">
        <f>VALUE(MID(Hex!$C$2,1+2*HEX2DEC(A158)+B158,1))</f>
        <v>3</v>
      </c>
      <c r="D158" s="1" t="str">
        <f t="shared" si="26"/>
        <v>09C</v>
      </c>
      <c r="E158">
        <f>HEX2DEC(MID(Hex!$C$8,1+HEX2DEC(Edit!D158)*2,2))</f>
        <v>8</v>
      </c>
      <c r="F158">
        <f t="shared" si="27"/>
        <v>156</v>
      </c>
      <c r="G158" t="str">
        <f>_xlfn.LET(_xlpm.custom,_xlfn.XLOOKUP(F158,Data!A:A,Data!C:C),IF(_xlpm.custom="",_xlfn.XLOOKUP(F158,Data!A:A,Data!B:B),_xlpm.custom))</f>
        <v>Persim Berry</v>
      </c>
      <c r="H158" t="str">
        <f>_xlfn.XLOOKUP(C158,Data!A:A,Data!E:E)</f>
        <v>Berry</v>
      </c>
      <c r="J158">
        <f>IF(I158="",C158,_xlfn.XLOOKUP(I158,Data!E:E,Data!A:A,""))</f>
        <v>3</v>
      </c>
      <c r="L158">
        <f t="shared" si="21"/>
        <v>0</v>
      </c>
      <c r="M158">
        <f t="shared" si="22"/>
        <v>0</v>
      </c>
      <c r="N158">
        <f t="shared" si="30"/>
        <v>0</v>
      </c>
      <c r="O158">
        <f t="shared" si="23"/>
        <v>8</v>
      </c>
      <c r="P158">
        <f t="shared" si="24"/>
        <v>0</v>
      </c>
      <c r="R158" t="str">
        <f t="shared" si="25"/>
        <v>08</v>
      </c>
    </row>
    <row r="159" spans="1:18" x14ac:dyDescent="0.4">
      <c r="A159" s="1" t="str">
        <f t="shared" si="28"/>
        <v>04E</v>
      </c>
      <c r="B159">
        <f t="shared" si="29"/>
        <v>1</v>
      </c>
      <c r="C159">
        <f>VALUE(MID(Hex!$C$2,1+2*HEX2DEC(A159)+B159,1))</f>
        <v>3</v>
      </c>
      <c r="D159" s="1" t="str">
        <f t="shared" si="26"/>
        <v>09D</v>
      </c>
      <c r="E159">
        <f>HEX2DEC(MID(Hex!$C$8,1+HEX2DEC(Edit!D159)*2,2))</f>
        <v>8</v>
      </c>
      <c r="F159">
        <f t="shared" si="27"/>
        <v>157</v>
      </c>
      <c r="G159" t="str">
        <f>_xlfn.LET(_xlpm.custom,_xlfn.XLOOKUP(F159,Data!A:A,Data!C:C),IF(_xlpm.custom="",_xlfn.XLOOKUP(F159,Data!A:A,Data!B:B),_xlpm.custom))</f>
        <v>Lum Berry</v>
      </c>
      <c r="H159" t="str">
        <f>_xlfn.XLOOKUP(C159,Data!A:A,Data!E:E)</f>
        <v>Berry</v>
      </c>
      <c r="J159">
        <f>IF(I159="",C159,_xlfn.XLOOKUP(I159,Data!E:E,Data!A:A,""))</f>
        <v>3</v>
      </c>
      <c r="L159">
        <f t="shared" si="21"/>
        <v>0</v>
      </c>
      <c r="M159">
        <f t="shared" si="22"/>
        <v>0</v>
      </c>
      <c r="N159">
        <f t="shared" si="30"/>
        <v>0</v>
      </c>
      <c r="O159">
        <f t="shared" si="23"/>
        <v>8</v>
      </c>
      <c r="P159">
        <f t="shared" si="24"/>
        <v>0</v>
      </c>
      <c r="R159" t="str">
        <f t="shared" si="25"/>
        <v>08</v>
      </c>
    </row>
    <row r="160" spans="1:18" x14ac:dyDescent="0.4">
      <c r="A160" s="1" t="str">
        <f t="shared" si="28"/>
        <v>04F</v>
      </c>
      <c r="B160">
        <f t="shared" si="29"/>
        <v>0</v>
      </c>
      <c r="C160">
        <f>VALUE(MID(Hex!$C$2,1+2*HEX2DEC(A160)+B160,1))</f>
        <v>3</v>
      </c>
      <c r="D160" s="1" t="str">
        <f t="shared" si="26"/>
        <v>09E</v>
      </c>
      <c r="E160">
        <f>HEX2DEC(MID(Hex!$C$8,1+HEX2DEC(Edit!D160)*2,2))</f>
        <v>4</v>
      </c>
      <c r="F160">
        <f t="shared" si="27"/>
        <v>158</v>
      </c>
      <c r="G160" t="str">
        <f>_xlfn.LET(_xlpm.custom,_xlfn.XLOOKUP(F160,Data!A:A,Data!C:C),IF(_xlpm.custom="",_xlfn.XLOOKUP(F160,Data!A:A,Data!B:B),_xlpm.custom))</f>
        <v>Sitrus Berry</v>
      </c>
      <c r="H160" t="str">
        <f>_xlfn.XLOOKUP(C160,Data!A:A,Data!E:E)</f>
        <v>Berry</v>
      </c>
      <c r="J160">
        <f>IF(I160="",C160,_xlfn.XLOOKUP(I160,Data!E:E,Data!A:A,""))</f>
        <v>3</v>
      </c>
      <c r="L160">
        <f t="shared" si="21"/>
        <v>0</v>
      </c>
      <c r="M160">
        <f t="shared" si="22"/>
        <v>0</v>
      </c>
      <c r="N160">
        <f t="shared" si="30"/>
        <v>4</v>
      </c>
      <c r="O160">
        <f t="shared" si="23"/>
        <v>0</v>
      </c>
      <c r="P160">
        <f t="shared" si="24"/>
        <v>0</v>
      </c>
      <c r="R160" t="str">
        <f t="shared" si="25"/>
        <v>04</v>
      </c>
    </row>
    <row r="161" spans="1:18" x14ac:dyDescent="0.4">
      <c r="A161" s="1" t="str">
        <f t="shared" si="28"/>
        <v>04F</v>
      </c>
      <c r="B161">
        <f t="shared" si="29"/>
        <v>1</v>
      </c>
      <c r="C161">
        <f>VALUE(MID(Hex!$C$2,1+2*HEX2DEC(A161)+B161,1))</f>
        <v>3</v>
      </c>
      <c r="D161" s="1" t="str">
        <f t="shared" si="26"/>
        <v>09F</v>
      </c>
      <c r="E161">
        <f>HEX2DEC(MID(Hex!$C$8,1+HEX2DEC(Edit!D161)*2,2))</f>
        <v>0</v>
      </c>
      <c r="F161">
        <f t="shared" si="27"/>
        <v>159</v>
      </c>
      <c r="G161" t="str">
        <f>_xlfn.LET(_xlpm.custom,_xlfn.XLOOKUP(F161,Data!A:A,Data!C:C),IF(_xlpm.custom="",_xlfn.XLOOKUP(F161,Data!A:A,Data!B:B),_xlpm.custom))</f>
        <v>Figy Berry</v>
      </c>
      <c r="H161" t="str">
        <f>_xlfn.XLOOKUP(C161,Data!A:A,Data!E:E)</f>
        <v>Berry</v>
      </c>
      <c r="J161">
        <f>IF(I161="",C161,_xlfn.XLOOKUP(I161,Data!E:E,Data!A:A,""))</f>
        <v>3</v>
      </c>
      <c r="L161">
        <f t="shared" si="21"/>
        <v>0</v>
      </c>
      <c r="M161">
        <f t="shared" si="22"/>
        <v>0</v>
      </c>
      <c r="N161">
        <f t="shared" si="30"/>
        <v>0</v>
      </c>
      <c r="O161">
        <f t="shared" si="23"/>
        <v>0</v>
      </c>
      <c r="P161">
        <f t="shared" si="24"/>
        <v>0</v>
      </c>
      <c r="R161" t="str">
        <f t="shared" si="25"/>
        <v>00</v>
      </c>
    </row>
    <row r="162" spans="1:18" x14ac:dyDescent="0.4">
      <c r="A162" s="1" t="str">
        <f t="shared" si="28"/>
        <v>050</v>
      </c>
      <c r="B162">
        <f t="shared" si="29"/>
        <v>0</v>
      </c>
      <c r="C162">
        <f>VALUE(MID(Hex!$C$2,1+2*HEX2DEC(A162)+B162,1))</f>
        <v>3</v>
      </c>
      <c r="D162" s="1" t="str">
        <f t="shared" si="26"/>
        <v>0A0</v>
      </c>
      <c r="E162">
        <f>HEX2DEC(MID(Hex!$C$8,1+HEX2DEC(Edit!D162)*2,2))</f>
        <v>0</v>
      </c>
      <c r="F162">
        <f t="shared" si="27"/>
        <v>160</v>
      </c>
      <c r="G162" t="str">
        <f>_xlfn.LET(_xlpm.custom,_xlfn.XLOOKUP(F162,Data!A:A,Data!C:C),IF(_xlpm.custom="",_xlfn.XLOOKUP(F162,Data!A:A,Data!B:B),_xlpm.custom))</f>
        <v>Wiki Berry</v>
      </c>
      <c r="H162" t="str">
        <f>_xlfn.XLOOKUP(C162,Data!A:A,Data!E:E)</f>
        <v>Berry</v>
      </c>
      <c r="J162">
        <f>IF(I162="",C162,_xlfn.XLOOKUP(I162,Data!E:E,Data!A:A,""))</f>
        <v>3</v>
      </c>
      <c r="L162">
        <f t="shared" si="21"/>
        <v>0</v>
      </c>
      <c r="M162">
        <f t="shared" si="22"/>
        <v>0</v>
      </c>
      <c r="N162">
        <f t="shared" si="30"/>
        <v>0</v>
      </c>
      <c r="O162">
        <f t="shared" si="23"/>
        <v>0</v>
      </c>
      <c r="P162">
        <f t="shared" si="24"/>
        <v>0</v>
      </c>
      <c r="R162" t="str">
        <f t="shared" si="25"/>
        <v>00</v>
      </c>
    </row>
    <row r="163" spans="1:18" x14ac:dyDescent="0.4">
      <c r="A163" s="1" t="str">
        <f t="shared" si="28"/>
        <v>050</v>
      </c>
      <c r="B163">
        <f t="shared" si="29"/>
        <v>1</v>
      </c>
      <c r="C163">
        <f>VALUE(MID(Hex!$C$2,1+2*HEX2DEC(A163)+B163,1))</f>
        <v>3</v>
      </c>
      <c r="D163" s="1" t="str">
        <f t="shared" si="26"/>
        <v>0A1</v>
      </c>
      <c r="E163">
        <f>HEX2DEC(MID(Hex!$C$8,1+HEX2DEC(Edit!D163)*2,2))</f>
        <v>0</v>
      </c>
      <c r="F163">
        <f t="shared" si="27"/>
        <v>161</v>
      </c>
      <c r="G163" t="str">
        <f>_xlfn.LET(_xlpm.custom,_xlfn.XLOOKUP(F163,Data!A:A,Data!C:C),IF(_xlpm.custom="",_xlfn.XLOOKUP(F163,Data!A:A,Data!B:B),_xlpm.custom))</f>
        <v>Mago Berry</v>
      </c>
      <c r="H163" t="str">
        <f>_xlfn.XLOOKUP(C163,Data!A:A,Data!E:E)</f>
        <v>Berry</v>
      </c>
      <c r="J163">
        <f>IF(I163="",C163,_xlfn.XLOOKUP(I163,Data!E:E,Data!A:A,""))</f>
        <v>3</v>
      </c>
      <c r="L163">
        <f t="shared" si="21"/>
        <v>0</v>
      </c>
      <c r="M163">
        <f t="shared" si="22"/>
        <v>0</v>
      </c>
      <c r="N163">
        <f t="shared" si="30"/>
        <v>0</v>
      </c>
      <c r="O163">
        <f t="shared" si="23"/>
        <v>0</v>
      </c>
      <c r="P163">
        <f t="shared" si="24"/>
        <v>0</v>
      </c>
      <c r="R163" t="str">
        <f t="shared" si="25"/>
        <v>00</v>
      </c>
    </row>
    <row r="164" spans="1:18" x14ac:dyDescent="0.4">
      <c r="A164" s="1" t="str">
        <f t="shared" si="28"/>
        <v>051</v>
      </c>
      <c r="B164">
        <f t="shared" si="29"/>
        <v>0</v>
      </c>
      <c r="C164">
        <f>VALUE(MID(Hex!$C$2,1+2*HEX2DEC(A164)+B164,1))</f>
        <v>3</v>
      </c>
      <c r="D164" s="1" t="str">
        <f t="shared" si="26"/>
        <v>0A2</v>
      </c>
      <c r="E164">
        <f>HEX2DEC(MID(Hex!$C$8,1+HEX2DEC(Edit!D164)*2,2))</f>
        <v>0</v>
      </c>
      <c r="F164">
        <f t="shared" si="27"/>
        <v>162</v>
      </c>
      <c r="G164" t="str">
        <f>_xlfn.LET(_xlpm.custom,_xlfn.XLOOKUP(F164,Data!A:A,Data!C:C),IF(_xlpm.custom="",_xlfn.XLOOKUP(F164,Data!A:A,Data!B:B),_xlpm.custom))</f>
        <v>Aguav Berry</v>
      </c>
      <c r="H164" t="str">
        <f>_xlfn.XLOOKUP(C164,Data!A:A,Data!E:E)</f>
        <v>Berry</v>
      </c>
      <c r="J164">
        <f>IF(I164="",C164,_xlfn.XLOOKUP(I164,Data!E:E,Data!A:A,""))</f>
        <v>3</v>
      </c>
      <c r="L164">
        <f t="shared" si="21"/>
        <v>0</v>
      </c>
      <c r="M164">
        <f t="shared" si="22"/>
        <v>0</v>
      </c>
      <c r="N164">
        <f t="shared" si="30"/>
        <v>0</v>
      </c>
      <c r="O164">
        <f t="shared" si="23"/>
        <v>0</v>
      </c>
      <c r="P164">
        <f t="shared" si="24"/>
        <v>0</v>
      </c>
      <c r="R164" t="str">
        <f t="shared" si="25"/>
        <v>00</v>
      </c>
    </row>
    <row r="165" spans="1:18" x14ac:dyDescent="0.4">
      <c r="A165" s="1" t="str">
        <f t="shared" si="28"/>
        <v>051</v>
      </c>
      <c r="B165">
        <f t="shared" si="29"/>
        <v>1</v>
      </c>
      <c r="C165">
        <f>VALUE(MID(Hex!$C$2,1+2*HEX2DEC(A165)+B165,1))</f>
        <v>3</v>
      </c>
      <c r="D165" s="1" t="str">
        <f t="shared" si="26"/>
        <v>0A3</v>
      </c>
      <c r="E165">
        <f>HEX2DEC(MID(Hex!$C$8,1+HEX2DEC(Edit!D165)*2,2))</f>
        <v>0</v>
      </c>
      <c r="F165">
        <f t="shared" si="27"/>
        <v>163</v>
      </c>
      <c r="G165" t="str">
        <f>_xlfn.LET(_xlpm.custom,_xlfn.XLOOKUP(F165,Data!A:A,Data!C:C),IF(_xlpm.custom="",_xlfn.XLOOKUP(F165,Data!A:A,Data!B:B),_xlpm.custom))</f>
        <v>Iapapa Berry</v>
      </c>
      <c r="H165" t="str">
        <f>_xlfn.XLOOKUP(C165,Data!A:A,Data!E:E)</f>
        <v>Berry</v>
      </c>
      <c r="J165">
        <f>IF(I165="",C165,_xlfn.XLOOKUP(I165,Data!E:E,Data!A:A,""))</f>
        <v>3</v>
      </c>
      <c r="L165">
        <f t="shared" si="21"/>
        <v>0</v>
      </c>
      <c r="M165">
        <f t="shared" si="22"/>
        <v>0</v>
      </c>
      <c r="N165">
        <f t="shared" si="30"/>
        <v>0</v>
      </c>
      <c r="O165">
        <f t="shared" si="23"/>
        <v>0</v>
      </c>
      <c r="P165">
        <f t="shared" si="24"/>
        <v>0</v>
      </c>
      <c r="R165" t="str">
        <f t="shared" si="25"/>
        <v>00</v>
      </c>
    </row>
    <row r="166" spans="1:18" x14ac:dyDescent="0.4">
      <c r="A166" s="1" t="str">
        <f t="shared" si="28"/>
        <v>052</v>
      </c>
      <c r="B166">
        <f t="shared" si="29"/>
        <v>0</v>
      </c>
      <c r="C166">
        <f>VALUE(MID(Hex!$C$2,1+2*HEX2DEC(A166)+B166,1))</f>
        <v>3</v>
      </c>
      <c r="D166" s="1" t="str">
        <f t="shared" si="26"/>
        <v>0A4</v>
      </c>
      <c r="E166">
        <f>HEX2DEC(MID(Hex!$C$8,1+HEX2DEC(Edit!D166)*2,2))</f>
        <v>0</v>
      </c>
      <c r="F166">
        <f t="shared" si="27"/>
        <v>164</v>
      </c>
      <c r="G166" t="str">
        <f>_xlfn.LET(_xlpm.custom,_xlfn.XLOOKUP(F166,Data!A:A,Data!C:C),IF(_xlpm.custom="",_xlfn.XLOOKUP(F166,Data!A:A,Data!B:B),_xlpm.custom))</f>
        <v>Razz Berry</v>
      </c>
      <c r="H166" t="str">
        <f>_xlfn.XLOOKUP(C166,Data!A:A,Data!E:E)</f>
        <v>Berry</v>
      </c>
      <c r="J166">
        <f>IF(I166="",C166,_xlfn.XLOOKUP(I166,Data!E:E,Data!A:A,""))</f>
        <v>3</v>
      </c>
      <c r="L166">
        <f t="shared" si="21"/>
        <v>0</v>
      </c>
      <c r="M166">
        <f t="shared" si="22"/>
        <v>0</v>
      </c>
      <c r="N166">
        <f t="shared" si="30"/>
        <v>0</v>
      </c>
      <c r="O166">
        <f t="shared" si="23"/>
        <v>0</v>
      </c>
      <c r="P166">
        <f t="shared" si="24"/>
        <v>0</v>
      </c>
      <c r="R166" t="str">
        <f t="shared" si="25"/>
        <v>00</v>
      </c>
    </row>
    <row r="167" spans="1:18" x14ac:dyDescent="0.4">
      <c r="A167" s="1" t="str">
        <f t="shared" si="28"/>
        <v>052</v>
      </c>
      <c r="B167">
        <f t="shared" si="29"/>
        <v>1</v>
      </c>
      <c r="C167">
        <f>VALUE(MID(Hex!$C$2,1+2*HEX2DEC(A167)+B167,1))</f>
        <v>3</v>
      </c>
      <c r="D167" s="1" t="str">
        <f t="shared" si="26"/>
        <v>0A5</v>
      </c>
      <c r="E167">
        <f>HEX2DEC(MID(Hex!$C$8,1+HEX2DEC(Edit!D167)*2,2))</f>
        <v>0</v>
      </c>
      <c r="F167">
        <f t="shared" si="27"/>
        <v>165</v>
      </c>
      <c r="G167" t="str">
        <f>_xlfn.LET(_xlpm.custom,_xlfn.XLOOKUP(F167,Data!A:A,Data!C:C),IF(_xlpm.custom="",_xlfn.XLOOKUP(F167,Data!A:A,Data!B:B),_xlpm.custom))</f>
        <v>Bluk Berry</v>
      </c>
      <c r="H167" t="str">
        <f>_xlfn.XLOOKUP(C167,Data!A:A,Data!E:E)</f>
        <v>Berry</v>
      </c>
      <c r="J167">
        <f>IF(I167="",C167,_xlfn.XLOOKUP(I167,Data!E:E,Data!A:A,""))</f>
        <v>3</v>
      </c>
      <c r="L167">
        <f t="shared" si="21"/>
        <v>0</v>
      </c>
      <c r="M167">
        <f t="shared" si="22"/>
        <v>0</v>
      </c>
      <c r="N167">
        <f t="shared" si="30"/>
        <v>0</v>
      </c>
      <c r="O167">
        <f t="shared" si="23"/>
        <v>0</v>
      </c>
      <c r="P167">
        <f t="shared" si="24"/>
        <v>0</v>
      </c>
      <c r="R167" t="str">
        <f t="shared" si="25"/>
        <v>00</v>
      </c>
    </row>
    <row r="168" spans="1:18" x14ac:dyDescent="0.4">
      <c r="A168" s="1" t="str">
        <f t="shared" si="28"/>
        <v>053</v>
      </c>
      <c r="B168">
        <f t="shared" si="29"/>
        <v>0</v>
      </c>
      <c r="C168">
        <f>VALUE(MID(Hex!$C$2,1+2*HEX2DEC(A168)+B168,1))</f>
        <v>3</v>
      </c>
      <c r="D168" s="1" t="str">
        <f t="shared" si="26"/>
        <v>0A6</v>
      </c>
      <c r="E168">
        <f>HEX2DEC(MID(Hex!$C$8,1+HEX2DEC(Edit!D168)*2,2))</f>
        <v>0</v>
      </c>
      <c r="F168">
        <f t="shared" si="27"/>
        <v>166</v>
      </c>
      <c r="G168" t="str">
        <f>_xlfn.LET(_xlpm.custom,_xlfn.XLOOKUP(F168,Data!A:A,Data!C:C),IF(_xlpm.custom="",_xlfn.XLOOKUP(F168,Data!A:A,Data!B:B),_xlpm.custom))</f>
        <v>Nanab Berry</v>
      </c>
      <c r="H168" t="str">
        <f>_xlfn.XLOOKUP(C168,Data!A:A,Data!E:E)</f>
        <v>Berry</v>
      </c>
      <c r="J168">
        <f>IF(I168="",C168,_xlfn.XLOOKUP(I168,Data!E:E,Data!A:A,""))</f>
        <v>3</v>
      </c>
      <c r="L168">
        <f t="shared" si="21"/>
        <v>0</v>
      </c>
      <c r="M168">
        <f t="shared" si="22"/>
        <v>0</v>
      </c>
      <c r="N168">
        <f t="shared" si="30"/>
        <v>0</v>
      </c>
      <c r="O168">
        <f t="shared" si="23"/>
        <v>0</v>
      </c>
      <c r="P168">
        <f t="shared" si="24"/>
        <v>0</v>
      </c>
      <c r="R168" t="str">
        <f t="shared" si="25"/>
        <v>00</v>
      </c>
    </row>
    <row r="169" spans="1:18" x14ac:dyDescent="0.4">
      <c r="A169" s="1" t="str">
        <f t="shared" si="28"/>
        <v>053</v>
      </c>
      <c r="B169">
        <f t="shared" si="29"/>
        <v>1</v>
      </c>
      <c r="C169">
        <f>VALUE(MID(Hex!$C$2,1+2*HEX2DEC(A169)+B169,1))</f>
        <v>3</v>
      </c>
      <c r="D169" s="1" t="str">
        <f t="shared" si="26"/>
        <v>0A7</v>
      </c>
      <c r="E169">
        <f>HEX2DEC(MID(Hex!$C$8,1+HEX2DEC(Edit!D169)*2,2))</f>
        <v>0</v>
      </c>
      <c r="F169">
        <f t="shared" si="27"/>
        <v>167</v>
      </c>
      <c r="G169" t="str">
        <f>_xlfn.LET(_xlpm.custom,_xlfn.XLOOKUP(F169,Data!A:A,Data!C:C),IF(_xlpm.custom="",_xlfn.XLOOKUP(F169,Data!A:A,Data!B:B),_xlpm.custom))</f>
        <v>Wepear Berry</v>
      </c>
      <c r="H169" t="str">
        <f>_xlfn.XLOOKUP(C169,Data!A:A,Data!E:E)</f>
        <v>Berry</v>
      </c>
      <c r="J169">
        <f>IF(I169="",C169,_xlfn.XLOOKUP(I169,Data!E:E,Data!A:A,""))</f>
        <v>3</v>
      </c>
      <c r="L169">
        <f t="shared" si="21"/>
        <v>0</v>
      </c>
      <c r="M169">
        <f t="shared" si="22"/>
        <v>0</v>
      </c>
      <c r="N169">
        <f t="shared" si="30"/>
        <v>0</v>
      </c>
      <c r="O169">
        <f t="shared" si="23"/>
        <v>0</v>
      </c>
      <c r="P169">
        <f t="shared" si="24"/>
        <v>0</v>
      </c>
      <c r="R169" t="str">
        <f t="shared" si="25"/>
        <v>00</v>
      </c>
    </row>
    <row r="170" spans="1:18" x14ac:dyDescent="0.4">
      <c r="A170" s="1" t="str">
        <f t="shared" si="28"/>
        <v>054</v>
      </c>
      <c r="B170">
        <f t="shared" si="29"/>
        <v>0</v>
      </c>
      <c r="C170">
        <f>VALUE(MID(Hex!$C$2,1+2*HEX2DEC(A170)+B170,1))</f>
        <v>3</v>
      </c>
      <c r="D170" s="1" t="str">
        <f t="shared" si="26"/>
        <v>0A8</v>
      </c>
      <c r="E170">
        <f>HEX2DEC(MID(Hex!$C$8,1+HEX2DEC(Edit!D170)*2,2))</f>
        <v>0</v>
      </c>
      <c r="F170">
        <f t="shared" si="27"/>
        <v>168</v>
      </c>
      <c r="G170" t="str">
        <f>_xlfn.LET(_xlpm.custom,_xlfn.XLOOKUP(F170,Data!A:A,Data!C:C),IF(_xlpm.custom="",_xlfn.XLOOKUP(F170,Data!A:A,Data!B:B),_xlpm.custom))</f>
        <v>Pinap Berry</v>
      </c>
      <c r="H170" t="str">
        <f>_xlfn.XLOOKUP(C170,Data!A:A,Data!E:E)</f>
        <v>Berry</v>
      </c>
      <c r="J170">
        <f>IF(I170="",C170,_xlfn.XLOOKUP(I170,Data!E:E,Data!A:A,""))</f>
        <v>3</v>
      </c>
      <c r="L170">
        <f t="shared" si="21"/>
        <v>0</v>
      </c>
      <c r="M170">
        <f t="shared" si="22"/>
        <v>0</v>
      </c>
      <c r="N170">
        <f t="shared" si="30"/>
        <v>0</v>
      </c>
      <c r="O170">
        <f t="shared" si="23"/>
        <v>0</v>
      </c>
      <c r="P170">
        <f t="shared" si="24"/>
        <v>0</v>
      </c>
      <c r="R170" t="str">
        <f t="shared" si="25"/>
        <v>00</v>
      </c>
    </row>
    <row r="171" spans="1:18" x14ac:dyDescent="0.4">
      <c r="A171" s="1" t="str">
        <f t="shared" si="28"/>
        <v>054</v>
      </c>
      <c r="B171">
        <f t="shared" si="29"/>
        <v>1</v>
      </c>
      <c r="C171">
        <f>VALUE(MID(Hex!$C$2,1+2*HEX2DEC(A171)+B171,1))</f>
        <v>3</v>
      </c>
      <c r="D171" s="1" t="str">
        <f t="shared" si="26"/>
        <v>0A9</v>
      </c>
      <c r="E171">
        <f>HEX2DEC(MID(Hex!$C$8,1+HEX2DEC(Edit!D171)*2,2))</f>
        <v>0</v>
      </c>
      <c r="F171">
        <f t="shared" si="27"/>
        <v>169</v>
      </c>
      <c r="G171" t="str">
        <f>_xlfn.LET(_xlpm.custom,_xlfn.XLOOKUP(F171,Data!A:A,Data!C:C),IF(_xlpm.custom="",_xlfn.XLOOKUP(F171,Data!A:A,Data!B:B),_xlpm.custom))</f>
        <v>Pomeg Berry</v>
      </c>
      <c r="H171" t="str">
        <f>_xlfn.XLOOKUP(C171,Data!A:A,Data!E:E)</f>
        <v>Berry</v>
      </c>
      <c r="J171">
        <f>IF(I171="",C171,_xlfn.XLOOKUP(I171,Data!E:E,Data!A:A,""))</f>
        <v>3</v>
      </c>
      <c r="L171">
        <f t="shared" si="21"/>
        <v>0</v>
      </c>
      <c r="M171">
        <f t="shared" si="22"/>
        <v>0</v>
      </c>
      <c r="N171">
        <f t="shared" si="30"/>
        <v>0</v>
      </c>
      <c r="O171">
        <f t="shared" si="23"/>
        <v>0</v>
      </c>
      <c r="P171">
        <f t="shared" si="24"/>
        <v>0</v>
      </c>
      <c r="R171" t="str">
        <f t="shared" si="25"/>
        <v>00</v>
      </c>
    </row>
    <row r="172" spans="1:18" x14ac:dyDescent="0.4">
      <c r="A172" s="1" t="str">
        <f t="shared" si="28"/>
        <v>055</v>
      </c>
      <c r="B172">
        <f t="shared" si="29"/>
        <v>0</v>
      </c>
      <c r="C172">
        <f>VALUE(MID(Hex!$C$2,1+2*HEX2DEC(A172)+B172,1))</f>
        <v>3</v>
      </c>
      <c r="D172" s="1" t="str">
        <f t="shared" si="26"/>
        <v>0AA</v>
      </c>
      <c r="E172">
        <f>HEX2DEC(MID(Hex!$C$8,1+HEX2DEC(Edit!D172)*2,2))</f>
        <v>0</v>
      </c>
      <c r="F172">
        <f t="shared" si="27"/>
        <v>170</v>
      </c>
      <c r="G172" t="str">
        <f>_xlfn.LET(_xlpm.custom,_xlfn.XLOOKUP(F172,Data!A:A,Data!C:C),IF(_xlpm.custom="",_xlfn.XLOOKUP(F172,Data!A:A,Data!B:B),_xlpm.custom))</f>
        <v>Kelpsy Berry</v>
      </c>
      <c r="H172" t="str">
        <f>_xlfn.XLOOKUP(C172,Data!A:A,Data!E:E)</f>
        <v>Berry</v>
      </c>
      <c r="J172">
        <f>IF(I172="",C172,_xlfn.XLOOKUP(I172,Data!E:E,Data!A:A,""))</f>
        <v>3</v>
      </c>
      <c r="L172">
        <f t="shared" si="21"/>
        <v>0</v>
      </c>
      <c r="M172">
        <f t="shared" si="22"/>
        <v>0</v>
      </c>
      <c r="N172">
        <f t="shared" si="30"/>
        <v>0</v>
      </c>
      <c r="O172">
        <f t="shared" si="23"/>
        <v>0</v>
      </c>
      <c r="P172">
        <f t="shared" si="24"/>
        <v>0</v>
      </c>
      <c r="R172" t="str">
        <f t="shared" si="25"/>
        <v>00</v>
      </c>
    </row>
    <row r="173" spans="1:18" x14ac:dyDescent="0.4">
      <c r="A173" s="1" t="str">
        <f t="shared" si="28"/>
        <v>055</v>
      </c>
      <c r="B173">
        <f t="shared" si="29"/>
        <v>1</v>
      </c>
      <c r="C173">
        <f>VALUE(MID(Hex!$C$2,1+2*HEX2DEC(A173)+B173,1))</f>
        <v>3</v>
      </c>
      <c r="D173" s="1" t="str">
        <f t="shared" si="26"/>
        <v>0AB</v>
      </c>
      <c r="E173">
        <f>HEX2DEC(MID(Hex!$C$8,1+HEX2DEC(Edit!D173)*2,2))</f>
        <v>0</v>
      </c>
      <c r="F173">
        <f t="shared" si="27"/>
        <v>171</v>
      </c>
      <c r="G173" t="str">
        <f>_xlfn.LET(_xlpm.custom,_xlfn.XLOOKUP(F173,Data!A:A,Data!C:C),IF(_xlpm.custom="",_xlfn.XLOOKUP(F173,Data!A:A,Data!B:B),_xlpm.custom))</f>
        <v>Qualot Berry</v>
      </c>
      <c r="H173" t="str">
        <f>_xlfn.XLOOKUP(C173,Data!A:A,Data!E:E)</f>
        <v>Berry</v>
      </c>
      <c r="J173">
        <f>IF(I173="",C173,_xlfn.XLOOKUP(I173,Data!E:E,Data!A:A,""))</f>
        <v>3</v>
      </c>
      <c r="L173">
        <f t="shared" si="21"/>
        <v>0</v>
      </c>
      <c r="M173">
        <f t="shared" si="22"/>
        <v>0</v>
      </c>
      <c r="N173">
        <f t="shared" si="30"/>
        <v>0</v>
      </c>
      <c r="O173">
        <f t="shared" si="23"/>
        <v>0</v>
      </c>
      <c r="P173">
        <f t="shared" si="24"/>
        <v>0</v>
      </c>
      <c r="R173" t="str">
        <f t="shared" si="25"/>
        <v>00</v>
      </c>
    </row>
    <row r="174" spans="1:18" x14ac:dyDescent="0.4">
      <c r="A174" s="1" t="str">
        <f t="shared" si="28"/>
        <v>056</v>
      </c>
      <c r="B174">
        <f t="shared" si="29"/>
        <v>0</v>
      </c>
      <c r="C174">
        <f>VALUE(MID(Hex!$C$2,1+2*HEX2DEC(A174)+B174,1))</f>
        <v>3</v>
      </c>
      <c r="D174" s="1" t="str">
        <f t="shared" si="26"/>
        <v>0AC</v>
      </c>
      <c r="E174">
        <f>HEX2DEC(MID(Hex!$C$8,1+HEX2DEC(Edit!D174)*2,2))</f>
        <v>0</v>
      </c>
      <c r="F174">
        <f t="shared" si="27"/>
        <v>172</v>
      </c>
      <c r="G174" t="str">
        <f>_xlfn.LET(_xlpm.custom,_xlfn.XLOOKUP(F174,Data!A:A,Data!C:C),IF(_xlpm.custom="",_xlfn.XLOOKUP(F174,Data!A:A,Data!B:B),_xlpm.custom))</f>
        <v>Hondew Berry</v>
      </c>
      <c r="H174" t="str">
        <f>_xlfn.XLOOKUP(C174,Data!A:A,Data!E:E)</f>
        <v>Berry</v>
      </c>
      <c r="J174">
        <f>IF(I174="",C174,_xlfn.XLOOKUP(I174,Data!E:E,Data!A:A,""))</f>
        <v>3</v>
      </c>
      <c r="L174">
        <f t="shared" si="21"/>
        <v>0</v>
      </c>
      <c r="M174">
        <f t="shared" si="22"/>
        <v>0</v>
      </c>
      <c r="N174">
        <f t="shared" si="30"/>
        <v>0</v>
      </c>
      <c r="O174">
        <f t="shared" si="23"/>
        <v>0</v>
      </c>
      <c r="P174">
        <f t="shared" si="24"/>
        <v>0</v>
      </c>
      <c r="R174" t="str">
        <f t="shared" si="25"/>
        <v>00</v>
      </c>
    </row>
    <row r="175" spans="1:18" x14ac:dyDescent="0.4">
      <c r="A175" s="1" t="str">
        <f t="shared" si="28"/>
        <v>056</v>
      </c>
      <c r="B175">
        <f t="shared" si="29"/>
        <v>1</v>
      </c>
      <c r="C175">
        <f>VALUE(MID(Hex!$C$2,1+2*HEX2DEC(A175)+B175,1))</f>
        <v>3</v>
      </c>
      <c r="D175" s="1" t="str">
        <f t="shared" si="26"/>
        <v>0AD</v>
      </c>
      <c r="E175">
        <f>HEX2DEC(MID(Hex!$C$8,1+HEX2DEC(Edit!D175)*2,2))</f>
        <v>0</v>
      </c>
      <c r="F175">
        <f t="shared" si="27"/>
        <v>173</v>
      </c>
      <c r="G175" t="str">
        <f>_xlfn.LET(_xlpm.custom,_xlfn.XLOOKUP(F175,Data!A:A,Data!C:C),IF(_xlpm.custom="",_xlfn.XLOOKUP(F175,Data!A:A,Data!B:B),_xlpm.custom))</f>
        <v>Grepa Berry</v>
      </c>
      <c r="H175" t="str">
        <f>_xlfn.XLOOKUP(C175,Data!A:A,Data!E:E)</f>
        <v>Berry</v>
      </c>
      <c r="J175">
        <f>IF(I175="",C175,_xlfn.XLOOKUP(I175,Data!E:E,Data!A:A,""))</f>
        <v>3</v>
      </c>
      <c r="L175">
        <f t="shared" si="21"/>
        <v>0</v>
      </c>
      <c r="M175">
        <f t="shared" si="22"/>
        <v>0</v>
      </c>
      <c r="N175">
        <f t="shared" si="30"/>
        <v>0</v>
      </c>
      <c r="O175">
        <f t="shared" si="23"/>
        <v>0</v>
      </c>
      <c r="P175">
        <f t="shared" si="24"/>
        <v>0</v>
      </c>
      <c r="R175" t="str">
        <f t="shared" si="25"/>
        <v>00</v>
      </c>
    </row>
    <row r="176" spans="1:18" x14ac:dyDescent="0.4">
      <c r="A176" s="1" t="str">
        <f t="shared" si="28"/>
        <v>057</v>
      </c>
      <c r="B176">
        <f t="shared" si="29"/>
        <v>0</v>
      </c>
      <c r="C176">
        <f>VALUE(MID(Hex!$C$2,1+2*HEX2DEC(A176)+B176,1))</f>
        <v>3</v>
      </c>
      <c r="D176" s="1" t="str">
        <f t="shared" si="26"/>
        <v>0AE</v>
      </c>
      <c r="E176">
        <f>HEX2DEC(MID(Hex!$C$8,1+HEX2DEC(Edit!D176)*2,2))</f>
        <v>0</v>
      </c>
      <c r="F176">
        <f t="shared" si="27"/>
        <v>174</v>
      </c>
      <c r="G176" t="str">
        <f>_xlfn.LET(_xlpm.custom,_xlfn.XLOOKUP(F176,Data!A:A,Data!C:C),IF(_xlpm.custom="",_xlfn.XLOOKUP(F176,Data!A:A,Data!B:B),_xlpm.custom))</f>
        <v>Tamato Berry</v>
      </c>
      <c r="H176" t="str">
        <f>_xlfn.XLOOKUP(C176,Data!A:A,Data!E:E)</f>
        <v>Berry</v>
      </c>
      <c r="J176">
        <f>IF(I176="",C176,_xlfn.XLOOKUP(I176,Data!E:E,Data!A:A,""))</f>
        <v>3</v>
      </c>
      <c r="L176">
        <f t="shared" si="21"/>
        <v>0</v>
      </c>
      <c r="M176">
        <f t="shared" si="22"/>
        <v>0</v>
      </c>
      <c r="N176">
        <f t="shared" si="30"/>
        <v>0</v>
      </c>
      <c r="O176">
        <f t="shared" si="23"/>
        <v>0</v>
      </c>
      <c r="P176">
        <f t="shared" si="24"/>
        <v>0</v>
      </c>
      <c r="R176" t="str">
        <f t="shared" si="25"/>
        <v>00</v>
      </c>
    </row>
    <row r="177" spans="1:18" x14ac:dyDescent="0.4">
      <c r="A177" s="1" t="str">
        <f t="shared" si="28"/>
        <v>057</v>
      </c>
      <c r="B177">
        <f t="shared" si="29"/>
        <v>1</v>
      </c>
      <c r="C177">
        <f>VALUE(MID(Hex!$C$2,1+2*HEX2DEC(A177)+B177,1))</f>
        <v>3</v>
      </c>
      <c r="D177" s="1" t="str">
        <f t="shared" si="26"/>
        <v>0AF</v>
      </c>
      <c r="E177">
        <f>HEX2DEC(MID(Hex!$C$8,1+HEX2DEC(Edit!D177)*2,2))</f>
        <v>0</v>
      </c>
      <c r="F177">
        <f t="shared" si="27"/>
        <v>175</v>
      </c>
      <c r="G177" t="str">
        <f>_xlfn.LET(_xlpm.custom,_xlfn.XLOOKUP(F177,Data!A:A,Data!C:C),IF(_xlpm.custom="",_xlfn.XLOOKUP(F177,Data!A:A,Data!B:B),_xlpm.custom))</f>
        <v>Cornn Berry</v>
      </c>
      <c r="H177" t="str">
        <f>_xlfn.XLOOKUP(C177,Data!A:A,Data!E:E)</f>
        <v>Berry</v>
      </c>
      <c r="J177">
        <f>IF(I177="",C177,_xlfn.XLOOKUP(I177,Data!E:E,Data!A:A,""))</f>
        <v>3</v>
      </c>
      <c r="L177">
        <f t="shared" si="21"/>
        <v>0</v>
      </c>
      <c r="M177">
        <f t="shared" si="22"/>
        <v>0</v>
      </c>
      <c r="N177">
        <f t="shared" si="30"/>
        <v>0</v>
      </c>
      <c r="O177">
        <f t="shared" si="23"/>
        <v>0</v>
      </c>
      <c r="P177">
        <f t="shared" si="24"/>
        <v>0</v>
      </c>
      <c r="R177" t="str">
        <f t="shared" si="25"/>
        <v>00</v>
      </c>
    </row>
    <row r="178" spans="1:18" x14ac:dyDescent="0.4">
      <c r="A178" s="1" t="str">
        <f t="shared" si="28"/>
        <v>058</v>
      </c>
      <c r="B178">
        <f t="shared" si="29"/>
        <v>0</v>
      </c>
      <c r="C178">
        <f>VALUE(MID(Hex!$C$2,1+2*HEX2DEC(A178)+B178,1))</f>
        <v>3</v>
      </c>
      <c r="D178" s="1" t="str">
        <f t="shared" si="26"/>
        <v>0B0</v>
      </c>
      <c r="E178">
        <f>HEX2DEC(MID(Hex!$C$8,1+HEX2DEC(Edit!D178)*2,2))</f>
        <v>0</v>
      </c>
      <c r="F178">
        <f t="shared" si="27"/>
        <v>176</v>
      </c>
      <c r="G178" t="str">
        <f>_xlfn.LET(_xlpm.custom,_xlfn.XLOOKUP(F178,Data!A:A,Data!C:C),IF(_xlpm.custom="",_xlfn.XLOOKUP(F178,Data!A:A,Data!B:B),_xlpm.custom))</f>
        <v>Magost Berry</v>
      </c>
      <c r="H178" t="str">
        <f>_xlfn.XLOOKUP(C178,Data!A:A,Data!E:E)</f>
        <v>Berry</v>
      </c>
      <c r="J178">
        <f>IF(I178="",C178,_xlfn.XLOOKUP(I178,Data!E:E,Data!A:A,""))</f>
        <v>3</v>
      </c>
      <c r="L178">
        <f t="shared" si="21"/>
        <v>0</v>
      </c>
      <c r="M178">
        <f t="shared" si="22"/>
        <v>0</v>
      </c>
      <c r="N178">
        <f t="shared" si="30"/>
        <v>0</v>
      </c>
      <c r="O178">
        <f t="shared" si="23"/>
        <v>0</v>
      </c>
      <c r="P178">
        <f t="shared" si="24"/>
        <v>0</v>
      </c>
      <c r="R178" t="str">
        <f t="shared" si="25"/>
        <v>00</v>
      </c>
    </row>
    <row r="179" spans="1:18" x14ac:dyDescent="0.4">
      <c r="A179" s="1" t="str">
        <f t="shared" si="28"/>
        <v>058</v>
      </c>
      <c r="B179">
        <f t="shared" si="29"/>
        <v>1</v>
      </c>
      <c r="C179">
        <f>VALUE(MID(Hex!$C$2,1+2*HEX2DEC(A179)+B179,1))</f>
        <v>3</v>
      </c>
      <c r="D179" s="1" t="str">
        <f t="shared" si="26"/>
        <v>0B1</v>
      </c>
      <c r="E179">
        <f>HEX2DEC(MID(Hex!$C$8,1+HEX2DEC(Edit!D179)*2,2))</f>
        <v>0</v>
      </c>
      <c r="F179">
        <f t="shared" si="27"/>
        <v>177</v>
      </c>
      <c r="G179" t="str">
        <f>_xlfn.LET(_xlpm.custom,_xlfn.XLOOKUP(F179,Data!A:A,Data!C:C),IF(_xlpm.custom="",_xlfn.XLOOKUP(F179,Data!A:A,Data!B:B),_xlpm.custom))</f>
        <v>Rabuta Berry</v>
      </c>
      <c r="H179" t="str">
        <f>_xlfn.XLOOKUP(C179,Data!A:A,Data!E:E)</f>
        <v>Berry</v>
      </c>
      <c r="J179">
        <f>IF(I179="",C179,_xlfn.XLOOKUP(I179,Data!E:E,Data!A:A,""))</f>
        <v>3</v>
      </c>
      <c r="L179">
        <f t="shared" si="21"/>
        <v>0</v>
      </c>
      <c r="M179">
        <f t="shared" si="22"/>
        <v>0</v>
      </c>
      <c r="N179">
        <f t="shared" si="30"/>
        <v>0</v>
      </c>
      <c r="O179">
        <f t="shared" si="23"/>
        <v>0</v>
      </c>
      <c r="P179">
        <f t="shared" si="24"/>
        <v>0</v>
      </c>
      <c r="R179" t="str">
        <f t="shared" si="25"/>
        <v>00</v>
      </c>
    </row>
    <row r="180" spans="1:18" x14ac:dyDescent="0.4">
      <c r="A180" s="1" t="str">
        <f t="shared" si="28"/>
        <v>059</v>
      </c>
      <c r="B180">
        <f t="shared" si="29"/>
        <v>0</v>
      </c>
      <c r="C180">
        <f>VALUE(MID(Hex!$C$2,1+2*HEX2DEC(A180)+B180,1))</f>
        <v>3</v>
      </c>
      <c r="D180" s="1" t="str">
        <f t="shared" si="26"/>
        <v>0B2</v>
      </c>
      <c r="E180">
        <f>HEX2DEC(MID(Hex!$C$8,1+HEX2DEC(Edit!D180)*2,2))</f>
        <v>0</v>
      </c>
      <c r="F180">
        <f t="shared" si="27"/>
        <v>178</v>
      </c>
      <c r="G180" t="str">
        <f>_xlfn.LET(_xlpm.custom,_xlfn.XLOOKUP(F180,Data!A:A,Data!C:C),IF(_xlpm.custom="",_xlfn.XLOOKUP(F180,Data!A:A,Data!B:B),_xlpm.custom))</f>
        <v>Nomel Berry</v>
      </c>
      <c r="H180" t="str">
        <f>_xlfn.XLOOKUP(C180,Data!A:A,Data!E:E)</f>
        <v>Berry</v>
      </c>
      <c r="J180">
        <f>IF(I180="",C180,_xlfn.XLOOKUP(I180,Data!E:E,Data!A:A,""))</f>
        <v>3</v>
      </c>
      <c r="L180">
        <f t="shared" si="21"/>
        <v>0</v>
      </c>
      <c r="M180">
        <f t="shared" si="22"/>
        <v>0</v>
      </c>
      <c r="N180">
        <f t="shared" si="30"/>
        <v>0</v>
      </c>
      <c r="O180">
        <f t="shared" si="23"/>
        <v>0</v>
      </c>
      <c r="P180">
        <f t="shared" si="24"/>
        <v>0</v>
      </c>
      <c r="R180" t="str">
        <f t="shared" si="25"/>
        <v>00</v>
      </c>
    </row>
    <row r="181" spans="1:18" x14ac:dyDescent="0.4">
      <c r="A181" s="1" t="str">
        <f t="shared" si="28"/>
        <v>059</v>
      </c>
      <c r="B181">
        <f t="shared" si="29"/>
        <v>1</v>
      </c>
      <c r="C181">
        <f>VALUE(MID(Hex!$C$2,1+2*HEX2DEC(A181)+B181,1))</f>
        <v>3</v>
      </c>
      <c r="D181" s="1" t="str">
        <f t="shared" si="26"/>
        <v>0B3</v>
      </c>
      <c r="E181">
        <f>HEX2DEC(MID(Hex!$C$8,1+HEX2DEC(Edit!D181)*2,2))</f>
        <v>0</v>
      </c>
      <c r="F181">
        <f t="shared" si="27"/>
        <v>179</v>
      </c>
      <c r="G181" t="str">
        <f>_xlfn.LET(_xlpm.custom,_xlfn.XLOOKUP(F181,Data!A:A,Data!C:C),IF(_xlpm.custom="",_xlfn.XLOOKUP(F181,Data!A:A,Data!B:B),_xlpm.custom))</f>
        <v>Spelon Berry</v>
      </c>
      <c r="H181" t="str">
        <f>_xlfn.XLOOKUP(C181,Data!A:A,Data!E:E)</f>
        <v>Berry</v>
      </c>
      <c r="J181">
        <f>IF(I181="",C181,_xlfn.XLOOKUP(I181,Data!E:E,Data!A:A,""))</f>
        <v>3</v>
      </c>
      <c r="L181">
        <f t="shared" si="21"/>
        <v>0</v>
      </c>
      <c r="M181">
        <f t="shared" si="22"/>
        <v>0</v>
      </c>
      <c r="N181">
        <f t="shared" si="30"/>
        <v>0</v>
      </c>
      <c r="O181">
        <f t="shared" si="23"/>
        <v>0</v>
      </c>
      <c r="P181">
        <f t="shared" si="24"/>
        <v>0</v>
      </c>
      <c r="R181" t="str">
        <f t="shared" si="25"/>
        <v>00</v>
      </c>
    </row>
    <row r="182" spans="1:18" x14ac:dyDescent="0.4">
      <c r="A182" s="1" t="str">
        <f t="shared" si="28"/>
        <v>05A</v>
      </c>
      <c r="B182">
        <f t="shared" si="29"/>
        <v>0</v>
      </c>
      <c r="C182">
        <f>VALUE(MID(Hex!$C$2,1+2*HEX2DEC(A182)+B182,1))</f>
        <v>3</v>
      </c>
      <c r="D182" s="1" t="str">
        <f t="shared" si="26"/>
        <v>0B4</v>
      </c>
      <c r="E182">
        <f>HEX2DEC(MID(Hex!$C$8,1+HEX2DEC(Edit!D182)*2,2))</f>
        <v>0</v>
      </c>
      <c r="F182">
        <f t="shared" si="27"/>
        <v>180</v>
      </c>
      <c r="G182" t="str">
        <f>_xlfn.LET(_xlpm.custom,_xlfn.XLOOKUP(F182,Data!A:A,Data!C:C),IF(_xlpm.custom="",_xlfn.XLOOKUP(F182,Data!A:A,Data!B:B),_xlpm.custom))</f>
        <v>Pamtre Berry</v>
      </c>
      <c r="H182" t="str">
        <f>_xlfn.XLOOKUP(C182,Data!A:A,Data!E:E)</f>
        <v>Berry</v>
      </c>
      <c r="J182">
        <f>IF(I182="",C182,_xlfn.XLOOKUP(I182,Data!E:E,Data!A:A,""))</f>
        <v>3</v>
      </c>
      <c r="L182">
        <f t="shared" si="21"/>
        <v>0</v>
      </c>
      <c r="M182">
        <f t="shared" si="22"/>
        <v>0</v>
      </c>
      <c r="N182">
        <f t="shared" si="30"/>
        <v>0</v>
      </c>
      <c r="O182">
        <f t="shared" si="23"/>
        <v>0</v>
      </c>
      <c r="P182">
        <f t="shared" si="24"/>
        <v>0</v>
      </c>
      <c r="R182" t="str">
        <f t="shared" si="25"/>
        <v>00</v>
      </c>
    </row>
    <row r="183" spans="1:18" x14ac:dyDescent="0.4">
      <c r="A183" s="1" t="str">
        <f t="shared" si="28"/>
        <v>05A</v>
      </c>
      <c r="B183">
        <f t="shared" si="29"/>
        <v>1</v>
      </c>
      <c r="C183">
        <f>VALUE(MID(Hex!$C$2,1+2*HEX2DEC(A183)+B183,1))</f>
        <v>3</v>
      </c>
      <c r="D183" s="1" t="str">
        <f t="shared" si="26"/>
        <v>0B5</v>
      </c>
      <c r="E183">
        <f>HEX2DEC(MID(Hex!$C$8,1+HEX2DEC(Edit!D183)*2,2))</f>
        <v>0</v>
      </c>
      <c r="F183">
        <f t="shared" si="27"/>
        <v>181</v>
      </c>
      <c r="G183" t="str">
        <f>_xlfn.LET(_xlpm.custom,_xlfn.XLOOKUP(F183,Data!A:A,Data!C:C),IF(_xlpm.custom="",_xlfn.XLOOKUP(F183,Data!A:A,Data!B:B),_xlpm.custom))</f>
        <v>Watmel Berry</v>
      </c>
      <c r="H183" t="str">
        <f>_xlfn.XLOOKUP(C183,Data!A:A,Data!E:E)</f>
        <v>Berry</v>
      </c>
      <c r="J183">
        <f>IF(I183="",C183,_xlfn.XLOOKUP(I183,Data!E:E,Data!A:A,""))</f>
        <v>3</v>
      </c>
      <c r="L183">
        <f t="shared" si="21"/>
        <v>0</v>
      </c>
      <c r="M183">
        <f t="shared" si="22"/>
        <v>0</v>
      </c>
      <c r="N183">
        <f t="shared" si="30"/>
        <v>0</v>
      </c>
      <c r="O183">
        <f t="shared" si="23"/>
        <v>0</v>
      </c>
      <c r="P183">
        <f t="shared" si="24"/>
        <v>0</v>
      </c>
      <c r="R183" t="str">
        <f t="shared" si="25"/>
        <v>00</v>
      </c>
    </row>
    <row r="184" spans="1:18" x14ac:dyDescent="0.4">
      <c r="A184" s="1" t="str">
        <f t="shared" si="28"/>
        <v>05B</v>
      </c>
      <c r="B184">
        <f t="shared" si="29"/>
        <v>0</v>
      </c>
      <c r="C184">
        <f>VALUE(MID(Hex!$C$2,1+2*HEX2DEC(A184)+B184,1))</f>
        <v>3</v>
      </c>
      <c r="D184" s="1" t="str">
        <f t="shared" si="26"/>
        <v>0B6</v>
      </c>
      <c r="E184">
        <f>HEX2DEC(MID(Hex!$C$8,1+HEX2DEC(Edit!D184)*2,2))</f>
        <v>0</v>
      </c>
      <c r="F184">
        <f t="shared" si="27"/>
        <v>182</v>
      </c>
      <c r="G184" t="str">
        <f>_xlfn.LET(_xlpm.custom,_xlfn.XLOOKUP(F184,Data!A:A,Data!C:C),IF(_xlpm.custom="",_xlfn.XLOOKUP(F184,Data!A:A,Data!B:B),_xlpm.custom))</f>
        <v>Durin Berry</v>
      </c>
      <c r="H184" t="str">
        <f>_xlfn.XLOOKUP(C184,Data!A:A,Data!E:E)</f>
        <v>Berry</v>
      </c>
      <c r="J184">
        <f>IF(I184="",C184,_xlfn.XLOOKUP(I184,Data!E:E,Data!A:A,""))</f>
        <v>3</v>
      </c>
      <c r="L184">
        <f t="shared" si="21"/>
        <v>0</v>
      </c>
      <c r="M184">
        <f t="shared" si="22"/>
        <v>0</v>
      </c>
      <c r="N184">
        <f t="shared" si="30"/>
        <v>0</v>
      </c>
      <c r="O184">
        <f t="shared" si="23"/>
        <v>0</v>
      </c>
      <c r="P184">
        <f t="shared" si="24"/>
        <v>0</v>
      </c>
      <c r="R184" t="str">
        <f t="shared" si="25"/>
        <v>00</v>
      </c>
    </row>
    <row r="185" spans="1:18" x14ac:dyDescent="0.4">
      <c r="A185" s="1" t="str">
        <f t="shared" si="28"/>
        <v>05B</v>
      </c>
      <c r="B185">
        <f t="shared" si="29"/>
        <v>1</v>
      </c>
      <c r="C185">
        <f>VALUE(MID(Hex!$C$2,1+2*HEX2DEC(A185)+B185,1))</f>
        <v>3</v>
      </c>
      <c r="D185" s="1" t="str">
        <f t="shared" si="26"/>
        <v>0B7</v>
      </c>
      <c r="E185">
        <f>HEX2DEC(MID(Hex!$C$8,1+HEX2DEC(Edit!D185)*2,2))</f>
        <v>0</v>
      </c>
      <c r="F185">
        <f t="shared" si="27"/>
        <v>183</v>
      </c>
      <c r="G185" t="str">
        <f>_xlfn.LET(_xlpm.custom,_xlfn.XLOOKUP(F185,Data!A:A,Data!C:C),IF(_xlpm.custom="",_xlfn.XLOOKUP(F185,Data!A:A,Data!B:B),_xlpm.custom))</f>
        <v>Belue Berry</v>
      </c>
      <c r="H185" t="str">
        <f>_xlfn.XLOOKUP(C185,Data!A:A,Data!E:E)</f>
        <v>Berry</v>
      </c>
      <c r="J185">
        <f>IF(I185="",C185,_xlfn.XLOOKUP(I185,Data!E:E,Data!A:A,""))</f>
        <v>3</v>
      </c>
      <c r="L185">
        <f t="shared" si="21"/>
        <v>0</v>
      </c>
      <c r="M185">
        <f t="shared" si="22"/>
        <v>0</v>
      </c>
      <c r="N185">
        <f t="shared" si="30"/>
        <v>0</v>
      </c>
      <c r="O185">
        <f t="shared" si="23"/>
        <v>0</v>
      </c>
      <c r="P185">
        <f t="shared" si="24"/>
        <v>0</v>
      </c>
      <c r="R185" t="str">
        <f t="shared" si="25"/>
        <v>00</v>
      </c>
    </row>
    <row r="186" spans="1:18" x14ac:dyDescent="0.4">
      <c r="A186" s="1" t="str">
        <f t="shared" si="28"/>
        <v>05C</v>
      </c>
      <c r="B186">
        <f t="shared" si="29"/>
        <v>0</v>
      </c>
      <c r="C186">
        <f>VALUE(MID(Hex!$C$2,1+2*HEX2DEC(A186)+B186,1))</f>
        <v>3</v>
      </c>
      <c r="D186" s="1" t="str">
        <f t="shared" si="26"/>
        <v>0B8</v>
      </c>
      <c r="E186">
        <f>HEX2DEC(MID(Hex!$C$8,1+HEX2DEC(Edit!D186)*2,2))</f>
        <v>0</v>
      </c>
      <c r="F186">
        <f t="shared" si="27"/>
        <v>184</v>
      </c>
      <c r="G186" t="str">
        <f>_xlfn.LET(_xlpm.custom,_xlfn.XLOOKUP(F186,Data!A:A,Data!C:C),IF(_xlpm.custom="",_xlfn.XLOOKUP(F186,Data!A:A,Data!B:B),_xlpm.custom))</f>
        <v>Occa Berry</v>
      </c>
      <c r="H186" t="str">
        <f>_xlfn.XLOOKUP(C186,Data!A:A,Data!E:E)</f>
        <v>Berry</v>
      </c>
      <c r="J186">
        <f>IF(I186="",C186,_xlfn.XLOOKUP(I186,Data!E:E,Data!A:A,""))</f>
        <v>3</v>
      </c>
      <c r="L186">
        <f t="shared" si="21"/>
        <v>0</v>
      </c>
      <c r="M186">
        <f t="shared" si="22"/>
        <v>0</v>
      </c>
      <c r="N186">
        <f t="shared" si="30"/>
        <v>0</v>
      </c>
      <c r="O186">
        <f t="shared" si="23"/>
        <v>0</v>
      </c>
      <c r="P186">
        <f t="shared" si="24"/>
        <v>0</v>
      </c>
      <c r="R186" t="str">
        <f t="shared" si="25"/>
        <v>00</v>
      </c>
    </row>
    <row r="187" spans="1:18" x14ac:dyDescent="0.4">
      <c r="A187" s="1" t="str">
        <f t="shared" si="28"/>
        <v>05C</v>
      </c>
      <c r="B187">
        <f t="shared" si="29"/>
        <v>1</v>
      </c>
      <c r="C187">
        <f>VALUE(MID(Hex!$C$2,1+2*HEX2DEC(A187)+B187,1))</f>
        <v>3</v>
      </c>
      <c r="D187" s="1" t="str">
        <f t="shared" si="26"/>
        <v>0B9</v>
      </c>
      <c r="E187">
        <f>HEX2DEC(MID(Hex!$C$8,1+HEX2DEC(Edit!D187)*2,2))</f>
        <v>0</v>
      </c>
      <c r="F187">
        <f t="shared" si="27"/>
        <v>185</v>
      </c>
      <c r="G187" t="str">
        <f>_xlfn.LET(_xlpm.custom,_xlfn.XLOOKUP(F187,Data!A:A,Data!C:C),IF(_xlpm.custom="",_xlfn.XLOOKUP(F187,Data!A:A,Data!B:B),_xlpm.custom))</f>
        <v>Passho Berry</v>
      </c>
      <c r="H187" t="str">
        <f>_xlfn.XLOOKUP(C187,Data!A:A,Data!E:E)</f>
        <v>Berry</v>
      </c>
      <c r="J187">
        <f>IF(I187="",C187,_xlfn.XLOOKUP(I187,Data!E:E,Data!A:A,""))</f>
        <v>3</v>
      </c>
      <c r="L187">
        <f t="shared" si="21"/>
        <v>0</v>
      </c>
      <c r="M187">
        <f t="shared" si="22"/>
        <v>0</v>
      </c>
      <c r="N187">
        <f t="shared" si="30"/>
        <v>0</v>
      </c>
      <c r="O187">
        <f t="shared" si="23"/>
        <v>0</v>
      </c>
      <c r="P187">
        <f t="shared" si="24"/>
        <v>0</v>
      </c>
      <c r="R187" t="str">
        <f t="shared" si="25"/>
        <v>00</v>
      </c>
    </row>
    <row r="188" spans="1:18" x14ac:dyDescent="0.4">
      <c r="A188" s="1" t="str">
        <f t="shared" si="28"/>
        <v>05D</v>
      </c>
      <c r="B188">
        <f t="shared" si="29"/>
        <v>0</v>
      </c>
      <c r="C188">
        <f>VALUE(MID(Hex!$C$2,1+2*HEX2DEC(A188)+B188,1))</f>
        <v>3</v>
      </c>
      <c r="D188" s="1" t="str">
        <f t="shared" si="26"/>
        <v>0BA</v>
      </c>
      <c r="E188">
        <f>HEX2DEC(MID(Hex!$C$8,1+HEX2DEC(Edit!D188)*2,2))</f>
        <v>0</v>
      </c>
      <c r="F188">
        <f t="shared" si="27"/>
        <v>186</v>
      </c>
      <c r="G188" t="str">
        <f>_xlfn.LET(_xlpm.custom,_xlfn.XLOOKUP(F188,Data!A:A,Data!C:C),IF(_xlpm.custom="",_xlfn.XLOOKUP(F188,Data!A:A,Data!B:B),_xlpm.custom))</f>
        <v>Wacan Berry</v>
      </c>
      <c r="H188" t="str">
        <f>_xlfn.XLOOKUP(C188,Data!A:A,Data!E:E)</f>
        <v>Berry</v>
      </c>
      <c r="J188">
        <f>IF(I188="",C188,_xlfn.XLOOKUP(I188,Data!E:E,Data!A:A,""))</f>
        <v>3</v>
      </c>
      <c r="L188">
        <f t="shared" si="21"/>
        <v>0</v>
      </c>
      <c r="M188">
        <f t="shared" si="22"/>
        <v>0</v>
      </c>
      <c r="N188">
        <f t="shared" si="30"/>
        <v>0</v>
      </c>
      <c r="O188">
        <f t="shared" si="23"/>
        <v>0</v>
      </c>
      <c r="P188">
        <f t="shared" si="24"/>
        <v>0</v>
      </c>
      <c r="R188" t="str">
        <f t="shared" si="25"/>
        <v>00</v>
      </c>
    </row>
    <row r="189" spans="1:18" x14ac:dyDescent="0.4">
      <c r="A189" s="1" t="str">
        <f t="shared" si="28"/>
        <v>05D</v>
      </c>
      <c r="B189">
        <f t="shared" si="29"/>
        <v>1</v>
      </c>
      <c r="C189">
        <f>VALUE(MID(Hex!$C$2,1+2*HEX2DEC(A189)+B189,1))</f>
        <v>3</v>
      </c>
      <c r="D189" s="1" t="str">
        <f t="shared" si="26"/>
        <v>0BB</v>
      </c>
      <c r="E189">
        <f>HEX2DEC(MID(Hex!$C$8,1+HEX2DEC(Edit!D189)*2,2))</f>
        <v>0</v>
      </c>
      <c r="F189">
        <f t="shared" si="27"/>
        <v>187</v>
      </c>
      <c r="G189" t="str">
        <f>_xlfn.LET(_xlpm.custom,_xlfn.XLOOKUP(F189,Data!A:A,Data!C:C),IF(_xlpm.custom="",_xlfn.XLOOKUP(F189,Data!A:A,Data!B:B),_xlpm.custom))</f>
        <v>Rindo Berry</v>
      </c>
      <c r="H189" t="str">
        <f>_xlfn.XLOOKUP(C189,Data!A:A,Data!E:E)</f>
        <v>Berry</v>
      </c>
      <c r="J189">
        <f>IF(I189="",C189,_xlfn.XLOOKUP(I189,Data!E:E,Data!A:A,""))</f>
        <v>3</v>
      </c>
      <c r="L189">
        <f t="shared" si="21"/>
        <v>0</v>
      </c>
      <c r="M189">
        <f t="shared" si="22"/>
        <v>0</v>
      </c>
      <c r="N189">
        <f t="shared" si="30"/>
        <v>0</v>
      </c>
      <c r="O189">
        <f t="shared" si="23"/>
        <v>0</v>
      </c>
      <c r="P189">
        <f t="shared" si="24"/>
        <v>0</v>
      </c>
      <c r="R189" t="str">
        <f t="shared" si="25"/>
        <v>00</v>
      </c>
    </row>
    <row r="190" spans="1:18" x14ac:dyDescent="0.4">
      <c r="A190" s="1" t="str">
        <f t="shared" si="28"/>
        <v>05E</v>
      </c>
      <c r="B190">
        <f t="shared" si="29"/>
        <v>0</v>
      </c>
      <c r="C190">
        <f>VALUE(MID(Hex!$C$2,1+2*HEX2DEC(A190)+B190,1))</f>
        <v>3</v>
      </c>
      <c r="D190" s="1" t="str">
        <f t="shared" si="26"/>
        <v>0BC</v>
      </c>
      <c r="E190">
        <f>HEX2DEC(MID(Hex!$C$8,1+HEX2DEC(Edit!D190)*2,2))</f>
        <v>0</v>
      </c>
      <c r="F190">
        <f t="shared" si="27"/>
        <v>188</v>
      </c>
      <c r="G190" t="str">
        <f>_xlfn.LET(_xlpm.custom,_xlfn.XLOOKUP(F190,Data!A:A,Data!C:C),IF(_xlpm.custom="",_xlfn.XLOOKUP(F190,Data!A:A,Data!B:B),_xlpm.custom))</f>
        <v>Yache Berry</v>
      </c>
      <c r="H190" t="str">
        <f>_xlfn.XLOOKUP(C190,Data!A:A,Data!E:E)</f>
        <v>Berry</v>
      </c>
      <c r="J190">
        <f>IF(I190="",C190,_xlfn.XLOOKUP(I190,Data!E:E,Data!A:A,""))</f>
        <v>3</v>
      </c>
      <c r="L190">
        <f t="shared" si="21"/>
        <v>0</v>
      </c>
      <c r="M190">
        <f t="shared" si="22"/>
        <v>0</v>
      </c>
      <c r="N190">
        <f t="shared" si="30"/>
        <v>0</v>
      </c>
      <c r="O190">
        <f t="shared" si="23"/>
        <v>0</v>
      </c>
      <c r="P190">
        <f t="shared" si="24"/>
        <v>0</v>
      </c>
      <c r="R190" t="str">
        <f t="shared" si="25"/>
        <v>00</v>
      </c>
    </row>
    <row r="191" spans="1:18" x14ac:dyDescent="0.4">
      <c r="A191" s="1" t="str">
        <f t="shared" si="28"/>
        <v>05E</v>
      </c>
      <c r="B191">
        <f t="shared" si="29"/>
        <v>1</v>
      </c>
      <c r="C191">
        <f>VALUE(MID(Hex!$C$2,1+2*HEX2DEC(A191)+B191,1))</f>
        <v>3</v>
      </c>
      <c r="D191" s="1" t="str">
        <f t="shared" si="26"/>
        <v>0BD</v>
      </c>
      <c r="E191">
        <f>HEX2DEC(MID(Hex!$C$8,1+HEX2DEC(Edit!D191)*2,2))</f>
        <v>0</v>
      </c>
      <c r="F191">
        <f t="shared" si="27"/>
        <v>189</v>
      </c>
      <c r="G191" t="str">
        <f>_xlfn.LET(_xlpm.custom,_xlfn.XLOOKUP(F191,Data!A:A,Data!C:C),IF(_xlpm.custom="",_xlfn.XLOOKUP(F191,Data!A:A,Data!B:B),_xlpm.custom))</f>
        <v>Chople Berry</v>
      </c>
      <c r="H191" t="str">
        <f>_xlfn.XLOOKUP(C191,Data!A:A,Data!E:E)</f>
        <v>Berry</v>
      </c>
      <c r="J191">
        <f>IF(I191="",C191,_xlfn.XLOOKUP(I191,Data!E:E,Data!A:A,""))</f>
        <v>3</v>
      </c>
      <c r="L191">
        <f t="shared" si="21"/>
        <v>0</v>
      </c>
      <c r="M191">
        <f t="shared" si="22"/>
        <v>0</v>
      </c>
      <c r="N191">
        <f t="shared" si="30"/>
        <v>0</v>
      </c>
      <c r="O191">
        <f t="shared" si="23"/>
        <v>0</v>
      </c>
      <c r="P191">
        <f t="shared" si="24"/>
        <v>0</v>
      </c>
      <c r="R191" t="str">
        <f t="shared" si="25"/>
        <v>00</v>
      </c>
    </row>
    <row r="192" spans="1:18" x14ac:dyDescent="0.4">
      <c r="A192" s="1" t="str">
        <f t="shared" si="28"/>
        <v>05F</v>
      </c>
      <c r="B192">
        <f t="shared" si="29"/>
        <v>0</v>
      </c>
      <c r="C192">
        <f>VALUE(MID(Hex!$C$2,1+2*HEX2DEC(A192)+B192,1))</f>
        <v>3</v>
      </c>
      <c r="D192" s="1" t="str">
        <f t="shared" si="26"/>
        <v>0BE</v>
      </c>
      <c r="E192">
        <f>HEX2DEC(MID(Hex!$C$8,1+HEX2DEC(Edit!D192)*2,2))</f>
        <v>0</v>
      </c>
      <c r="F192">
        <f t="shared" si="27"/>
        <v>190</v>
      </c>
      <c r="G192" t="str">
        <f>_xlfn.LET(_xlpm.custom,_xlfn.XLOOKUP(F192,Data!A:A,Data!C:C),IF(_xlpm.custom="",_xlfn.XLOOKUP(F192,Data!A:A,Data!B:B),_xlpm.custom))</f>
        <v>Kebia Berry</v>
      </c>
      <c r="H192" t="str">
        <f>_xlfn.XLOOKUP(C192,Data!A:A,Data!E:E)</f>
        <v>Berry</v>
      </c>
      <c r="J192">
        <f>IF(I192="",C192,_xlfn.XLOOKUP(I192,Data!E:E,Data!A:A,""))</f>
        <v>3</v>
      </c>
      <c r="L192">
        <f t="shared" si="21"/>
        <v>0</v>
      </c>
      <c r="M192">
        <f t="shared" si="22"/>
        <v>0</v>
      </c>
      <c r="N192">
        <f t="shared" si="30"/>
        <v>0</v>
      </c>
      <c r="O192">
        <f t="shared" si="23"/>
        <v>0</v>
      </c>
      <c r="P192">
        <f t="shared" si="24"/>
        <v>0</v>
      </c>
      <c r="R192" t="str">
        <f t="shared" si="25"/>
        <v>00</v>
      </c>
    </row>
    <row r="193" spans="1:18" x14ac:dyDescent="0.4">
      <c r="A193" s="1" t="str">
        <f t="shared" si="28"/>
        <v>05F</v>
      </c>
      <c r="B193">
        <f t="shared" si="29"/>
        <v>1</v>
      </c>
      <c r="C193">
        <f>VALUE(MID(Hex!$C$2,1+2*HEX2DEC(A193)+B193,1))</f>
        <v>3</v>
      </c>
      <c r="D193" s="1" t="str">
        <f t="shared" si="26"/>
        <v>0BF</v>
      </c>
      <c r="E193">
        <f>HEX2DEC(MID(Hex!$C$8,1+HEX2DEC(Edit!D193)*2,2))</f>
        <v>0</v>
      </c>
      <c r="F193">
        <f t="shared" si="27"/>
        <v>191</v>
      </c>
      <c r="G193" t="str">
        <f>_xlfn.LET(_xlpm.custom,_xlfn.XLOOKUP(F193,Data!A:A,Data!C:C),IF(_xlpm.custom="",_xlfn.XLOOKUP(F193,Data!A:A,Data!B:B),_xlpm.custom))</f>
        <v>Shuca Berry</v>
      </c>
      <c r="H193" t="str">
        <f>_xlfn.XLOOKUP(C193,Data!A:A,Data!E:E)</f>
        <v>Berry</v>
      </c>
      <c r="J193">
        <f>IF(I193="",C193,_xlfn.XLOOKUP(I193,Data!E:E,Data!A:A,""))</f>
        <v>3</v>
      </c>
      <c r="L193">
        <f t="shared" si="21"/>
        <v>0</v>
      </c>
      <c r="M193">
        <f t="shared" si="22"/>
        <v>0</v>
      </c>
      <c r="N193">
        <f t="shared" si="30"/>
        <v>0</v>
      </c>
      <c r="O193">
        <f t="shared" si="23"/>
        <v>0</v>
      </c>
      <c r="P193">
        <f t="shared" si="24"/>
        <v>0</v>
      </c>
      <c r="R193" t="str">
        <f t="shared" si="25"/>
        <v>00</v>
      </c>
    </row>
    <row r="194" spans="1:18" x14ac:dyDescent="0.4">
      <c r="A194" s="1" t="str">
        <f t="shared" si="28"/>
        <v>060</v>
      </c>
      <c r="B194">
        <f t="shared" si="29"/>
        <v>0</v>
      </c>
      <c r="C194">
        <f>VALUE(MID(Hex!$C$2,1+2*HEX2DEC(A194)+B194,1))</f>
        <v>3</v>
      </c>
      <c r="D194" s="1" t="str">
        <f t="shared" si="26"/>
        <v>0C0</v>
      </c>
      <c r="E194">
        <f>HEX2DEC(MID(Hex!$C$8,1+HEX2DEC(Edit!D194)*2,2))</f>
        <v>0</v>
      </c>
      <c r="F194">
        <f t="shared" si="27"/>
        <v>192</v>
      </c>
      <c r="G194" t="str">
        <f>_xlfn.LET(_xlpm.custom,_xlfn.XLOOKUP(F194,Data!A:A,Data!C:C),IF(_xlpm.custom="",_xlfn.XLOOKUP(F194,Data!A:A,Data!B:B),_xlpm.custom))</f>
        <v>Coba Berry</v>
      </c>
      <c r="H194" t="str">
        <f>_xlfn.XLOOKUP(C194,Data!A:A,Data!E:E)</f>
        <v>Berry</v>
      </c>
      <c r="J194">
        <f>IF(I194="",C194,_xlfn.XLOOKUP(I194,Data!E:E,Data!A:A,""))</f>
        <v>3</v>
      </c>
      <c r="L194">
        <f t="shared" si="21"/>
        <v>0</v>
      </c>
      <c r="M194">
        <f t="shared" si="22"/>
        <v>0</v>
      </c>
      <c r="N194">
        <f t="shared" si="30"/>
        <v>0</v>
      </c>
      <c r="O194">
        <f t="shared" si="23"/>
        <v>0</v>
      </c>
      <c r="P194">
        <f t="shared" si="24"/>
        <v>0</v>
      </c>
      <c r="R194" t="str">
        <f t="shared" si="25"/>
        <v>00</v>
      </c>
    </row>
    <row r="195" spans="1:18" x14ac:dyDescent="0.4">
      <c r="A195" s="1" t="str">
        <f t="shared" si="28"/>
        <v>060</v>
      </c>
      <c r="B195">
        <f t="shared" si="29"/>
        <v>1</v>
      </c>
      <c r="C195">
        <f>VALUE(MID(Hex!$C$2,1+2*HEX2DEC(A195)+B195,1))</f>
        <v>3</v>
      </c>
      <c r="D195" s="1" t="str">
        <f t="shared" si="26"/>
        <v>0C1</v>
      </c>
      <c r="E195">
        <f>HEX2DEC(MID(Hex!$C$8,1+HEX2DEC(Edit!D195)*2,2))</f>
        <v>0</v>
      </c>
      <c r="F195">
        <f t="shared" si="27"/>
        <v>193</v>
      </c>
      <c r="G195" t="str">
        <f>_xlfn.LET(_xlpm.custom,_xlfn.XLOOKUP(F195,Data!A:A,Data!C:C),IF(_xlpm.custom="",_xlfn.XLOOKUP(F195,Data!A:A,Data!B:B),_xlpm.custom))</f>
        <v>Payapa Berry</v>
      </c>
      <c r="H195" t="str">
        <f>_xlfn.XLOOKUP(C195,Data!A:A,Data!E:E)</f>
        <v>Berry</v>
      </c>
      <c r="J195">
        <f>IF(I195="",C195,_xlfn.XLOOKUP(I195,Data!E:E,Data!A:A,""))</f>
        <v>3</v>
      </c>
      <c r="L195">
        <f t="shared" ref="L195:L258" si="31">_xlfn.BITAND(E195,1)</f>
        <v>0</v>
      </c>
      <c r="M195">
        <f t="shared" ref="M195:M258" si="32">_xlfn.BITAND($E195,2)</f>
        <v>0</v>
      </c>
      <c r="N195">
        <f t="shared" si="30"/>
        <v>0</v>
      </c>
      <c r="O195">
        <f t="shared" ref="O195:O258" si="33">_xlfn.BITAND($E195,8)</f>
        <v>0</v>
      </c>
      <c r="P195">
        <f t="shared" ref="P195:P258" si="34">_xlfn.BITAND($E195,16)</f>
        <v>0</v>
      </c>
      <c r="R195" t="str">
        <f t="shared" ref="R195:R258" si="35">DEC2HEX(SUM(L195:P195),2)</f>
        <v>00</v>
      </c>
    </row>
    <row r="196" spans="1:18" x14ac:dyDescent="0.4">
      <c r="A196" s="1" t="str">
        <f t="shared" si="28"/>
        <v>061</v>
      </c>
      <c r="B196">
        <f t="shared" si="29"/>
        <v>0</v>
      </c>
      <c r="C196">
        <f>VALUE(MID(Hex!$C$2,1+2*HEX2DEC(A196)+B196,1))</f>
        <v>3</v>
      </c>
      <c r="D196" s="1" t="str">
        <f t="shared" ref="D196:D259" si="36">DEC2HEX(1+HEX2DEC(D195),3)</f>
        <v>0C2</v>
      </c>
      <c r="E196">
        <f>HEX2DEC(MID(Hex!$C$8,1+HEX2DEC(Edit!D196)*2,2))</f>
        <v>0</v>
      </c>
      <c r="F196">
        <f t="shared" ref="F196:F259" si="37">F195+1</f>
        <v>194</v>
      </c>
      <c r="G196" t="str">
        <f>_xlfn.LET(_xlpm.custom,_xlfn.XLOOKUP(F196,Data!A:A,Data!C:C),IF(_xlpm.custom="",_xlfn.XLOOKUP(F196,Data!A:A,Data!B:B),_xlpm.custom))</f>
        <v>Tanga Berry</v>
      </c>
      <c r="H196" t="str">
        <f>_xlfn.XLOOKUP(C196,Data!A:A,Data!E:E)</f>
        <v>Berry</v>
      </c>
      <c r="J196">
        <f>IF(I196="",C196,_xlfn.XLOOKUP(I196,Data!E:E,Data!A:A,""))</f>
        <v>3</v>
      </c>
      <c r="L196">
        <f t="shared" si="31"/>
        <v>0</v>
      </c>
      <c r="M196">
        <f t="shared" si="32"/>
        <v>0</v>
      </c>
      <c r="N196">
        <f t="shared" si="30"/>
        <v>0</v>
      </c>
      <c r="O196">
        <f t="shared" si="33"/>
        <v>0</v>
      </c>
      <c r="P196">
        <f t="shared" si="34"/>
        <v>0</v>
      </c>
      <c r="R196" t="str">
        <f t="shared" si="35"/>
        <v>00</v>
      </c>
    </row>
    <row r="197" spans="1:18" x14ac:dyDescent="0.4">
      <c r="A197" s="1" t="str">
        <f t="shared" ref="A197:A260" si="38">DEC2HEX(1+HEX2DEC(A195),3)</f>
        <v>061</v>
      </c>
      <c r="B197">
        <f t="shared" ref="B197:B260" si="39">B195</f>
        <v>1</v>
      </c>
      <c r="C197">
        <f>VALUE(MID(Hex!$C$2,1+2*HEX2DEC(A197)+B197,1))</f>
        <v>3</v>
      </c>
      <c r="D197" s="1" t="str">
        <f t="shared" si="36"/>
        <v>0C3</v>
      </c>
      <c r="E197">
        <f>HEX2DEC(MID(Hex!$C$8,1+HEX2DEC(Edit!D197)*2,2))</f>
        <v>0</v>
      </c>
      <c r="F197">
        <f t="shared" si="37"/>
        <v>195</v>
      </c>
      <c r="G197" t="str">
        <f>_xlfn.LET(_xlpm.custom,_xlfn.XLOOKUP(F197,Data!A:A,Data!C:C),IF(_xlpm.custom="",_xlfn.XLOOKUP(F197,Data!A:A,Data!B:B),_xlpm.custom))</f>
        <v>Charti Berry</v>
      </c>
      <c r="H197" t="str">
        <f>_xlfn.XLOOKUP(C197,Data!A:A,Data!E:E)</f>
        <v>Berry</v>
      </c>
      <c r="J197">
        <f>IF(I197="",C197,_xlfn.XLOOKUP(I197,Data!E:E,Data!A:A,""))</f>
        <v>3</v>
      </c>
      <c r="L197">
        <f t="shared" si="31"/>
        <v>0</v>
      </c>
      <c r="M197">
        <f t="shared" si="32"/>
        <v>0</v>
      </c>
      <c r="N197">
        <f t="shared" si="30"/>
        <v>0</v>
      </c>
      <c r="O197">
        <f t="shared" si="33"/>
        <v>0</v>
      </c>
      <c r="P197">
        <f t="shared" si="34"/>
        <v>0</v>
      </c>
      <c r="R197" t="str">
        <f t="shared" si="35"/>
        <v>00</v>
      </c>
    </row>
    <row r="198" spans="1:18" x14ac:dyDescent="0.4">
      <c r="A198" s="1" t="str">
        <f t="shared" si="38"/>
        <v>062</v>
      </c>
      <c r="B198">
        <f t="shared" si="39"/>
        <v>0</v>
      </c>
      <c r="C198">
        <f>VALUE(MID(Hex!$C$2,1+2*HEX2DEC(A198)+B198,1))</f>
        <v>3</v>
      </c>
      <c r="D198" s="1" t="str">
        <f t="shared" si="36"/>
        <v>0C4</v>
      </c>
      <c r="E198">
        <f>HEX2DEC(MID(Hex!$C$8,1+HEX2DEC(Edit!D198)*2,2))</f>
        <v>0</v>
      </c>
      <c r="F198">
        <f t="shared" si="37"/>
        <v>196</v>
      </c>
      <c r="G198" t="str">
        <f>_xlfn.LET(_xlpm.custom,_xlfn.XLOOKUP(F198,Data!A:A,Data!C:C),IF(_xlpm.custom="",_xlfn.XLOOKUP(F198,Data!A:A,Data!B:B),_xlpm.custom))</f>
        <v>Kasib Berry</v>
      </c>
      <c r="H198" t="str">
        <f>_xlfn.XLOOKUP(C198,Data!A:A,Data!E:E)</f>
        <v>Berry</v>
      </c>
      <c r="J198">
        <f>IF(I198="",C198,_xlfn.XLOOKUP(I198,Data!E:E,Data!A:A,""))</f>
        <v>3</v>
      </c>
      <c r="L198">
        <f t="shared" si="31"/>
        <v>0</v>
      </c>
      <c r="M198">
        <f t="shared" si="32"/>
        <v>0</v>
      </c>
      <c r="N198">
        <f t="shared" si="30"/>
        <v>0</v>
      </c>
      <c r="O198">
        <f t="shared" si="33"/>
        <v>0</v>
      </c>
      <c r="P198">
        <f t="shared" si="34"/>
        <v>0</v>
      </c>
      <c r="R198" t="str">
        <f t="shared" si="35"/>
        <v>00</v>
      </c>
    </row>
    <row r="199" spans="1:18" x14ac:dyDescent="0.4">
      <c r="A199" s="1" t="str">
        <f t="shared" si="38"/>
        <v>062</v>
      </c>
      <c r="B199">
        <f t="shared" si="39"/>
        <v>1</v>
      </c>
      <c r="C199">
        <f>VALUE(MID(Hex!$C$2,1+2*HEX2DEC(A199)+B199,1))</f>
        <v>3</v>
      </c>
      <c r="D199" s="1" t="str">
        <f t="shared" si="36"/>
        <v>0C5</v>
      </c>
      <c r="E199">
        <f>HEX2DEC(MID(Hex!$C$8,1+HEX2DEC(Edit!D199)*2,2))</f>
        <v>0</v>
      </c>
      <c r="F199">
        <f t="shared" si="37"/>
        <v>197</v>
      </c>
      <c r="G199" t="str">
        <f>_xlfn.LET(_xlpm.custom,_xlfn.XLOOKUP(F199,Data!A:A,Data!C:C),IF(_xlpm.custom="",_xlfn.XLOOKUP(F199,Data!A:A,Data!B:B),_xlpm.custom))</f>
        <v>Haban Berry</v>
      </c>
      <c r="H199" t="str">
        <f>_xlfn.XLOOKUP(C199,Data!A:A,Data!E:E)</f>
        <v>Berry</v>
      </c>
      <c r="J199">
        <f>IF(I199="",C199,_xlfn.XLOOKUP(I199,Data!E:E,Data!A:A,""))</f>
        <v>3</v>
      </c>
      <c r="L199">
        <f t="shared" si="31"/>
        <v>0</v>
      </c>
      <c r="M199">
        <f t="shared" si="32"/>
        <v>0</v>
      </c>
      <c r="N199">
        <f t="shared" si="30"/>
        <v>0</v>
      </c>
      <c r="O199">
        <f t="shared" si="33"/>
        <v>0</v>
      </c>
      <c r="P199">
        <f t="shared" si="34"/>
        <v>0</v>
      </c>
      <c r="R199" t="str">
        <f t="shared" si="35"/>
        <v>00</v>
      </c>
    </row>
    <row r="200" spans="1:18" x14ac:dyDescent="0.4">
      <c r="A200" s="1" t="str">
        <f t="shared" si="38"/>
        <v>063</v>
      </c>
      <c r="B200">
        <f t="shared" si="39"/>
        <v>0</v>
      </c>
      <c r="C200">
        <f>VALUE(MID(Hex!$C$2,1+2*HEX2DEC(A200)+B200,1))</f>
        <v>3</v>
      </c>
      <c r="D200" s="1" t="str">
        <f t="shared" si="36"/>
        <v>0C6</v>
      </c>
      <c r="E200">
        <f>HEX2DEC(MID(Hex!$C$8,1+HEX2DEC(Edit!D200)*2,2))</f>
        <v>0</v>
      </c>
      <c r="F200">
        <f t="shared" si="37"/>
        <v>198</v>
      </c>
      <c r="G200" t="str">
        <f>_xlfn.LET(_xlpm.custom,_xlfn.XLOOKUP(F200,Data!A:A,Data!C:C),IF(_xlpm.custom="",_xlfn.XLOOKUP(F200,Data!A:A,Data!B:B),_xlpm.custom))</f>
        <v>Colbur Berry</v>
      </c>
      <c r="H200" t="str">
        <f>_xlfn.XLOOKUP(C200,Data!A:A,Data!E:E)</f>
        <v>Berry</v>
      </c>
      <c r="J200">
        <f>IF(I200="",C200,_xlfn.XLOOKUP(I200,Data!E:E,Data!A:A,""))</f>
        <v>3</v>
      </c>
      <c r="L200">
        <f t="shared" si="31"/>
        <v>0</v>
      </c>
      <c r="M200">
        <f t="shared" si="32"/>
        <v>0</v>
      </c>
      <c r="N200">
        <f t="shared" si="30"/>
        <v>0</v>
      </c>
      <c r="O200">
        <f t="shared" si="33"/>
        <v>0</v>
      </c>
      <c r="P200">
        <f t="shared" si="34"/>
        <v>0</v>
      </c>
      <c r="R200" t="str">
        <f t="shared" si="35"/>
        <v>00</v>
      </c>
    </row>
    <row r="201" spans="1:18" x14ac:dyDescent="0.4">
      <c r="A201" s="1" t="str">
        <f t="shared" si="38"/>
        <v>063</v>
      </c>
      <c r="B201">
        <f t="shared" si="39"/>
        <v>1</v>
      </c>
      <c r="C201">
        <f>VALUE(MID(Hex!$C$2,1+2*HEX2DEC(A201)+B201,1))</f>
        <v>3</v>
      </c>
      <c r="D201" s="1" t="str">
        <f t="shared" si="36"/>
        <v>0C7</v>
      </c>
      <c r="E201">
        <f>HEX2DEC(MID(Hex!$C$8,1+HEX2DEC(Edit!D201)*2,2))</f>
        <v>0</v>
      </c>
      <c r="F201">
        <f t="shared" si="37"/>
        <v>199</v>
      </c>
      <c r="G201" t="str">
        <f>_xlfn.LET(_xlpm.custom,_xlfn.XLOOKUP(F201,Data!A:A,Data!C:C),IF(_xlpm.custom="",_xlfn.XLOOKUP(F201,Data!A:A,Data!B:B),_xlpm.custom))</f>
        <v>Babiri Berry</v>
      </c>
      <c r="H201" t="str">
        <f>_xlfn.XLOOKUP(C201,Data!A:A,Data!E:E)</f>
        <v>Berry</v>
      </c>
      <c r="J201">
        <f>IF(I201="",C201,_xlfn.XLOOKUP(I201,Data!E:E,Data!A:A,""))</f>
        <v>3</v>
      </c>
      <c r="L201">
        <f t="shared" si="31"/>
        <v>0</v>
      </c>
      <c r="M201">
        <f t="shared" si="32"/>
        <v>0</v>
      </c>
      <c r="N201">
        <f t="shared" si="30"/>
        <v>0</v>
      </c>
      <c r="O201">
        <f t="shared" si="33"/>
        <v>0</v>
      </c>
      <c r="P201">
        <f t="shared" si="34"/>
        <v>0</v>
      </c>
      <c r="R201" t="str">
        <f t="shared" si="35"/>
        <v>00</v>
      </c>
    </row>
    <row r="202" spans="1:18" x14ac:dyDescent="0.4">
      <c r="A202" s="1" t="str">
        <f t="shared" si="38"/>
        <v>064</v>
      </c>
      <c r="B202">
        <f t="shared" si="39"/>
        <v>0</v>
      </c>
      <c r="C202">
        <f>VALUE(MID(Hex!$C$2,1+2*HEX2DEC(A202)+B202,1))</f>
        <v>3</v>
      </c>
      <c r="D202" s="1" t="str">
        <f t="shared" si="36"/>
        <v>0C8</v>
      </c>
      <c r="E202">
        <f>HEX2DEC(MID(Hex!$C$8,1+HEX2DEC(Edit!D202)*2,2))</f>
        <v>0</v>
      </c>
      <c r="F202">
        <f t="shared" si="37"/>
        <v>200</v>
      </c>
      <c r="G202" t="str">
        <f>_xlfn.LET(_xlpm.custom,_xlfn.XLOOKUP(F202,Data!A:A,Data!C:C),IF(_xlpm.custom="",_xlfn.XLOOKUP(F202,Data!A:A,Data!B:B),_xlpm.custom))</f>
        <v>Chilan Berry</v>
      </c>
      <c r="H202" t="str">
        <f>_xlfn.XLOOKUP(C202,Data!A:A,Data!E:E)</f>
        <v>Berry</v>
      </c>
      <c r="J202">
        <f>IF(I202="",C202,_xlfn.XLOOKUP(I202,Data!E:E,Data!A:A,""))</f>
        <v>3</v>
      </c>
      <c r="L202">
        <f t="shared" si="31"/>
        <v>0</v>
      </c>
      <c r="M202">
        <f t="shared" si="32"/>
        <v>0</v>
      </c>
      <c r="N202">
        <f t="shared" si="30"/>
        <v>0</v>
      </c>
      <c r="O202">
        <f t="shared" si="33"/>
        <v>0</v>
      </c>
      <c r="P202">
        <f t="shared" si="34"/>
        <v>0</v>
      </c>
      <c r="R202" t="str">
        <f t="shared" si="35"/>
        <v>00</v>
      </c>
    </row>
    <row r="203" spans="1:18" x14ac:dyDescent="0.4">
      <c r="A203" s="1" t="str">
        <f t="shared" si="38"/>
        <v>064</v>
      </c>
      <c r="B203">
        <f t="shared" si="39"/>
        <v>1</v>
      </c>
      <c r="C203">
        <f>VALUE(MID(Hex!$C$2,1+2*HEX2DEC(A203)+B203,1))</f>
        <v>3</v>
      </c>
      <c r="D203" s="1" t="str">
        <f t="shared" si="36"/>
        <v>0C9</v>
      </c>
      <c r="E203">
        <f>HEX2DEC(MID(Hex!$C$8,1+HEX2DEC(Edit!D203)*2,2))</f>
        <v>0</v>
      </c>
      <c r="F203">
        <f t="shared" si="37"/>
        <v>201</v>
      </c>
      <c r="G203" t="str">
        <f>_xlfn.LET(_xlpm.custom,_xlfn.XLOOKUP(F203,Data!A:A,Data!C:C),IF(_xlpm.custom="",_xlfn.XLOOKUP(F203,Data!A:A,Data!B:B),_xlpm.custom))</f>
        <v>Liechi Berry</v>
      </c>
      <c r="H203" t="str">
        <f>_xlfn.XLOOKUP(C203,Data!A:A,Data!E:E)</f>
        <v>Berry</v>
      </c>
      <c r="J203">
        <f>IF(I203="",C203,_xlfn.XLOOKUP(I203,Data!E:E,Data!A:A,""))</f>
        <v>3</v>
      </c>
      <c r="L203">
        <f t="shared" si="31"/>
        <v>0</v>
      </c>
      <c r="M203">
        <f t="shared" si="32"/>
        <v>0</v>
      </c>
      <c r="N203">
        <f t="shared" si="30"/>
        <v>0</v>
      </c>
      <c r="O203">
        <f t="shared" si="33"/>
        <v>0</v>
      </c>
      <c r="P203">
        <f t="shared" si="34"/>
        <v>0</v>
      </c>
      <c r="R203" t="str">
        <f t="shared" si="35"/>
        <v>00</v>
      </c>
    </row>
    <row r="204" spans="1:18" x14ac:dyDescent="0.4">
      <c r="A204" s="1" t="str">
        <f t="shared" si="38"/>
        <v>065</v>
      </c>
      <c r="B204">
        <f t="shared" si="39"/>
        <v>0</v>
      </c>
      <c r="C204">
        <f>VALUE(MID(Hex!$C$2,1+2*HEX2DEC(A204)+B204,1))</f>
        <v>3</v>
      </c>
      <c r="D204" s="1" t="str">
        <f t="shared" si="36"/>
        <v>0CA</v>
      </c>
      <c r="E204">
        <f>HEX2DEC(MID(Hex!$C$8,1+HEX2DEC(Edit!D204)*2,2))</f>
        <v>0</v>
      </c>
      <c r="F204">
        <f t="shared" si="37"/>
        <v>202</v>
      </c>
      <c r="G204" t="str">
        <f>_xlfn.LET(_xlpm.custom,_xlfn.XLOOKUP(F204,Data!A:A,Data!C:C),IF(_xlpm.custom="",_xlfn.XLOOKUP(F204,Data!A:A,Data!B:B),_xlpm.custom))</f>
        <v>Ganlon Berry</v>
      </c>
      <c r="H204" t="str">
        <f>_xlfn.XLOOKUP(C204,Data!A:A,Data!E:E)</f>
        <v>Berry</v>
      </c>
      <c r="J204">
        <f>IF(I204="",C204,_xlfn.XLOOKUP(I204,Data!E:E,Data!A:A,""))</f>
        <v>3</v>
      </c>
      <c r="L204">
        <f t="shared" si="31"/>
        <v>0</v>
      </c>
      <c r="M204">
        <f t="shared" si="32"/>
        <v>0</v>
      </c>
      <c r="N204">
        <f t="shared" si="30"/>
        <v>0</v>
      </c>
      <c r="O204">
        <f t="shared" si="33"/>
        <v>0</v>
      </c>
      <c r="P204">
        <f t="shared" si="34"/>
        <v>0</v>
      </c>
      <c r="R204" t="str">
        <f t="shared" si="35"/>
        <v>00</v>
      </c>
    </row>
    <row r="205" spans="1:18" x14ac:dyDescent="0.4">
      <c r="A205" s="1" t="str">
        <f t="shared" si="38"/>
        <v>065</v>
      </c>
      <c r="B205">
        <f t="shared" si="39"/>
        <v>1</v>
      </c>
      <c r="C205">
        <f>VALUE(MID(Hex!$C$2,1+2*HEX2DEC(A205)+B205,1))</f>
        <v>3</v>
      </c>
      <c r="D205" s="1" t="str">
        <f t="shared" si="36"/>
        <v>0CB</v>
      </c>
      <c r="E205">
        <f>HEX2DEC(MID(Hex!$C$8,1+HEX2DEC(Edit!D205)*2,2))</f>
        <v>0</v>
      </c>
      <c r="F205">
        <f t="shared" si="37"/>
        <v>203</v>
      </c>
      <c r="G205" t="str">
        <f>_xlfn.LET(_xlpm.custom,_xlfn.XLOOKUP(F205,Data!A:A,Data!C:C),IF(_xlpm.custom="",_xlfn.XLOOKUP(F205,Data!A:A,Data!B:B),_xlpm.custom))</f>
        <v>Salac Berry</v>
      </c>
      <c r="H205" t="str">
        <f>_xlfn.XLOOKUP(C205,Data!A:A,Data!E:E)</f>
        <v>Berry</v>
      </c>
      <c r="J205">
        <f>IF(I205="",C205,_xlfn.XLOOKUP(I205,Data!E:E,Data!A:A,""))</f>
        <v>3</v>
      </c>
      <c r="L205">
        <f t="shared" si="31"/>
        <v>0</v>
      </c>
      <c r="M205">
        <f t="shared" si="32"/>
        <v>0</v>
      </c>
      <c r="N205">
        <f t="shared" si="30"/>
        <v>0</v>
      </c>
      <c r="O205">
        <f t="shared" si="33"/>
        <v>0</v>
      </c>
      <c r="P205">
        <f t="shared" si="34"/>
        <v>0</v>
      </c>
      <c r="R205" t="str">
        <f t="shared" si="35"/>
        <v>00</v>
      </c>
    </row>
    <row r="206" spans="1:18" x14ac:dyDescent="0.4">
      <c r="A206" s="1" t="str">
        <f t="shared" si="38"/>
        <v>066</v>
      </c>
      <c r="B206">
        <f t="shared" si="39"/>
        <v>0</v>
      </c>
      <c r="C206">
        <f>VALUE(MID(Hex!$C$2,1+2*HEX2DEC(A206)+B206,1))</f>
        <v>3</v>
      </c>
      <c r="D206" s="1" t="str">
        <f t="shared" si="36"/>
        <v>0CC</v>
      </c>
      <c r="E206">
        <f>HEX2DEC(MID(Hex!$C$8,1+HEX2DEC(Edit!D206)*2,2))</f>
        <v>0</v>
      </c>
      <c r="F206">
        <f t="shared" si="37"/>
        <v>204</v>
      </c>
      <c r="G206" t="str">
        <f>_xlfn.LET(_xlpm.custom,_xlfn.XLOOKUP(F206,Data!A:A,Data!C:C),IF(_xlpm.custom="",_xlfn.XLOOKUP(F206,Data!A:A,Data!B:B),_xlpm.custom))</f>
        <v>Petaya Berry</v>
      </c>
      <c r="H206" t="str">
        <f>_xlfn.XLOOKUP(C206,Data!A:A,Data!E:E)</f>
        <v>Berry</v>
      </c>
      <c r="J206">
        <f>IF(I206="",C206,_xlfn.XLOOKUP(I206,Data!E:E,Data!A:A,""))</f>
        <v>3</v>
      </c>
      <c r="L206">
        <f t="shared" si="31"/>
        <v>0</v>
      </c>
      <c r="M206">
        <f t="shared" si="32"/>
        <v>0</v>
      </c>
      <c r="N206">
        <f t="shared" si="30"/>
        <v>0</v>
      </c>
      <c r="O206">
        <f t="shared" si="33"/>
        <v>0</v>
      </c>
      <c r="P206">
        <f t="shared" si="34"/>
        <v>0</v>
      </c>
      <c r="R206" t="str">
        <f t="shared" si="35"/>
        <v>00</v>
      </c>
    </row>
    <row r="207" spans="1:18" x14ac:dyDescent="0.4">
      <c r="A207" s="1" t="str">
        <f t="shared" si="38"/>
        <v>066</v>
      </c>
      <c r="B207">
        <f t="shared" si="39"/>
        <v>1</v>
      </c>
      <c r="C207">
        <f>VALUE(MID(Hex!$C$2,1+2*HEX2DEC(A207)+B207,1))</f>
        <v>3</v>
      </c>
      <c r="D207" s="1" t="str">
        <f t="shared" si="36"/>
        <v>0CD</v>
      </c>
      <c r="E207">
        <f>HEX2DEC(MID(Hex!$C$8,1+HEX2DEC(Edit!D207)*2,2))</f>
        <v>0</v>
      </c>
      <c r="F207">
        <f t="shared" si="37"/>
        <v>205</v>
      </c>
      <c r="G207" t="str">
        <f>_xlfn.LET(_xlpm.custom,_xlfn.XLOOKUP(F207,Data!A:A,Data!C:C),IF(_xlpm.custom="",_xlfn.XLOOKUP(F207,Data!A:A,Data!B:B),_xlpm.custom))</f>
        <v>Apicot Berry</v>
      </c>
      <c r="H207" t="str">
        <f>_xlfn.XLOOKUP(C207,Data!A:A,Data!E:E)</f>
        <v>Berry</v>
      </c>
      <c r="J207">
        <f>IF(I207="",C207,_xlfn.XLOOKUP(I207,Data!E:E,Data!A:A,""))</f>
        <v>3</v>
      </c>
      <c r="L207">
        <f t="shared" si="31"/>
        <v>0</v>
      </c>
      <c r="M207">
        <f t="shared" si="32"/>
        <v>0</v>
      </c>
      <c r="N207">
        <f t="shared" si="30"/>
        <v>0</v>
      </c>
      <c r="O207">
        <f t="shared" si="33"/>
        <v>0</v>
      </c>
      <c r="P207">
        <f t="shared" si="34"/>
        <v>0</v>
      </c>
      <c r="R207" t="str">
        <f t="shared" si="35"/>
        <v>00</v>
      </c>
    </row>
    <row r="208" spans="1:18" x14ac:dyDescent="0.4">
      <c r="A208" s="1" t="str">
        <f t="shared" si="38"/>
        <v>067</v>
      </c>
      <c r="B208">
        <f t="shared" si="39"/>
        <v>0</v>
      </c>
      <c r="C208">
        <f>VALUE(MID(Hex!$C$2,1+2*HEX2DEC(A208)+B208,1))</f>
        <v>3</v>
      </c>
      <c r="D208" s="1" t="str">
        <f t="shared" si="36"/>
        <v>0CE</v>
      </c>
      <c r="E208">
        <f>HEX2DEC(MID(Hex!$C$8,1+HEX2DEC(Edit!D208)*2,2))</f>
        <v>0</v>
      </c>
      <c r="F208">
        <f t="shared" si="37"/>
        <v>206</v>
      </c>
      <c r="G208" t="str">
        <f>_xlfn.LET(_xlpm.custom,_xlfn.XLOOKUP(F208,Data!A:A,Data!C:C),IF(_xlpm.custom="",_xlfn.XLOOKUP(F208,Data!A:A,Data!B:B),_xlpm.custom))</f>
        <v>Lansat Berry</v>
      </c>
      <c r="H208" t="str">
        <f>_xlfn.XLOOKUP(C208,Data!A:A,Data!E:E)</f>
        <v>Berry</v>
      </c>
      <c r="J208">
        <f>IF(I208="",C208,_xlfn.XLOOKUP(I208,Data!E:E,Data!A:A,""))</f>
        <v>3</v>
      </c>
      <c r="L208">
        <f t="shared" si="31"/>
        <v>0</v>
      </c>
      <c r="M208">
        <f t="shared" si="32"/>
        <v>0</v>
      </c>
      <c r="N208">
        <f t="shared" si="30"/>
        <v>0</v>
      </c>
      <c r="O208">
        <f t="shared" si="33"/>
        <v>0</v>
      </c>
      <c r="P208">
        <f t="shared" si="34"/>
        <v>0</v>
      </c>
      <c r="R208" t="str">
        <f t="shared" si="35"/>
        <v>00</v>
      </c>
    </row>
    <row r="209" spans="1:18" x14ac:dyDescent="0.4">
      <c r="A209" s="1" t="str">
        <f t="shared" si="38"/>
        <v>067</v>
      </c>
      <c r="B209">
        <f t="shared" si="39"/>
        <v>1</v>
      </c>
      <c r="C209">
        <f>VALUE(MID(Hex!$C$2,1+2*HEX2DEC(A209)+B209,1))</f>
        <v>3</v>
      </c>
      <c r="D209" s="1" t="str">
        <f t="shared" si="36"/>
        <v>0CF</v>
      </c>
      <c r="E209">
        <f>HEX2DEC(MID(Hex!$C$8,1+HEX2DEC(Edit!D209)*2,2))</f>
        <v>0</v>
      </c>
      <c r="F209">
        <f t="shared" si="37"/>
        <v>207</v>
      </c>
      <c r="G209" t="str">
        <f>_xlfn.LET(_xlpm.custom,_xlfn.XLOOKUP(F209,Data!A:A,Data!C:C),IF(_xlpm.custom="",_xlfn.XLOOKUP(F209,Data!A:A,Data!B:B),_xlpm.custom))</f>
        <v>Starf Berry</v>
      </c>
      <c r="H209" t="str">
        <f>_xlfn.XLOOKUP(C209,Data!A:A,Data!E:E)</f>
        <v>Berry</v>
      </c>
      <c r="J209">
        <f>IF(I209="",C209,_xlfn.XLOOKUP(I209,Data!E:E,Data!A:A,""))</f>
        <v>3</v>
      </c>
      <c r="L209">
        <f t="shared" si="31"/>
        <v>0</v>
      </c>
      <c r="M209">
        <f t="shared" si="32"/>
        <v>0</v>
      </c>
      <c r="N209">
        <f t="shared" si="30"/>
        <v>0</v>
      </c>
      <c r="O209">
        <f t="shared" si="33"/>
        <v>0</v>
      </c>
      <c r="P209">
        <f t="shared" si="34"/>
        <v>0</v>
      </c>
      <c r="R209" t="str">
        <f t="shared" si="35"/>
        <v>00</v>
      </c>
    </row>
    <row r="210" spans="1:18" x14ac:dyDescent="0.4">
      <c r="A210" s="1" t="str">
        <f t="shared" si="38"/>
        <v>068</v>
      </c>
      <c r="B210">
        <f t="shared" si="39"/>
        <v>0</v>
      </c>
      <c r="C210">
        <f>VALUE(MID(Hex!$C$2,1+2*HEX2DEC(A210)+B210,1))</f>
        <v>3</v>
      </c>
      <c r="D210" s="1" t="str">
        <f t="shared" si="36"/>
        <v>0D0</v>
      </c>
      <c r="E210">
        <f>HEX2DEC(MID(Hex!$C$8,1+HEX2DEC(Edit!D210)*2,2))</f>
        <v>0</v>
      </c>
      <c r="F210">
        <f t="shared" si="37"/>
        <v>208</v>
      </c>
      <c r="G210" t="str">
        <f>_xlfn.LET(_xlpm.custom,_xlfn.XLOOKUP(F210,Data!A:A,Data!C:C),IF(_xlpm.custom="",_xlfn.XLOOKUP(F210,Data!A:A,Data!B:B),_xlpm.custom))</f>
        <v>Enigma Berry</v>
      </c>
      <c r="H210" t="str">
        <f>_xlfn.XLOOKUP(C210,Data!A:A,Data!E:E)</f>
        <v>Berry</v>
      </c>
      <c r="J210">
        <f>IF(I210="",C210,_xlfn.XLOOKUP(I210,Data!E:E,Data!A:A,""))</f>
        <v>3</v>
      </c>
      <c r="L210">
        <f t="shared" si="31"/>
        <v>0</v>
      </c>
      <c r="M210">
        <f t="shared" si="32"/>
        <v>0</v>
      </c>
      <c r="N210">
        <f t="shared" si="30"/>
        <v>0</v>
      </c>
      <c r="O210">
        <f t="shared" si="33"/>
        <v>0</v>
      </c>
      <c r="P210">
        <f t="shared" si="34"/>
        <v>0</v>
      </c>
      <c r="R210" t="str">
        <f t="shared" si="35"/>
        <v>00</v>
      </c>
    </row>
    <row r="211" spans="1:18" x14ac:dyDescent="0.4">
      <c r="A211" s="1" t="str">
        <f t="shared" si="38"/>
        <v>068</v>
      </c>
      <c r="B211">
        <f t="shared" si="39"/>
        <v>1</v>
      </c>
      <c r="C211">
        <f>VALUE(MID(Hex!$C$2,1+2*HEX2DEC(A211)+B211,1))</f>
        <v>3</v>
      </c>
      <c r="D211" s="1" t="str">
        <f t="shared" si="36"/>
        <v>0D1</v>
      </c>
      <c r="E211">
        <f>HEX2DEC(MID(Hex!$C$8,1+HEX2DEC(Edit!D211)*2,2))</f>
        <v>0</v>
      </c>
      <c r="F211">
        <f t="shared" si="37"/>
        <v>209</v>
      </c>
      <c r="G211" t="str">
        <f>_xlfn.LET(_xlpm.custom,_xlfn.XLOOKUP(F211,Data!A:A,Data!C:C),IF(_xlpm.custom="",_xlfn.XLOOKUP(F211,Data!A:A,Data!B:B),_xlpm.custom))</f>
        <v>Micle Berry</v>
      </c>
      <c r="H211" t="str">
        <f>_xlfn.XLOOKUP(C211,Data!A:A,Data!E:E)</f>
        <v>Berry</v>
      </c>
      <c r="J211">
        <f>IF(I211="",C211,_xlfn.XLOOKUP(I211,Data!E:E,Data!A:A,""))</f>
        <v>3</v>
      </c>
      <c r="L211">
        <f t="shared" si="31"/>
        <v>0</v>
      </c>
      <c r="M211">
        <f t="shared" si="32"/>
        <v>0</v>
      </c>
      <c r="N211">
        <f t="shared" si="30"/>
        <v>0</v>
      </c>
      <c r="O211">
        <f t="shared" si="33"/>
        <v>0</v>
      </c>
      <c r="P211">
        <f t="shared" si="34"/>
        <v>0</v>
      </c>
      <c r="R211" t="str">
        <f t="shared" si="35"/>
        <v>00</v>
      </c>
    </row>
    <row r="212" spans="1:18" x14ac:dyDescent="0.4">
      <c r="A212" s="1" t="str">
        <f t="shared" si="38"/>
        <v>069</v>
      </c>
      <c r="B212">
        <f t="shared" si="39"/>
        <v>0</v>
      </c>
      <c r="C212">
        <f>VALUE(MID(Hex!$C$2,1+2*HEX2DEC(A212)+B212,1))</f>
        <v>3</v>
      </c>
      <c r="D212" s="1" t="str">
        <f t="shared" si="36"/>
        <v>0D2</v>
      </c>
      <c r="E212">
        <f>HEX2DEC(MID(Hex!$C$8,1+HEX2DEC(Edit!D212)*2,2))</f>
        <v>0</v>
      </c>
      <c r="F212">
        <f t="shared" si="37"/>
        <v>210</v>
      </c>
      <c r="G212" t="str">
        <f>_xlfn.LET(_xlpm.custom,_xlfn.XLOOKUP(F212,Data!A:A,Data!C:C),IF(_xlpm.custom="",_xlfn.XLOOKUP(F212,Data!A:A,Data!B:B),_xlpm.custom))</f>
        <v>Custap Berry</v>
      </c>
      <c r="H212" t="str">
        <f>_xlfn.XLOOKUP(C212,Data!A:A,Data!E:E)</f>
        <v>Berry</v>
      </c>
      <c r="J212">
        <f>IF(I212="",C212,_xlfn.XLOOKUP(I212,Data!E:E,Data!A:A,""))</f>
        <v>3</v>
      </c>
      <c r="L212">
        <f t="shared" si="31"/>
        <v>0</v>
      </c>
      <c r="M212">
        <f t="shared" si="32"/>
        <v>0</v>
      </c>
      <c r="N212">
        <f t="shared" si="30"/>
        <v>0</v>
      </c>
      <c r="O212">
        <f t="shared" si="33"/>
        <v>0</v>
      </c>
      <c r="P212">
        <f t="shared" si="34"/>
        <v>0</v>
      </c>
      <c r="R212" t="str">
        <f t="shared" si="35"/>
        <v>00</v>
      </c>
    </row>
    <row r="213" spans="1:18" x14ac:dyDescent="0.4">
      <c r="A213" s="1" t="str">
        <f t="shared" si="38"/>
        <v>069</v>
      </c>
      <c r="B213">
        <f t="shared" si="39"/>
        <v>1</v>
      </c>
      <c r="C213">
        <f>VALUE(MID(Hex!$C$2,1+2*HEX2DEC(A213)+B213,1))</f>
        <v>3</v>
      </c>
      <c r="D213" s="1" t="str">
        <f t="shared" si="36"/>
        <v>0D3</v>
      </c>
      <c r="E213">
        <f>HEX2DEC(MID(Hex!$C$8,1+HEX2DEC(Edit!D213)*2,2))</f>
        <v>0</v>
      </c>
      <c r="F213">
        <f t="shared" si="37"/>
        <v>211</v>
      </c>
      <c r="G213" t="str">
        <f>_xlfn.LET(_xlpm.custom,_xlfn.XLOOKUP(F213,Data!A:A,Data!C:C),IF(_xlpm.custom="",_xlfn.XLOOKUP(F213,Data!A:A,Data!B:B),_xlpm.custom))</f>
        <v>Jaboca Berry</v>
      </c>
      <c r="H213" t="str">
        <f>_xlfn.XLOOKUP(C213,Data!A:A,Data!E:E)</f>
        <v>Berry</v>
      </c>
      <c r="J213">
        <f>IF(I213="",C213,_xlfn.XLOOKUP(I213,Data!E:E,Data!A:A,""))</f>
        <v>3</v>
      </c>
      <c r="L213">
        <f t="shared" si="31"/>
        <v>0</v>
      </c>
      <c r="M213">
        <f t="shared" si="32"/>
        <v>0</v>
      </c>
      <c r="N213">
        <f t="shared" ref="N213:N276" si="40">_xlfn.BITAND($E213,4)</f>
        <v>0</v>
      </c>
      <c r="O213">
        <f t="shared" si="33"/>
        <v>0</v>
      </c>
      <c r="P213">
        <f t="shared" si="34"/>
        <v>0</v>
      </c>
      <c r="R213" t="str">
        <f t="shared" si="35"/>
        <v>00</v>
      </c>
    </row>
    <row r="214" spans="1:18" x14ac:dyDescent="0.4">
      <c r="A214" s="1" t="str">
        <f t="shared" si="38"/>
        <v>06A</v>
      </c>
      <c r="B214">
        <f t="shared" si="39"/>
        <v>0</v>
      </c>
      <c r="C214">
        <f>VALUE(MID(Hex!$C$2,1+2*HEX2DEC(A214)+B214,1))</f>
        <v>3</v>
      </c>
      <c r="D214" s="1" t="str">
        <f t="shared" si="36"/>
        <v>0D4</v>
      </c>
      <c r="E214">
        <f>HEX2DEC(MID(Hex!$C$8,1+HEX2DEC(Edit!D214)*2,2))</f>
        <v>0</v>
      </c>
      <c r="F214">
        <f t="shared" si="37"/>
        <v>212</v>
      </c>
      <c r="G214" t="str">
        <f>_xlfn.LET(_xlpm.custom,_xlfn.XLOOKUP(F214,Data!A:A,Data!C:C),IF(_xlpm.custom="",_xlfn.XLOOKUP(F214,Data!A:A,Data!B:B),_xlpm.custom))</f>
        <v>Rowap Berry</v>
      </c>
      <c r="H214" t="str">
        <f>_xlfn.XLOOKUP(C214,Data!A:A,Data!E:E)</f>
        <v>Berry</v>
      </c>
      <c r="J214">
        <f>IF(I214="",C214,_xlfn.XLOOKUP(I214,Data!E:E,Data!A:A,""))</f>
        <v>3</v>
      </c>
      <c r="L214">
        <f t="shared" si="31"/>
        <v>0</v>
      </c>
      <c r="M214">
        <f t="shared" si="32"/>
        <v>0</v>
      </c>
      <c r="N214">
        <f t="shared" si="40"/>
        <v>0</v>
      </c>
      <c r="O214">
        <f t="shared" si="33"/>
        <v>0</v>
      </c>
      <c r="P214">
        <f t="shared" si="34"/>
        <v>0</v>
      </c>
      <c r="R214" t="str">
        <f t="shared" si="35"/>
        <v>00</v>
      </c>
    </row>
    <row r="215" spans="1:18" x14ac:dyDescent="0.4">
      <c r="A215" s="1" t="str">
        <f t="shared" si="38"/>
        <v>06A</v>
      </c>
      <c r="B215">
        <f t="shared" si="39"/>
        <v>1</v>
      </c>
      <c r="C215">
        <f>VALUE(MID(Hex!$C$2,1+2*HEX2DEC(A215)+B215,1))</f>
        <v>0</v>
      </c>
      <c r="D215" s="1" t="str">
        <f t="shared" si="36"/>
        <v>0D5</v>
      </c>
      <c r="E215">
        <f>HEX2DEC(MID(Hex!$C$8,1+HEX2DEC(Edit!D215)*2,2))</f>
        <v>0</v>
      </c>
      <c r="F215">
        <f t="shared" si="37"/>
        <v>213</v>
      </c>
      <c r="G215" t="str">
        <f>_xlfn.LET(_xlpm.custom,_xlfn.XLOOKUP(F215,Data!A:A,Data!C:C),IF(_xlpm.custom="",_xlfn.XLOOKUP(F215,Data!A:A,Data!B:B),_xlpm.custom))</f>
        <v>Bright Powder</v>
      </c>
      <c r="H215" t="str">
        <f>_xlfn.XLOOKUP(C215,Data!A:A,Data!E:E)</f>
        <v>General</v>
      </c>
      <c r="J215">
        <f>IF(I215="",C215,_xlfn.XLOOKUP(I215,Data!E:E,Data!A:A,""))</f>
        <v>0</v>
      </c>
      <c r="L215">
        <f t="shared" si="31"/>
        <v>0</v>
      </c>
      <c r="M215">
        <f t="shared" si="32"/>
        <v>0</v>
      </c>
      <c r="N215">
        <f t="shared" si="40"/>
        <v>0</v>
      </c>
      <c r="O215">
        <f t="shared" si="33"/>
        <v>0</v>
      </c>
      <c r="P215">
        <f t="shared" si="34"/>
        <v>0</v>
      </c>
      <c r="R215" t="str">
        <f t="shared" si="35"/>
        <v>00</v>
      </c>
    </row>
    <row r="216" spans="1:18" x14ac:dyDescent="0.4">
      <c r="A216" s="1" t="str">
        <f t="shared" si="38"/>
        <v>06B</v>
      </c>
      <c r="B216">
        <f t="shared" si="39"/>
        <v>0</v>
      </c>
      <c r="C216">
        <f>VALUE(MID(Hex!$C$2,1+2*HEX2DEC(A216)+B216,1))</f>
        <v>0</v>
      </c>
      <c r="D216" s="1" t="str">
        <f t="shared" si="36"/>
        <v>0D6</v>
      </c>
      <c r="E216">
        <f>HEX2DEC(MID(Hex!$C$8,1+HEX2DEC(Edit!D216)*2,2))</f>
        <v>0</v>
      </c>
      <c r="F216">
        <f t="shared" si="37"/>
        <v>214</v>
      </c>
      <c r="G216" t="str">
        <f>_xlfn.LET(_xlpm.custom,_xlfn.XLOOKUP(F216,Data!A:A,Data!C:C),IF(_xlpm.custom="",_xlfn.XLOOKUP(F216,Data!A:A,Data!B:B),_xlpm.custom))</f>
        <v>White Herb</v>
      </c>
      <c r="H216" t="str">
        <f>_xlfn.XLOOKUP(C216,Data!A:A,Data!E:E)</f>
        <v>General</v>
      </c>
      <c r="J216">
        <f>IF(I216="",C216,_xlfn.XLOOKUP(I216,Data!E:E,Data!A:A,""))</f>
        <v>0</v>
      </c>
      <c r="L216">
        <f t="shared" si="31"/>
        <v>0</v>
      </c>
      <c r="M216">
        <f t="shared" si="32"/>
        <v>0</v>
      </c>
      <c r="N216">
        <f t="shared" si="40"/>
        <v>0</v>
      </c>
      <c r="O216">
        <f t="shared" si="33"/>
        <v>0</v>
      </c>
      <c r="P216">
        <f t="shared" si="34"/>
        <v>0</v>
      </c>
      <c r="R216" t="str">
        <f t="shared" si="35"/>
        <v>00</v>
      </c>
    </row>
    <row r="217" spans="1:18" x14ac:dyDescent="0.4">
      <c r="A217" s="1" t="str">
        <f t="shared" si="38"/>
        <v>06B</v>
      </c>
      <c r="B217">
        <f t="shared" si="39"/>
        <v>1</v>
      </c>
      <c r="C217">
        <f>VALUE(MID(Hex!$C$2,1+2*HEX2DEC(A217)+B217,1))</f>
        <v>0</v>
      </c>
      <c r="D217" s="1" t="str">
        <f t="shared" si="36"/>
        <v>0D7</v>
      </c>
      <c r="E217">
        <f>HEX2DEC(MID(Hex!$C$8,1+HEX2DEC(Edit!D217)*2,2))</f>
        <v>0</v>
      </c>
      <c r="F217">
        <f t="shared" si="37"/>
        <v>215</v>
      </c>
      <c r="G217" t="str">
        <f>_xlfn.LET(_xlpm.custom,_xlfn.XLOOKUP(F217,Data!A:A,Data!C:C),IF(_xlpm.custom="",_xlfn.XLOOKUP(F217,Data!A:A,Data!B:B),_xlpm.custom))</f>
        <v>Macho Brace</v>
      </c>
      <c r="H217" t="str">
        <f>_xlfn.XLOOKUP(C217,Data!A:A,Data!E:E)</f>
        <v>General</v>
      </c>
      <c r="J217">
        <f>IF(I217="",C217,_xlfn.XLOOKUP(I217,Data!E:E,Data!A:A,""))</f>
        <v>0</v>
      </c>
      <c r="L217">
        <f t="shared" si="31"/>
        <v>0</v>
      </c>
      <c r="M217">
        <f t="shared" si="32"/>
        <v>0</v>
      </c>
      <c r="N217">
        <f t="shared" si="40"/>
        <v>0</v>
      </c>
      <c r="O217">
        <f t="shared" si="33"/>
        <v>0</v>
      </c>
      <c r="P217">
        <f t="shared" si="34"/>
        <v>0</v>
      </c>
      <c r="R217" t="str">
        <f t="shared" si="35"/>
        <v>00</v>
      </c>
    </row>
    <row r="218" spans="1:18" x14ac:dyDescent="0.4">
      <c r="A218" s="1" t="str">
        <f t="shared" si="38"/>
        <v>06C</v>
      </c>
      <c r="B218">
        <f t="shared" si="39"/>
        <v>0</v>
      </c>
      <c r="C218">
        <f>VALUE(MID(Hex!$C$2,1+2*HEX2DEC(A218)+B218,1))</f>
        <v>4</v>
      </c>
      <c r="D218" s="1" t="str">
        <f t="shared" si="36"/>
        <v>0D8</v>
      </c>
      <c r="E218">
        <f>HEX2DEC(MID(Hex!$C$8,1+HEX2DEC(Edit!D218)*2,2))</f>
        <v>0</v>
      </c>
      <c r="F218">
        <f t="shared" si="37"/>
        <v>216</v>
      </c>
      <c r="G218" t="str">
        <f>_xlfn.LET(_xlpm.custom,_xlfn.XLOOKUP(F218,Data!A:A,Data!C:C),IF(_xlpm.custom="",_xlfn.XLOOKUP(F218,Data!A:A,Data!B:B),_xlpm.custom))</f>
        <v>Exp. Share</v>
      </c>
      <c r="H218" t="str">
        <f>_xlfn.XLOOKUP(C218,Data!A:A,Data!E:E)</f>
        <v>Key</v>
      </c>
      <c r="J218">
        <f>IF(I218="",C218,_xlfn.XLOOKUP(I218,Data!E:E,Data!A:A,""))</f>
        <v>4</v>
      </c>
      <c r="L218">
        <f t="shared" si="31"/>
        <v>0</v>
      </c>
      <c r="M218">
        <f t="shared" si="32"/>
        <v>0</v>
      </c>
      <c r="N218">
        <f t="shared" si="40"/>
        <v>0</v>
      </c>
      <c r="O218">
        <f t="shared" si="33"/>
        <v>0</v>
      </c>
      <c r="P218">
        <f t="shared" si="34"/>
        <v>0</v>
      </c>
      <c r="R218" t="str">
        <f t="shared" si="35"/>
        <v>00</v>
      </c>
    </row>
    <row r="219" spans="1:18" x14ac:dyDescent="0.4">
      <c r="A219" s="1" t="str">
        <f t="shared" si="38"/>
        <v>06C</v>
      </c>
      <c r="B219">
        <f t="shared" si="39"/>
        <v>1</v>
      </c>
      <c r="C219">
        <f>VALUE(MID(Hex!$C$2,1+2*HEX2DEC(A219)+B219,1))</f>
        <v>0</v>
      </c>
      <c r="D219" s="1" t="str">
        <f t="shared" si="36"/>
        <v>0D9</v>
      </c>
      <c r="E219">
        <f>HEX2DEC(MID(Hex!$C$8,1+HEX2DEC(Edit!D219)*2,2))</f>
        <v>0</v>
      </c>
      <c r="F219">
        <f t="shared" si="37"/>
        <v>217</v>
      </c>
      <c r="G219" t="str">
        <f>_xlfn.LET(_xlpm.custom,_xlfn.XLOOKUP(F219,Data!A:A,Data!C:C),IF(_xlpm.custom="",_xlfn.XLOOKUP(F219,Data!A:A,Data!B:B),_xlpm.custom))</f>
        <v>Quick Claw</v>
      </c>
      <c r="H219" t="str">
        <f>_xlfn.XLOOKUP(C219,Data!A:A,Data!E:E)</f>
        <v>General</v>
      </c>
      <c r="J219">
        <f>IF(I219="",C219,_xlfn.XLOOKUP(I219,Data!E:E,Data!A:A,""))</f>
        <v>0</v>
      </c>
      <c r="L219">
        <f t="shared" si="31"/>
        <v>0</v>
      </c>
      <c r="M219">
        <f t="shared" si="32"/>
        <v>0</v>
      </c>
      <c r="N219">
        <f t="shared" si="40"/>
        <v>0</v>
      </c>
      <c r="O219">
        <f t="shared" si="33"/>
        <v>0</v>
      </c>
      <c r="P219">
        <f t="shared" si="34"/>
        <v>0</v>
      </c>
      <c r="R219" t="str">
        <f t="shared" si="35"/>
        <v>00</v>
      </c>
    </row>
    <row r="220" spans="1:18" x14ac:dyDescent="0.4">
      <c r="A220" s="1" t="str">
        <f t="shared" si="38"/>
        <v>06D</v>
      </c>
      <c r="B220">
        <f t="shared" si="39"/>
        <v>0</v>
      </c>
      <c r="C220">
        <f>VALUE(MID(Hex!$C$2,1+2*HEX2DEC(A220)+B220,1))</f>
        <v>0</v>
      </c>
      <c r="D220" s="1" t="str">
        <f t="shared" si="36"/>
        <v>0DA</v>
      </c>
      <c r="E220">
        <f>HEX2DEC(MID(Hex!$C$8,1+HEX2DEC(Edit!D220)*2,2))</f>
        <v>0</v>
      </c>
      <c r="F220">
        <f t="shared" si="37"/>
        <v>218</v>
      </c>
      <c r="G220" t="str">
        <f>_xlfn.LET(_xlpm.custom,_xlfn.XLOOKUP(F220,Data!A:A,Data!C:C),IF(_xlpm.custom="",_xlfn.XLOOKUP(F220,Data!A:A,Data!B:B),_xlpm.custom))</f>
        <v>Soothe Bell</v>
      </c>
      <c r="H220" t="str">
        <f>_xlfn.XLOOKUP(C220,Data!A:A,Data!E:E)</f>
        <v>General</v>
      </c>
      <c r="J220">
        <f>IF(I220="",C220,_xlfn.XLOOKUP(I220,Data!E:E,Data!A:A,""))</f>
        <v>0</v>
      </c>
      <c r="L220">
        <f t="shared" si="31"/>
        <v>0</v>
      </c>
      <c r="M220">
        <f t="shared" si="32"/>
        <v>0</v>
      </c>
      <c r="N220">
        <f t="shared" si="40"/>
        <v>0</v>
      </c>
      <c r="O220">
        <f t="shared" si="33"/>
        <v>0</v>
      </c>
      <c r="P220">
        <f t="shared" si="34"/>
        <v>0</v>
      </c>
      <c r="R220" t="str">
        <f t="shared" si="35"/>
        <v>00</v>
      </c>
    </row>
    <row r="221" spans="1:18" x14ac:dyDescent="0.4">
      <c r="A221" s="1" t="str">
        <f t="shared" si="38"/>
        <v>06D</v>
      </c>
      <c r="B221">
        <f t="shared" si="39"/>
        <v>1</v>
      </c>
      <c r="C221">
        <f>VALUE(MID(Hex!$C$2,1+2*HEX2DEC(A221)+B221,1))</f>
        <v>0</v>
      </c>
      <c r="D221" s="1" t="str">
        <f t="shared" si="36"/>
        <v>0DB</v>
      </c>
      <c r="E221">
        <f>HEX2DEC(MID(Hex!$C$8,1+HEX2DEC(Edit!D221)*2,2))</f>
        <v>0</v>
      </c>
      <c r="F221">
        <f t="shared" si="37"/>
        <v>219</v>
      </c>
      <c r="G221" t="str">
        <f>_xlfn.LET(_xlpm.custom,_xlfn.XLOOKUP(F221,Data!A:A,Data!C:C),IF(_xlpm.custom="",_xlfn.XLOOKUP(F221,Data!A:A,Data!B:B),_xlpm.custom))</f>
        <v>Mental Herb</v>
      </c>
      <c r="H221" t="str">
        <f>_xlfn.XLOOKUP(C221,Data!A:A,Data!E:E)</f>
        <v>General</v>
      </c>
      <c r="J221">
        <f>IF(I221="",C221,_xlfn.XLOOKUP(I221,Data!E:E,Data!A:A,""))</f>
        <v>0</v>
      </c>
      <c r="L221">
        <f t="shared" si="31"/>
        <v>0</v>
      </c>
      <c r="M221">
        <f t="shared" si="32"/>
        <v>0</v>
      </c>
      <c r="N221">
        <f t="shared" si="40"/>
        <v>0</v>
      </c>
      <c r="O221">
        <f t="shared" si="33"/>
        <v>0</v>
      </c>
      <c r="P221">
        <f t="shared" si="34"/>
        <v>0</v>
      </c>
      <c r="R221" t="str">
        <f t="shared" si="35"/>
        <v>00</v>
      </c>
    </row>
    <row r="222" spans="1:18" x14ac:dyDescent="0.4">
      <c r="A222" s="1" t="str">
        <f t="shared" si="38"/>
        <v>06E</v>
      </c>
      <c r="B222">
        <f t="shared" si="39"/>
        <v>0</v>
      </c>
      <c r="C222">
        <f>VALUE(MID(Hex!$C$2,1+2*HEX2DEC(A222)+B222,1))</f>
        <v>0</v>
      </c>
      <c r="D222" s="1" t="str">
        <f t="shared" si="36"/>
        <v>0DC</v>
      </c>
      <c r="E222">
        <f>HEX2DEC(MID(Hex!$C$8,1+HEX2DEC(Edit!D222)*2,2))</f>
        <v>0</v>
      </c>
      <c r="F222">
        <f t="shared" si="37"/>
        <v>220</v>
      </c>
      <c r="G222" t="str">
        <f>_xlfn.LET(_xlpm.custom,_xlfn.XLOOKUP(F222,Data!A:A,Data!C:C),IF(_xlpm.custom="",_xlfn.XLOOKUP(F222,Data!A:A,Data!B:B),_xlpm.custom))</f>
        <v>Choice Band</v>
      </c>
      <c r="H222" t="str">
        <f>_xlfn.XLOOKUP(C222,Data!A:A,Data!E:E)</f>
        <v>General</v>
      </c>
      <c r="J222">
        <f>IF(I222="",C222,_xlfn.XLOOKUP(I222,Data!E:E,Data!A:A,""))</f>
        <v>0</v>
      </c>
      <c r="L222">
        <f t="shared" si="31"/>
        <v>0</v>
      </c>
      <c r="M222">
        <f t="shared" si="32"/>
        <v>0</v>
      </c>
      <c r="N222">
        <f t="shared" si="40"/>
        <v>0</v>
      </c>
      <c r="O222">
        <f t="shared" si="33"/>
        <v>0</v>
      </c>
      <c r="P222">
        <f t="shared" si="34"/>
        <v>0</v>
      </c>
      <c r="R222" t="str">
        <f t="shared" si="35"/>
        <v>00</v>
      </c>
    </row>
    <row r="223" spans="1:18" x14ac:dyDescent="0.4">
      <c r="A223" s="1" t="str">
        <f t="shared" si="38"/>
        <v>06E</v>
      </c>
      <c r="B223">
        <f t="shared" si="39"/>
        <v>1</v>
      </c>
      <c r="C223">
        <f>VALUE(MID(Hex!$C$2,1+2*HEX2DEC(A223)+B223,1))</f>
        <v>0</v>
      </c>
      <c r="D223" s="1" t="str">
        <f t="shared" si="36"/>
        <v>0DD</v>
      </c>
      <c r="E223">
        <f>HEX2DEC(MID(Hex!$C$8,1+HEX2DEC(Edit!D223)*2,2))</f>
        <v>0</v>
      </c>
      <c r="F223">
        <f t="shared" si="37"/>
        <v>221</v>
      </c>
      <c r="G223" t="str">
        <f>_xlfn.LET(_xlpm.custom,_xlfn.XLOOKUP(F223,Data!A:A,Data!C:C),IF(_xlpm.custom="",_xlfn.XLOOKUP(F223,Data!A:A,Data!B:B),_xlpm.custom))</f>
        <v>King’s Rock</v>
      </c>
      <c r="H223" t="str">
        <f>_xlfn.XLOOKUP(C223,Data!A:A,Data!E:E)</f>
        <v>General</v>
      </c>
      <c r="J223">
        <f>IF(I223="",C223,_xlfn.XLOOKUP(I223,Data!E:E,Data!A:A,""))</f>
        <v>0</v>
      </c>
      <c r="L223">
        <f t="shared" si="31"/>
        <v>0</v>
      </c>
      <c r="M223">
        <f t="shared" si="32"/>
        <v>0</v>
      </c>
      <c r="N223">
        <f t="shared" si="40"/>
        <v>0</v>
      </c>
      <c r="O223">
        <f t="shared" si="33"/>
        <v>0</v>
      </c>
      <c r="P223">
        <f t="shared" si="34"/>
        <v>0</v>
      </c>
      <c r="R223" t="str">
        <f t="shared" si="35"/>
        <v>00</v>
      </c>
    </row>
    <row r="224" spans="1:18" x14ac:dyDescent="0.4">
      <c r="A224" s="1" t="str">
        <f t="shared" si="38"/>
        <v>06F</v>
      </c>
      <c r="B224">
        <f t="shared" si="39"/>
        <v>0</v>
      </c>
      <c r="C224">
        <f>VALUE(MID(Hex!$C$2,1+2*HEX2DEC(A224)+B224,1))</f>
        <v>0</v>
      </c>
      <c r="D224" s="1" t="str">
        <f t="shared" si="36"/>
        <v>0DE</v>
      </c>
      <c r="E224">
        <f>HEX2DEC(MID(Hex!$C$8,1+HEX2DEC(Edit!D224)*2,2))</f>
        <v>0</v>
      </c>
      <c r="F224">
        <f t="shared" si="37"/>
        <v>222</v>
      </c>
      <c r="G224" t="str">
        <f>_xlfn.LET(_xlpm.custom,_xlfn.XLOOKUP(F224,Data!A:A,Data!C:C),IF(_xlpm.custom="",_xlfn.XLOOKUP(F224,Data!A:A,Data!B:B),_xlpm.custom))</f>
        <v>Silver Powder</v>
      </c>
      <c r="H224" t="str">
        <f>_xlfn.XLOOKUP(C224,Data!A:A,Data!E:E)</f>
        <v>General</v>
      </c>
      <c r="J224">
        <f>IF(I224="",C224,_xlfn.XLOOKUP(I224,Data!E:E,Data!A:A,""))</f>
        <v>0</v>
      </c>
      <c r="L224">
        <f t="shared" si="31"/>
        <v>0</v>
      </c>
      <c r="M224">
        <f t="shared" si="32"/>
        <v>0</v>
      </c>
      <c r="N224">
        <f t="shared" si="40"/>
        <v>0</v>
      </c>
      <c r="O224">
        <f t="shared" si="33"/>
        <v>0</v>
      </c>
      <c r="P224">
        <f t="shared" si="34"/>
        <v>0</v>
      </c>
      <c r="R224" t="str">
        <f t="shared" si="35"/>
        <v>00</v>
      </c>
    </row>
    <row r="225" spans="1:18" x14ac:dyDescent="0.4">
      <c r="A225" s="1" t="str">
        <f t="shared" si="38"/>
        <v>06F</v>
      </c>
      <c r="B225">
        <f t="shared" si="39"/>
        <v>1</v>
      </c>
      <c r="C225">
        <f>VALUE(MID(Hex!$C$2,1+2*HEX2DEC(A225)+B225,1))</f>
        <v>0</v>
      </c>
      <c r="D225" s="1" t="str">
        <f t="shared" si="36"/>
        <v>0DF</v>
      </c>
      <c r="E225">
        <f>HEX2DEC(MID(Hex!$C$8,1+HEX2DEC(Edit!D225)*2,2))</f>
        <v>0</v>
      </c>
      <c r="F225">
        <f t="shared" si="37"/>
        <v>223</v>
      </c>
      <c r="G225" t="str">
        <f>_xlfn.LET(_xlpm.custom,_xlfn.XLOOKUP(F225,Data!A:A,Data!C:C),IF(_xlpm.custom="",_xlfn.XLOOKUP(F225,Data!A:A,Data!B:B),_xlpm.custom))</f>
        <v>Amulet Coin</v>
      </c>
      <c r="H225" t="str">
        <f>_xlfn.XLOOKUP(C225,Data!A:A,Data!E:E)</f>
        <v>General</v>
      </c>
      <c r="J225">
        <f>IF(I225="",C225,_xlfn.XLOOKUP(I225,Data!E:E,Data!A:A,""))</f>
        <v>0</v>
      </c>
      <c r="L225">
        <f t="shared" si="31"/>
        <v>0</v>
      </c>
      <c r="M225">
        <f t="shared" si="32"/>
        <v>0</v>
      </c>
      <c r="N225">
        <f t="shared" si="40"/>
        <v>0</v>
      </c>
      <c r="O225">
        <f t="shared" si="33"/>
        <v>0</v>
      </c>
      <c r="P225">
        <f t="shared" si="34"/>
        <v>0</v>
      </c>
      <c r="R225" t="str">
        <f t="shared" si="35"/>
        <v>00</v>
      </c>
    </row>
    <row r="226" spans="1:18" x14ac:dyDescent="0.4">
      <c r="A226" s="1" t="str">
        <f t="shared" si="38"/>
        <v>070</v>
      </c>
      <c r="B226">
        <f t="shared" si="39"/>
        <v>0</v>
      </c>
      <c r="C226">
        <f>VALUE(MID(Hex!$C$2,1+2*HEX2DEC(A226)+B226,1))</f>
        <v>0</v>
      </c>
      <c r="D226" s="1" t="str">
        <f t="shared" si="36"/>
        <v>0E0</v>
      </c>
      <c r="E226">
        <f>HEX2DEC(MID(Hex!$C$8,1+HEX2DEC(Edit!D226)*2,2))</f>
        <v>0</v>
      </c>
      <c r="F226">
        <f t="shared" si="37"/>
        <v>224</v>
      </c>
      <c r="G226" t="str">
        <f>_xlfn.LET(_xlpm.custom,_xlfn.XLOOKUP(F226,Data!A:A,Data!C:C),IF(_xlpm.custom="",_xlfn.XLOOKUP(F226,Data!A:A,Data!B:B),_xlpm.custom))</f>
        <v>Cleanse Tag</v>
      </c>
      <c r="H226" t="str">
        <f>_xlfn.XLOOKUP(C226,Data!A:A,Data!E:E)</f>
        <v>General</v>
      </c>
      <c r="J226">
        <f>IF(I226="",C226,_xlfn.XLOOKUP(I226,Data!E:E,Data!A:A,""))</f>
        <v>0</v>
      </c>
      <c r="L226">
        <f t="shared" si="31"/>
        <v>0</v>
      </c>
      <c r="M226">
        <f t="shared" si="32"/>
        <v>0</v>
      </c>
      <c r="N226">
        <f t="shared" si="40"/>
        <v>0</v>
      </c>
      <c r="O226">
        <f t="shared" si="33"/>
        <v>0</v>
      </c>
      <c r="P226">
        <f t="shared" si="34"/>
        <v>0</v>
      </c>
      <c r="R226" t="str">
        <f t="shared" si="35"/>
        <v>00</v>
      </c>
    </row>
    <row r="227" spans="1:18" x14ac:dyDescent="0.4">
      <c r="A227" s="1" t="str">
        <f t="shared" si="38"/>
        <v>070</v>
      </c>
      <c r="B227">
        <f t="shared" si="39"/>
        <v>1</v>
      </c>
      <c r="C227">
        <f>VALUE(MID(Hex!$C$2,1+2*HEX2DEC(A227)+B227,1))</f>
        <v>0</v>
      </c>
      <c r="D227" s="1" t="str">
        <f t="shared" si="36"/>
        <v>0E1</v>
      </c>
      <c r="E227">
        <f>HEX2DEC(MID(Hex!$C$8,1+HEX2DEC(Edit!D227)*2,2))</f>
        <v>0</v>
      </c>
      <c r="F227">
        <f t="shared" si="37"/>
        <v>225</v>
      </c>
      <c r="G227" t="str">
        <f>_xlfn.LET(_xlpm.custom,_xlfn.XLOOKUP(F227,Data!A:A,Data!C:C),IF(_xlpm.custom="",_xlfn.XLOOKUP(F227,Data!A:A,Data!B:B),_xlpm.custom))</f>
        <v>Soul Dew</v>
      </c>
      <c r="H227" t="str">
        <f>_xlfn.XLOOKUP(C227,Data!A:A,Data!E:E)</f>
        <v>General</v>
      </c>
      <c r="J227">
        <f>IF(I227="",C227,_xlfn.XLOOKUP(I227,Data!E:E,Data!A:A,""))</f>
        <v>0</v>
      </c>
      <c r="L227">
        <f t="shared" si="31"/>
        <v>0</v>
      </c>
      <c r="M227">
        <f t="shared" si="32"/>
        <v>0</v>
      </c>
      <c r="N227">
        <f t="shared" si="40"/>
        <v>0</v>
      </c>
      <c r="O227">
        <f t="shared" si="33"/>
        <v>0</v>
      </c>
      <c r="P227">
        <f t="shared" si="34"/>
        <v>0</v>
      </c>
      <c r="R227" t="str">
        <f t="shared" si="35"/>
        <v>00</v>
      </c>
    </row>
    <row r="228" spans="1:18" x14ac:dyDescent="0.4">
      <c r="A228" s="1" t="str">
        <f t="shared" si="38"/>
        <v>071</v>
      </c>
      <c r="B228">
        <f t="shared" si="39"/>
        <v>0</v>
      </c>
      <c r="C228">
        <f>VALUE(MID(Hex!$C$2,1+2*HEX2DEC(A228)+B228,1))</f>
        <v>0</v>
      </c>
      <c r="D228" s="1" t="str">
        <f t="shared" si="36"/>
        <v>0E2</v>
      </c>
      <c r="E228">
        <f>HEX2DEC(MID(Hex!$C$8,1+HEX2DEC(Edit!D228)*2,2))</f>
        <v>0</v>
      </c>
      <c r="F228">
        <f t="shared" si="37"/>
        <v>226</v>
      </c>
      <c r="G228" t="str">
        <f>_xlfn.LET(_xlpm.custom,_xlfn.XLOOKUP(F228,Data!A:A,Data!C:C),IF(_xlpm.custom="",_xlfn.XLOOKUP(F228,Data!A:A,Data!B:B),_xlpm.custom))</f>
        <v>Deep Sea Tooth</v>
      </c>
      <c r="H228" t="str">
        <f>_xlfn.XLOOKUP(C228,Data!A:A,Data!E:E)</f>
        <v>General</v>
      </c>
      <c r="J228">
        <f>IF(I228="",C228,_xlfn.XLOOKUP(I228,Data!E:E,Data!A:A,""))</f>
        <v>0</v>
      </c>
      <c r="L228">
        <f t="shared" si="31"/>
        <v>0</v>
      </c>
      <c r="M228">
        <f t="shared" si="32"/>
        <v>0</v>
      </c>
      <c r="N228">
        <f t="shared" si="40"/>
        <v>0</v>
      </c>
      <c r="O228">
        <f t="shared" si="33"/>
        <v>0</v>
      </c>
      <c r="P228">
        <f t="shared" si="34"/>
        <v>0</v>
      </c>
      <c r="R228" t="str">
        <f t="shared" si="35"/>
        <v>00</v>
      </c>
    </row>
    <row r="229" spans="1:18" x14ac:dyDescent="0.4">
      <c r="A229" s="1" t="str">
        <f t="shared" si="38"/>
        <v>071</v>
      </c>
      <c r="B229">
        <f t="shared" si="39"/>
        <v>1</v>
      </c>
      <c r="C229">
        <f>VALUE(MID(Hex!$C$2,1+2*HEX2DEC(A229)+B229,1))</f>
        <v>0</v>
      </c>
      <c r="D229" s="1" t="str">
        <f t="shared" si="36"/>
        <v>0E3</v>
      </c>
      <c r="E229">
        <f>HEX2DEC(MID(Hex!$C$8,1+HEX2DEC(Edit!D229)*2,2))</f>
        <v>0</v>
      </c>
      <c r="F229">
        <f t="shared" si="37"/>
        <v>227</v>
      </c>
      <c r="G229" t="str">
        <f>_xlfn.LET(_xlpm.custom,_xlfn.XLOOKUP(F229,Data!A:A,Data!C:C),IF(_xlpm.custom="",_xlfn.XLOOKUP(F229,Data!A:A,Data!B:B),_xlpm.custom))</f>
        <v>Deep Sea Scale</v>
      </c>
      <c r="H229" t="str">
        <f>_xlfn.XLOOKUP(C229,Data!A:A,Data!E:E)</f>
        <v>General</v>
      </c>
      <c r="J229">
        <f>IF(I229="",C229,_xlfn.XLOOKUP(I229,Data!E:E,Data!A:A,""))</f>
        <v>0</v>
      </c>
      <c r="L229">
        <f t="shared" si="31"/>
        <v>0</v>
      </c>
      <c r="M229">
        <f t="shared" si="32"/>
        <v>0</v>
      </c>
      <c r="N229">
        <f t="shared" si="40"/>
        <v>0</v>
      </c>
      <c r="O229">
        <f t="shared" si="33"/>
        <v>0</v>
      </c>
      <c r="P229">
        <f t="shared" si="34"/>
        <v>0</v>
      </c>
      <c r="R229" t="str">
        <f t="shared" si="35"/>
        <v>00</v>
      </c>
    </row>
    <row r="230" spans="1:18" x14ac:dyDescent="0.4">
      <c r="A230" s="1" t="str">
        <f t="shared" si="38"/>
        <v>072</v>
      </c>
      <c r="B230">
        <f t="shared" si="39"/>
        <v>0</v>
      </c>
      <c r="C230">
        <f>VALUE(MID(Hex!$C$2,1+2*HEX2DEC(A230)+B230,1))</f>
        <v>0</v>
      </c>
      <c r="D230" s="1" t="str">
        <f t="shared" si="36"/>
        <v>0E4</v>
      </c>
      <c r="E230">
        <f>HEX2DEC(MID(Hex!$C$8,1+HEX2DEC(Edit!D230)*2,2))</f>
        <v>0</v>
      </c>
      <c r="F230">
        <f t="shared" si="37"/>
        <v>228</v>
      </c>
      <c r="G230" t="str">
        <f>_xlfn.LET(_xlpm.custom,_xlfn.XLOOKUP(F230,Data!A:A,Data!C:C),IF(_xlpm.custom="",_xlfn.XLOOKUP(F230,Data!A:A,Data!B:B),_xlpm.custom))</f>
        <v>Smoke Ball</v>
      </c>
      <c r="H230" t="str">
        <f>_xlfn.XLOOKUP(C230,Data!A:A,Data!E:E)</f>
        <v>General</v>
      </c>
      <c r="J230">
        <f>IF(I230="",C230,_xlfn.XLOOKUP(I230,Data!E:E,Data!A:A,""))</f>
        <v>0</v>
      </c>
      <c r="L230">
        <f t="shared" si="31"/>
        <v>0</v>
      </c>
      <c r="M230">
        <f t="shared" si="32"/>
        <v>0</v>
      </c>
      <c r="N230">
        <f t="shared" si="40"/>
        <v>0</v>
      </c>
      <c r="O230">
        <f t="shared" si="33"/>
        <v>0</v>
      </c>
      <c r="P230">
        <f t="shared" si="34"/>
        <v>0</v>
      </c>
      <c r="R230" t="str">
        <f t="shared" si="35"/>
        <v>00</v>
      </c>
    </row>
    <row r="231" spans="1:18" x14ac:dyDescent="0.4">
      <c r="A231" s="1" t="str">
        <f t="shared" si="38"/>
        <v>072</v>
      </c>
      <c r="B231">
        <f t="shared" si="39"/>
        <v>1</v>
      </c>
      <c r="C231">
        <f>VALUE(MID(Hex!$C$2,1+2*HEX2DEC(A231)+B231,1))</f>
        <v>0</v>
      </c>
      <c r="D231" s="1" t="str">
        <f t="shared" si="36"/>
        <v>0E5</v>
      </c>
      <c r="E231">
        <f>HEX2DEC(MID(Hex!$C$8,1+HEX2DEC(Edit!D231)*2,2))</f>
        <v>0</v>
      </c>
      <c r="F231">
        <f t="shared" si="37"/>
        <v>229</v>
      </c>
      <c r="G231" t="str">
        <f>_xlfn.LET(_xlpm.custom,_xlfn.XLOOKUP(F231,Data!A:A,Data!C:C),IF(_xlpm.custom="",_xlfn.XLOOKUP(F231,Data!A:A,Data!B:B),_xlpm.custom))</f>
        <v>Everstone</v>
      </c>
      <c r="H231" t="str">
        <f>_xlfn.XLOOKUP(C231,Data!A:A,Data!E:E)</f>
        <v>General</v>
      </c>
      <c r="J231">
        <f>IF(I231="",C231,_xlfn.XLOOKUP(I231,Data!E:E,Data!A:A,""))</f>
        <v>0</v>
      </c>
      <c r="L231">
        <f t="shared" si="31"/>
        <v>0</v>
      </c>
      <c r="M231">
        <f t="shared" si="32"/>
        <v>0</v>
      </c>
      <c r="N231">
        <f t="shared" si="40"/>
        <v>0</v>
      </c>
      <c r="O231">
        <f t="shared" si="33"/>
        <v>0</v>
      </c>
      <c r="P231">
        <f t="shared" si="34"/>
        <v>0</v>
      </c>
      <c r="R231" t="str">
        <f t="shared" si="35"/>
        <v>00</v>
      </c>
    </row>
    <row r="232" spans="1:18" x14ac:dyDescent="0.4">
      <c r="A232" s="1" t="str">
        <f t="shared" si="38"/>
        <v>073</v>
      </c>
      <c r="B232">
        <f t="shared" si="39"/>
        <v>0</v>
      </c>
      <c r="C232">
        <f>VALUE(MID(Hex!$C$2,1+2*HEX2DEC(A232)+B232,1))</f>
        <v>0</v>
      </c>
      <c r="D232" s="1" t="str">
        <f t="shared" si="36"/>
        <v>0E6</v>
      </c>
      <c r="E232">
        <f>HEX2DEC(MID(Hex!$C$8,1+HEX2DEC(Edit!D232)*2,2))</f>
        <v>0</v>
      </c>
      <c r="F232">
        <f t="shared" si="37"/>
        <v>230</v>
      </c>
      <c r="G232" t="str">
        <f>_xlfn.LET(_xlpm.custom,_xlfn.XLOOKUP(F232,Data!A:A,Data!C:C),IF(_xlpm.custom="",_xlfn.XLOOKUP(F232,Data!A:A,Data!B:B),_xlpm.custom))</f>
        <v>Focus Band</v>
      </c>
      <c r="H232" t="str">
        <f>_xlfn.XLOOKUP(C232,Data!A:A,Data!E:E)</f>
        <v>General</v>
      </c>
      <c r="J232">
        <f>IF(I232="",C232,_xlfn.XLOOKUP(I232,Data!E:E,Data!A:A,""))</f>
        <v>0</v>
      </c>
      <c r="L232">
        <f t="shared" si="31"/>
        <v>0</v>
      </c>
      <c r="M232">
        <f t="shared" si="32"/>
        <v>0</v>
      </c>
      <c r="N232">
        <f t="shared" si="40"/>
        <v>0</v>
      </c>
      <c r="O232">
        <f t="shared" si="33"/>
        <v>0</v>
      </c>
      <c r="P232">
        <f t="shared" si="34"/>
        <v>0</v>
      </c>
      <c r="R232" t="str">
        <f t="shared" si="35"/>
        <v>00</v>
      </c>
    </row>
    <row r="233" spans="1:18" x14ac:dyDescent="0.4">
      <c r="A233" s="1" t="str">
        <f t="shared" si="38"/>
        <v>073</v>
      </c>
      <c r="B233">
        <f t="shared" si="39"/>
        <v>1</v>
      </c>
      <c r="C233">
        <f>VALUE(MID(Hex!$C$2,1+2*HEX2DEC(A233)+B233,1))</f>
        <v>0</v>
      </c>
      <c r="D233" s="1" t="str">
        <f t="shared" si="36"/>
        <v>0E7</v>
      </c>
      <c r="E233">
        <f>HEX2DEC(MID(Hex!$C$8,1+HEX2DEC(Edit!D233)*2,2))</f>
        <v>0</v>
      </c>
      <c r="F233">
        <f t="shared" si="37"/>
        <v>231</v>
      </c>
      <c r="G233" t="str">
        <f>_xlfn.LET(_xlpm.custom,_xlfn.XLOOKUP(F233,Data!A:A,Data!C:C),IF(_xlpm.custom="",_xlfn.XLOOKUP(F233,Data!A:A,Data!B:B),_xlpm.custom))</f>
        <v>Lucky Egg</v>
      </c>
      <c r="H233" t="str">
        <f>_xlfn.XLOOKUP(C233,Data!A:A,Data!E:E)</f>
        <v>General</v>
      </c>
      <c r="J233">
        <f>IF(I233="",C233,_xlfn.XLOOKUP(I233,Data!E:E,Data!A:A,""))</f>
        <v>0</v>
      </c>
      <c r="L233">
        <f t="shared" si="31"/>
        <v>0</v>
      </c>
      <c r="M233">
        <f t="shared" si="32"/>
        <v>0</v>
      </c>
      <c r="N233">
        <f t="shared" si="40"/>
        <v>0</v>
      </c>
      <c r="O233">
        <f t="shared" si="33"/>
        <v>0</v>
      </c>
      <c r="P233">
        <f t="shared" si="34"/>
        <v>0</v>
      </c>
      <c r="R233" t="str">
        <f t="shared" si="35"/>
        <v>00</v>
      </c>
    </row>
    <row r="234" spans="1:18" x14ac:dyDescent="0.4">
      <c r="A234" s="1" t="str">
        <f t="shared" si="38"/>
        <v>074</v>
      </c>
      <c r="B234">
        <f t="shared" si="39"/>
        <v>0</v>
      </c>
      <c r="C234">
        <f>VALUE(MID(Hex!$C$2,1+2*HEX2DEC(A234)+B234,1))</f>
        <v>0</v>
      </c>
      <c r="D234" s="1" t="str">
        <f t="shared" si="36"/>
        <v>0E8</v>
      </c>
      <c r="E234">
        <f>HEX2DEC(MID(Hex!$C$8,1+HEX2DEC(Edit!D234)*2,2))</f>
        <v>0</v>
      </c>
      <c r="F234">
        <f t="shared" si="37"/>
        <v>232</v>
      </c>
      <c r="G234" t="str">
        <f>_xlfn.LET(_xlpm.custom,_xlfn.XLOOKUP(F234,Data!A:A,Data!C:C),IF(_xlpm.custom="",_xlfn.XLOOKUP(F234,Data!A:A,Data!B:B),_xlpm.custom))</f>
        <v>Scope Lens</v>
      </c>
      <c r="H234" t="str">
        <f>_xlfn.XLOOKUP(C234,Data!A:A,Data!E:E)</f>
        <v>General</v>
      </c>
      <c r="J234">
        <f>IF(I234="",C234,_xlfn.XLOOKUP(I234,Data!E:E,Data!A:A,""))</f>
        <v>0</v>
      </c>
      <c r="L234">
        <f t="shared" si="31"/>
        <v>0</v>
      </c>
      <c r="M234">
        <f t="shared" si="32"/>
        <v>0</v>
      </c>
      <c r="N234">
        <f t="shared" si="40"/>
        <v>0</v>
      </c>
      <c r="O234">
        <f t="shared" si="33"/>
        <v>0</v>
      </c>
      <c r="P234">
        <f t="shared" si="34"/>
        <v>0</v>
      </c>
      <c r="R234" t="str">
        <f t="shared" si="35"/>
        <v>00</v>
      </c>
    </row>
    <row r="235" spans="1:18" x14ac:dyDescent="0.4">
      <c r="A235" s="1" t="str">
        <f t="shared" si="38"/>
        <v>074</v>
      </c>
      <c r="B235">
        <f t="shared" si="39"/>
        <v>1</v>
      </c>
      <c r="C235">
        <f>VALUE(MID(Hex!$C$2,1+2*HEX2DEC(A235)+B235,1))</f>
        <v>0</v>
      </c>
      <c r="D235" s="1" t="str">
        <f t="shared" si="36"/>
        <v>0E9</v>
      </c>
      <c r="E235">
        <f>HEX2DEC(MID(Hex!$C$8,1+HEX2DEC(Edit!D235)*2,2))</f>
        <v>0</v>
      </c>
      <c r="F235">
        <f t="shared" si="37"/>
        <v>233</v>
      </c>
      <c r="G235" t="str">
        <f>_xlfn.LET(_xlpm.custom,_xlfn.XLOOKUP(F235,Data!A:A,Data!C:C),IF(_xlpm.custom="",_xlfn.XLOOKUP(F235,Data!A:A,Data!B:B),_xlpm.custom))</f>
        <v>Metal Coat</v>
      </c>
      <c r="H235" t="str">
        <f>_xlfn.XLOOKUP(C235,Data!A:A,Data!E:E)</f>
        <v>General</v>
      </c>
      <c r="J235">
        <f>IF(I235="",C235,_xlfn.XLOOKUP(I235,Data!E:E,Data!A:A,""))</f>
        <v>0</v>
      </c>
      <c r="L235">
        <f t="shared" si="31"/>
        <v>0</v>
      </c>
      <c r="M235">
        <f t="shared" si="32"/>
        <v>0</v>
      </c>
      <c r="N235">
        <f t="shared" si="40"/>
        <v>0</v>
      </c>
      <c r="O235">
        <f t="shared" si="33"/>
        <v>0</v>
      </c>
      <c r="P235">
        <f t="shared" si="34"/>
        <v>0</v>
      </c>
      <c r="R235" t="str">
        <f t="shared" si="35"/>
        <v>00</v>
      </c>
    </row>
    <row r="236" spans="1:18" x14ac:dyDescent="0.4">
      <c r="A236" s="1" t="str">
        <f t="shared" si="38"/>
        <v>075</v>
      </c>
      <c r="B236">
        <f t="shared" si="39"/>
        <v>0</v>
      </c>
      <c r="C236">
        <f>VALUE(MID(Hex!$C$2,1+2*HEX2DEC(A236)+B236,1))</f>
        <v>0</v>
      </c>
      <c r="D236" s="1" t="str">
        <f t="shared" si="36"/>
        <v>0EA</v>
      </c>
      <c r="E236">
        <f>HEX2DEC(MID(Hex!$C$8,1+HEX2DEC(Edit!D236)*2,2))</f>
        <v>0</v>
      </c>
      <c r="F236">
        <f t="shared" si="37"/>
        <v>234</v>
      </c>
      <c r="G236" t="str">
        <f>_xlfn.LET(_xlpm.custom,_xlfn.XLOOKUP(F236,Data!A:A,Data!C:C),IF(_xlpm.custom="",_xlfn.XLOOKUP(F236,Data!A:A,Data!B:B),_xlpm.custom))</f>
        <v>Leftovers</v>
      </c>
      <c r="H236" t="str">
        <f>_xlfn.XLOOKUP(C236,Data!A:A,Data!E:E)</f>
        <v>General</v>
      </c>
      <c r="J236">
        <f>IF(I236="",C236,_xlfn.XLOOKUP(I236,Data!E:E,Data!A:A,""))</f>
        <v>0</v>
      </c>
      <c r="L236">
        <f t="shared" si="31"/>
        <v>0</v>
      </c>
      <c r="M236">
        <f t="shared" si="32"/>
        <v>0</v>
      </c>
      <c r="N236">
        <f t="shared" si="40"/>
        <v>0</v>
      </c>
      <c r="O236">
        <f t="shared" si="33"/>
        <v>0</v>
      </c>
      <c r="P236">
        <f t="shared" si="34"/>
        <v>0</v>
      </c>
      <c r="R236" t="str">
        <f t="shared" si="35"/>
        <v>00</v>
      </c>
    </row>
    <row r="237" spans="1:18" x14ac:dyDescent="0.4">
      <c r="A237" s="1" t="str">
        <f t="shared" si="38"/>
        <v>075</v>
      </c>
      <c r="B237">
        <f t="shared" si="39"/>
        <v>1</v>
      </c>
      <c r="C237">
        <f>VALUE(MID(Hex!$C$2,1+2*HEX2DEC(A237)+B237,1))</f>
        <v>0</v>
      </c>
      <c r="D237" s="1" t="str">
        <f t="shared" si="36"/>
        <v>0EB</v>
      </c>
      <c r="E237">
        <f>HEX2DEC(MID(Hex!$C$8,1+HEX2DEC(Edit!D237)*2,2))</f>
        <v>0</v>
      </c>
      <c r="F237">
        <f t="shared" si="37"/>
        <v>235</v>
      </c>
      <c r="G237" t="str">
        <f>_xlfn.LET(_xlpm.custom,_xlfn.XLOOKUP(F237,Data!A:A,Data!C:C),IF(_xlpm.custom="",_xlfn.XLOOKUP(F237,Data!A:A,Data!B:B),_xlpm.custom))</f>
        <v>Dragon Scale</v>
      </c>
      <c r="H237" t="str">
        <f>_xlfn.XLOOKUP(C237,Data!A:A,Data!E:E)</f>
        <v>General</v>
      </c>
      <c r="J237">
        <f>IF(I237="",C237,_xlfn.XLOOKUP(I237,Data!E:E,Data!A:A,""))</f>
        <v>0</v>
      </c>
      <c r="L237">
        <f t="shared" si="31"/>
        <v>0</v>
      </c>
      <c r="M237">
        <f t="shared" si="32"/>
        <v>0</v>
      </c>
      <c r="N237">
        <f t="shared" si="40"/>
        <v>0</v>
      </c>
      <c r="O237">
        <f t="shared" si="33"/>
        <v>0</v>
      </c>
      <c r="P237">
        <f t="shared" si="34"/>
        <v>0</v>
      </c>
      <c r="R237" t="str">
        <f t="shared" si="35"/>
        <v>00</v>
      </c>
    </row>
    <row r="238" spans="1:18" x14ac:dyDescent="0.4">
      <c r="A238" s="1" t="str">
        <f t="shared" si="38"/>
        <v>076</v>
      </c>
      <c r="B238">
        <f t="shared" si="39"/>
        <v>0</v>
      </c>
      <c r="C238">
        <f>VALUE(MID(Hex!$C$2,1+2*HEX2DEC(A238)+B238,1))</f>
        <v>0</v>
      </c>
      <c r="D238" s="1" t="str">
        <f t="shared" si="36"/>
        <v>0EC</v>
      </c>
      <c r="E238">
        <f>HEX2DEC(MID(Hex!$C$8,1+HEX2DEC(Edit!D238)*2,2))</f>
        <v>0</v>
      </c>
      <c r="F238">
        <f t="shared" si="37"/>
        <v>236</v>
      </c>
      <c r="G238" t="str">
        <f>_xlfn.LET(_xlpm.custom,_xlfn.XLOOKUP(F238,Data!A:A,Data!C:C),IF(_xlpm.custom="",_xlfn.XLOOKUP(F238,Data!A:A,Data!B:B),_xlpm.custom))</f>
        <v>Light Ball</v>
      </c>
      <c r="H238" t="str">
        <f>_xlfn.XLOOKUP(C238,Data!A:A,Data!E:E)</f>
        <v>General</v>
      </c>
      <c r="J238">
        <f>IF(I238="",C238,_xlfn.XLOOKUP(I238,Data!E:E,Data!A:A,""))</f>
        <v>0</v>
      </c>
      <c r="L238">
        <f t="shared" si="31"/>
        <v>0</v>
      </c>
      <c r="M238">
        <f t="shared" si="32"/>
        <v>0</v>
      </c>
      <c r="N238">
        <f t="shared" si="40"/>
        <v>0</v>
      </c>
      <c r="O238">
        <f t="shared" si="33"/>
        <v>0</v>
      </c>
      <c r="P238">
        <f t="shared" si="34"/>
        <v>0</v>
      </c>
      <c r="R238" t="str">
        <f t="shared" si="35"/>
        <v>00</v>
      </c>
    </row>
    <row r="239" spans="1:18" x14ac:dyDescent="0.4">
      <c r="A239" s="1" t="str">
        <f t="shared" si="38"/>
        <v>076</v>
      </c>
      <c r="B239">
        <f t="shared" si="39"/>
        <v>1</v>
      </c>
      <c r="C239">
        <f>VALUE(MID(Hex!$C$2,1+2*HEX2DEC(A239)+B239,1))</f>
        <v>0</v>
      </c>
      <c r="D239" s="1" t="str">
        <f t="shared" si="36"/>
        <v>0ED</v>
      </c>
      <c r="E239">
        <f>HEX2DEC(MID(Hex!$C$8,1+HEX2DEC(Edit!D239)*2,2))</f>
        <v>0</v>
      </c>
      <c r="F239">
        <f t="shared" si="37"/>
        <v>237</v>
      </c>
      <c r="G239" t="str">
        <f>_xlfn.LET(_xlpm.custom,_xlfn.XLOOKUP(F239,Data!A:A,Data!C:C),IF(_xlpm.custom="",_xlfn.XLOOKUP(F239,Data!A:A,Data!B:B),_xlpm.custom))</f>
        <v>Soft Sand</v>
      </c>
      <c r="H239" t="str">
        <f>_xlfn.XLOOKUP(C239,Data!A:A,Data!E:E)</f>
        <v>General</v>
      </c>
      <c r="J239">
        <f>IF(I239="",C239,_xlfn.XLOOKUP(I239,Data!E:E,Data!A:A,""))</f>
        <v>0</v>
      </c>
      <c r="L239">
        <f t="shared" si="31"/>
        <v>0</v>
      </c>
      <c r="M239">
        <f t="shared" si="32"/>
        <v>0</v>
      </c>
      <c r="N239">
        <f t="shared" si="40"/>
        <v>0</v>
      </c>
      <c r="O239">
        <f t="shared" si="33"/>
        <v>0</v>
      </c>
      <c r="P239">
        <f t="shared" si="34"/>
        <v>0</v>
      </c>
      <c r="R239" t="str">
        <f t="shared" si="35"/>
        <v>00</v>
      </c>
    </row>
    <row r="240" spans="1:18" x14ac:dyDescent="0.4">
      <c r="A240" s="1" t="str">
        <f t="shared" si="38"/>
        <v>077</v>
      </c>
      <c r="B240">
        <f t="shared" si="39"/>
        <v>0</v>
      </c>
      <c r="C240">
        <f>VALUE(MID(Hex!$C$2,1+2*HEX2DEC(A240)+B240,1))</f>
        <v>0</v>
      </c>
      <c r="D240" s="1" t="str">
        <f t="shared" si="36"/>
        <v>0EE</v>
      </c>
      <c r="E240">
        <f>HEX2DEC(MID(Hex!$C$8,1+HEX2DEC(Edit!D240)*2,2))</f>
        <v>0</v>
      </c>
      <c r="F240">
        <f t="shared" si="37"/>
        <v>238</v>
      </c>
      <c r="G240" t="str">
        <f>_xlfn.LET(_xlpm.custom,_xlfn.XLOOKUP(F240,Data!A:A,Data!C:C),IF(_xlpm.custom="",_xlfn.XLOOKUP(F240,Data!A:A,Data!B:B),_xlpm.custom))</f>
        <v>Hard Stone</v>
      </c>
      <c r="H240" t="str">
        <f>_xlfn.XLOOKUP(C240,Data!A:A,Data!E:E)</f>
        <v>General</v>
      </c>
      <c r="J240">
        <f>IF(I240="",C240,_xlfn.XLOOKUP(I240,Data!E:E,Data!A:A,""))</f>
        <v>0</v>
      </c>
      <c r="L240">
        <f t="shared" si="31"/>
        <v>0</v>
      </c>
      <c r="M240">
        <f t="shared" si="32"/>
        <v>0</v>
      </c>
      <c r="N240">
        <f t="shared" si="40"/>
        <v>0</v>
      </c>
      <c r="O240">
        <f t="shared" si="33"/>
        <v>0</v>
      </c>
      <c r="P240">
        <f t="shared" si="34"/>
        <v>0</v>
      </c>
      <c r="R240" t="str">
        <f t="shared" si="35"/>
        <v>00</v>
      </c>
    </row>
    <row r="241" spans="1:18" x14ac:dyDescent="0.4">
      <c r="A241" s="1" t="str">
        <f t="shared" si="38"/>
        <v>077</v>
      </c>
      <c r="B241">
        <f t="shared" si="39"/>
        <v>1</v>
      </c>
      <c r="C241">
        <f>VALUE(MID(Hex!$C$2,1+2*HEX2DEC(A241)+B241,1))</f>
        <v>0</v>
      </c>
      <c r="D241" s="1" t="str">
        <f t="shared" si="36"/>
        <v>0EF</v>
      </c>
      <c r="E241">
        <f>HEX2DEC(MID(Hex!$C$8,1+HEX2DEC(Edit!D241)*2,2))</f>
        <v>0</v>
      </c>
      <c r="F241">
        <f t="shared" si="37"/>
        <v>239</v>
      </c>
      <c r="G241" t="str">
        <f>_xlfn.LET(_xlpm.custom,_xlfn.XLOOKUP(F241,Data!A:A,Data!C:C),IF(_xlpm.custom="",_xlfn.XLOOKUP(F241,Data!A:A,Data!B:B),_xlpm.custom))</f>
        <v>Miracle Seed</v>
      </c>
      <c r="H241" t="str">
        <f>_xlfn.XLOOKUP(C241,Data!A:A,Data!E:E)</f>
        <v>General</v>
      </c>
      <c r="J241">
        <f>IF(I241="",C241,_xlfn.XLOOKUP(I241,Data!E:E,Data!A:A,""))</f>
        <v>0</v>
      </c>
      <c r="L241">
        <f t="shared" si="31"/>
        <v>0</v>
      </c>
      <c r="M241">
        <f t="shared" si="32"/>
        <v>0</v>
      </c>
      <c r="N241">
        <f t="shared" si="40"/>
        <v>0</v>
      </c>
      <c r="O241">
        <f t="shared" si="33"/>
        <v>0</v>
      </c>
      <c r="P241">
        <f t="shared" si="34"/>
        <v>0</v>
      </c>
      <c r="R241" t="str">
        <f t="shared" si="35"/>
        <v>00</v>
      </c>
    </row>
    <row r="242" spans="1:18" x14ac:dyDescent="0.4">
      <c r="A242" s="1" t="str">
        <f t="shared" si="38"/>
        <v>078</v>
      </c>
      <c r="B242">
        <f t="shared" si="39"/>
        <v>0</v>
      </c>
      <c r="C242">
        <f>VALUE(MID(Hex!$C$2,1+2*HEX2DEC(A242)+B242,1))</f>
        <v>0</v>
      </c>
      <c r="D242" s="1" t="str">
        <f t="shared" si="36"/>
        <v>0F0</v>
      </c>
      <c r="E242">
        <f>HEX2DEC(MID(Hex!$C$8,1+HEX2DEC(Edit!D242)*2,2))</f>
        <v>0</v>
      </c>
      <c r="F242">
        <f t="shared" si="37"/>
        <v>240</v>
      </c>
      <c r="G242" t="str">
        <f>_xlfn.LET(_xlpm.custom,_xlfn.XLOOKUP(F242,Data!A:A,Data!C:C),IF(_xlpm.custom="",_xlfn.XLOOKUP(F242,Data!A:A,Data!B:B),_xlpm.custom))</f>
        <v>Black Glasses</v>
      </c>
      <c r="H242" t="str">
        <f>_xlfn.XLOOKUP(C242,Data!A:A,Data!E:E)</f>
        <v>General</v>
      </c>
      <c r="J242">
        <f>IF(I242="",C242,_xlfn.XLOOKUP(I242,Data!E:E,Data!A:A,""))</f>
        <v>0</v>
      </c>
      <c r="L242">
        <f t="shared" si="31"/>
        <v>0</v>
      </c>
      <c r="M242">
        <f t="shared" si="32"/>
        <v>0</v>
      </c>
      <c r="N242">
        <f t="shared" si="40"/>
        <v>0</v>
      </c>
      <c r="O242">
        <f t="shared" si="33"/>
        <v>0</v>
      </c>
      <c r="P242">
        <f t="shared" si="34"/>
        <v>0</v>
      </c>
      <c r="R242" t="str">
        <f t="shared" si="35"/>
        <v>00</v>
      </c>
    </row>
    <row r="243" spans="1:18" x14ac:dyDescent="0.4">
      <c r="A243" s="1" t="str">
        <f t="shared" si="38"/>
        <v>078</v>
      </c>
      <c r="B243">
        <f t="shared" si="39"/>
        <v>1</v>
      </c>
      <c r="C243">
        <f>VALUE(MID(Hex!$C$2,1+2*HEX2DEC(A243)+B243,1))</f>
        <v>0</v>
      </c>
      <c r="D243" s="1" t="str">
        <f t="shared" si="36"/>
        <v>0F1</v>
      </c>
      <c r="E243">
        <f>HEX2DEC(MID(Hex!$C$8,1+HEX2DEC(Edit!D243)*2,2))</f>
        <v>0</v>
      </c>
      <c r="F243">
        <f t="shared" si="37"/>
        <v>241</v>
      </c>
      <c r="G243" t="str">
        <f>_xlfn.LET(_xlpm.custom,_xlfn.XLOOKUP(F243,Data!A:A,Data!C:C),IF(_xlpm.custom="",_xlfn.XLOOKUP(F243,Data!A:A,Data!B:B),_xlpm.custom))</f>
        <v>Black Belt</v>
      </c>
      <c r="H243" t="str">
        <f>_xlfn.XLOOKUP(C243,Data!A:A,Data!E:E)</f>
        <v>General</v>
      </c>
      <c r="J243">
        <f>IF(I243="",C243,_xlfn.XLOOKUP(I243,Data!E:E,Data!A:A,""))</f>
        <v>0</v>
      </c>
      <c r="L243">
        <f t="shared" si="31"/>
        <v>0</v>
      </c>
      <c r="M243">
        <f t="shared" si="32"/>
        <v>0</v>
      </c>
      <c r="N243">
        <f t="shared" si="40"/>
        <v>0</v>
      </c>
      <c r="O243">
        <f t="shared" si="33"/>
        <v>0</v>
      </c>
      <c r="P243">
        <f t="shared" si="34"/>
        <v>0</v>
      </c>
      <c r="R243" t="str">
        <f t="shared" si="35"/>
        <v>00</v>
      </c>
    </row>
    <row r="244" spans="1:18" x14ac:dyDescent="0.4">
      <c r="A244" s="1" t="str">
        <f t="shared" si="38"/>
        <v>079</v>
      </c>
      <c r="B244">
        <f t="shared" si="39"/>
        <v>0</v>
      </c>
      <c r="C244">
        <f>VALUE(MID(Hex!$C$2,1+2*HEX2DEC(A244)+B244,1))</f>
        <v>0</v>
      </c>
      <c r="D244" s="1" t="str">
        <f t="shared" si="36"/>
        <v>0F2</v>
      </c>
      <c r="E244">
        <f>HEX2DEC(MID(Hex!$C$8,1+HEX2DEC(Edit!D244)*2,2))</f>
        <v>0</v>
      </c>
      <c r="F244">
        <f t="shared" si="37"/>
        <v>242</v>
      </c>
      <c r="G244" t="str">
        <f>_xlfn.LET(_xlpm.custom,_xlfn.XLOOKUP(F244,Data!A:A,Data!C:C),IF(_xlpm.custom="",_xlfn.XLOOKUP(F244,Data!A:A,Data!B:B),_xlpm.custom))</f>
        <v>Magnet</v>
      </c>
      <c r="H244" t="str">
        <f>_xlfn.XLOOKUP(C244,Data!A:A,Data!E:E)</f>
        <v>General</v>
      </c>
      <c r="J244">
        <f>IF(I244="",C244,_xlfn.XLOOKUP(I244,Data!E:E,Data!A:A,""))</f>
        <v>0</v>
      </c>
      <c r="L244">
        <f t="shared" si="31"/>
        <v>0</v>
      </c>
      <c r="M244">
        <f t="shared" si="32"/>
        <v>0</v>
      </c>
      <c r="N244">
        <f t="shared" si="40"/>
        <v>0</v>
      </c>
      <c r="O244">
        <f t="shared" si="33"/>
        <v>0</v>
      </c>
      <c r="P244">
        <f t="shared" si="34"/>
        <v>0</v>
      </c>
      <c r="R244" t="str">
        <f t="shared" si="35"/>
        <v>00</v>
      </c>
    </row>
    <row r="245" spans="1:18" x14ac:dyDescent="0.4">
      <c r="A245" s="1" t="str">
        <f t="shared" si="38"/>
        <v>079</v>
      </c>
      <c r="B245">
        <f t="shared" si="39"/>
        <v>1</v>
      </c>
      <c r="C245">
        <f>VALUE(MID(Hex!$C$2,1+2*HEX2DEC(A245)+B245,1))</f>
        <v>0</v>
      </c>
      <c r="D245" s="1" t="str">
        <f t="shared" si="36"/>
        <v>0F3</v>
      </c>
      <c r="E245">
        <f>HEX2DEC(MID(Hex!$C$8,1+HEX2DEC(Edit!D245)*2,2))</f>
        <v>0</v>
      </c>
      <c r="F245">
        <f t="shared" si="37"/>
        <v>243</v>
      </c>
      <c r="G245" t="str">
        <f>_xlfn.LET(_xlpm.custom,_xlfn.XLOOKUP(F245,Data!A:A,Data!C:C),IF(_xlpm.custom="",_xlfn.XLOOKUP(F245,Data!A:A,Data!B:B),_xlpm.custom))</f>
        <v>Mystic Water</v>
      </c>
      <c r="H245" t="str">
        <f>_xlfn.XLOOKUP(C245,Data!A:A,Data!E:E)</f>
        <v>General</v>
      </c>
      <c r="J245">
        <f>IF(I245="",C245,_xlfn.XLOOKUP(I245,Data!E:E,Data!A:A,""))</f>
        <v>0</v>
      </c>
      <c r="L245">
        <f t="shared" si="31"/>
        <v>0</v>
      </c>
      <c r="M245">
        <f t="shared" si="32"/>
        <v>0</v>
      </c>
      <c r="N245">
        <f t="shared" si="40"/>
        <v>0</v>
      </c>
      <c r="O245">
        <f t="shared" si="33"/>
        <v>0</v>
      </c>
      <c r="P245">
        <f t="shared" si="34"/>
        <v>0</v>
      </c>
      <c r="R245" t="str">
        <f t="shared" si="35"/>
        <v>00</v>
      </c>
    </row>
    <row r="246" spans="1:18" x14ac:dyDescent="0.4">
      <c r="A246" s="1" t="str">
        <f t="shared" si="38"/>
        <v>07A</v>
      </c>
      <c r="B246">
        <f t="shared" si="39"/>
        <v>0</v>
      </c>
      <c r="C246">
        <f>VALUE(MID(Hex!$C$2,1+2*HEX2DEC(A246)+B246,1))</f>
        <v>0</v>
      </c>
      <c r="D246" s="1" t="str">
        <f t="shared" si="36"/>
        <v>0F4</v>
      </c>
      <c r="E246">
        <f>HEX2DEC(MID(Hex!$C$8,1+HEX2DEC(Edit!D246)*2,2))</f>
        <v>0</v>
      </c>
      <c r="F246">
        <f t="shared" si="37"/>
        <v>244</v>
      </c>
      <c r="G246" t="str">
        <f>_xlfn.LET(_xlpm.custom,_xlfn.XLOOKUP(F246,Data!A:A,Data!C:C),IF(_xlpm.custom="",_xlfn.XLOOKUP(F246,Data!A:A,Data!B:B),_xlpm.custom))</f>
        <v>Sharp Beak</v>
      </c>
      <c r="H246" t="str">
        <f>_xlfn.XLOOKUP(C246,Data!A:A,Data!E:E)</f>
        <v>General</v>
      </c>
      <c r="J246">
        <f>IF(I246="",C246,_xlfn.XLOOKUP(I246,Data!E:E,Data!A:A,""))</f>
        <v>0</v>
      </c>
      <c r="L246">
        <f t="shared" si="31"/>
        <v>0</v>
      </c>
      <c r="M246">
        <f t="shared" si="32"/>
        <v>0</v>
      </c>
      <c r="N246">
        <f t="shared" si="40"/>
        <v>0</v>
      </c>
      <c r="O246">
        <f t="shared" si="33"/>
        <v>0</v>
      </c>
      <c r="P246">
        <f t="shared" si="34"/>
        <v>0</v>
      </c>
      <c r="R246" t="str">
        <f t="shared" si="35"/>
        <v>00</v>
      </c>
    </row>
    <row r="247" spans="1:18" x14ac:dyDescent="0.4">
      <c r="A247" s="1" t="str">
        <f t="shared" si="38"/>
        <v>07A</v>
      </c>
      <c r="B247">
        <f t="shared" si="39"/>
        <v>1</v>
      </c>
      <c r="C247">
        <f>VALUE(MID(Hex!$C$2,1+2*HEX2DEC(A247)+B247,1))</f>
        <v>0</v>
      </c>
      <c r="D247" s="1" t="str">
        <f t="shared" si="36"/>
        <v>0F5</v>
      </c>
      <c r="E247">
        <f>HEX2DEC(MID(Hex!$C$8,1+HEX2DEC(Edit!D247)*2,2))</f>
        <v>0</v>
      </c>
      <c r="F247">
        <f t="shared" si="37"/>
        <v>245</v>
      </c>
      <c r="G247" t="str">
        <f>_xlfn.LET(_xlpm.custom,_xlfn.XLOOKUP(F247,Data!A:A,Data!C:C),IF(_xlpm.custom="",_xlfn.XLOOKUP(F247,Data!A:A,Data!B:B),_xlpm.custom))</f>
        <v>Poison Barb</v>
      </c>
      <c r="H247" t="str">
        <f>_xlfn.XLOOKUP(C247,Data!A:A,Data!E:E)</f>
        <v>General</v>
      </c>
      <c r="J247">
        <f>IF(I247="",C247,_xlfn.XLOOKUP(I247,Data!E:E,Data!A:A,""))</f>
        <v>0</v>
      </c>
      <c r="L247">
        <f t="shared" si="31"/>
        <v>0</v>
      </c>
      <c r="M247">
        <f t="shared" si="32"/>
        <v>0</v>
      </c>
      <c r="N247">
        <f t="shared" si="40"/>
        <v>0</v>
      </c>
      <c r="O247">
        <f t="shared" si="33"/>
        <v>0</v>
      </c>
      <c r="P247">
        <f t="shared" si="34"/>
        <v>0</v>
      </c>
      <c r="R247" t="str">
        <f t="shared" si="35"/>
        <v>00</v>
      </c>
    </row>
    <row r="248" spans="1:18" x14ac:dyDescent="0.4">
      <c r="A248" s="1" t="str">
        <f t="shared" si="38"/>
        <v>07B</v>
      </c>
      <c r="B248">
        <f t="shared" si="39"/>
        <v>0</v>
      </c>
      <c r="C248">
        <f>VALUE(MID(Hex!$C$2,1+2*HEX2DEC(A248)+B248,1))</f>
        <v>0</v>
      </c>
      <c r="D248" s="1" t="str">
        <f t="shared" si="36"/>
        <v>0F6</v>
      </c>
      <c r="E248">
        <f>HEX2DEC(MID(Hex!$C$8,1+HEX2DEC(Edit!D248)*2,2))</f>
        <v>0</v>
      </c>
      <c r="F248">
        <f t="shared" si="37"/>
        <v>246</v>
      </c>
      <c r="G248" t="str">
        <f>_xlfn.LET(_xlpm.custom,_xlfn.XLOOKUP(F248,Data!A:A,Data!C:C),IF(_xlpm.custom="",_xlfn.XLOOKUP(F248,Data!A:A,Data!B:B),_xlpm.custom))</f>
        <v>Never-Melt Ice</v>
      </c>
      <c r="H248" t="str">
        <f>_xlfn.XLOOKUP(C248,Data!A:A,Data!E:E)</f>
        <v>General</v>
      </c>
      <c r="J248">
        <f>IF(I248="",C248,_xlfn.XLOOKUP(I248,Data!E:E,Data!A:A,""))</f>
        <v>0</v>
      </c>
      <c r="L248">
        <f t="shared" si="31"/>
        <v>0</v>
      </c>
      <c r="M248">
        <f t="shared" si="32"/>
        <v>0</v>
      </c>
      <c r="N248">
        <f t="shared" si="40"/>
        <v>0</v>
      </c>
      <c r="O248">
        <f t="shared" si="33"/>
        <v>0</v>
      </c>
      <c r="P248">
        <f t="shared" si="34"/>
        <v>0</v>
      </c>
      <c r="R248" t="str">
        <f t="shared" si="35"/>
        <v>00</v>
      </c>
    </row>
    <row r="249" spans="1:18" x14ac:dyDescent="0.4">
      <c r="A249" s="1" t="str">
        <f t="shared" si="38"/>
        <v>07B</v>
      </c>
      <c r="B249">
        <f t="shared" si="39"/>
        <v>1</v>
      </c>
      <c r="C249">
        <f>VALUE(MID(Hex!$C$2,1+2*HEX2DEC(A249)+B249,1))</f>
        <v>0</v>
      </c>
      <c r="D249" s="1" t="str">
        <f t="shared" si="36"/>
        <v>0F7</v>
      </c>
      <c r="E249">
        <f>HEX2DEC(MID(Hex!$C$8,1+HEX2DEC(Edit!D249)*2,2))</f>
        <v>0</v>
      </c>
      <c r="F249">
        <f t="shared" si="37"/>
        <v>247</v>
      </c>
      <c r="G249" t="str">
        <f>_xlfn.LET(_xlpm.custom,_xlfn.XLOOKUP(F249,Data!A:A,Data!C:C),IF(_xlpm.custom="",_xlfn.XLOOKUP(F249,Data!A:A,Data!B:B),_xlpm.custom))</f>
        <v>Spell Tag</v>
      </c>
      <c r="H249" t="str">
        <f>_xlfn.XLOOKUP(C249,Data!A:A,Data!E:E)</f>
        <v>General</v>
      </c>
      <c r="J249">
        <f>IF(I249="",C249,_xlfn.XLOOKUP(I249,Data!E:E,Data!A:A,""))</f>
        <v>0</v>
      </c>
      <c r="L249">
        <f t="shared" si="31"/>
        <v>0</v>
      </c>
      <c r="M249">
        <f t="shared" si="32"/>
        <v>0</v>
      </c>
      <c r="N249">
        <f t="shared" si="40"/>
        <v>0</v>
      </c>
      <c r="O249">
        <f t="shared" si="33"/>
        <v>0</v>
      </c>
      <c r="P249">
        <f t="shared" si="34"/>
        <v>0</v>
      </c>
      <c r="R249" t="str">
        <f t="shared" si="35"/>
        <v>00</v>
      </c>
    </row>
    <row r="250" spans="1:18" x14ac:dyDescent="0.4">
      <c r="A250" s="1" t="str">
        <f t="shared" si="38"/>
        <v>07C</v>
      </c>
      <c r="B250">
        <f t="shared" si="39"/>
        <v>0</v>
      </c>
      <c r="C250">
        <f>VALUE(MID(Hex!$C$2,1+2*HEX2DEC(A250)+B250,1))</f>
        <v>0</v>
      </c>
      <c r="D250" s="1" t="str">
        <f t="shared" si="36"/>
        <v>0F8</v>
      </c>
      <c r="E250">
        <f>HEX2DEC(MID(Hex!$C$8,1+HEX2DEC(Edit!D250)*2,2))</f>
        <v>0</v>
      </c>
      <c r="F250">
        <f t="shared" si="37"/>
        <v>248</v>
      </c>
      <c r="G250" t="str">
        <f>_xlfn.LET(_xlpm.custom,_xlfn.XLOOKUP(F250,Data!A:A,Data!C:C),IF(_xlpm.custom="",_xlfn.XLOOKUP(F250,Data!A:A,Data!B:B),_xlpm.custom))</f>
        <v>Twisted Spoon</v>
      </c>
      <c r="H250" t="str">
        <f>_xlfn.XLOOKUP(C250,Data!A:A,Data!E:E)</f>
        <v>General</v>
      </c>
      <c r="J250">
        <f>IF(I250="",C250,_xlfn.XLOOKUP(I250,Data!E:E,Data!A:A,""))</f>
        <v>0</v>
      </c>
      <c r="L250">
        <f t="shared" si="31"/>
        <v>0</v>
      </c>
      <c r="M250">
        <f t="shared" si="32"/>
        <v>0</v>
      </c>
      <c r="N250">
        <f t="shared" si="40"/>
        <v>0</v>
      </c>
      <c r="O250">
        <f t="shared" si="33"/>
        <v>0</v>
      </c>
      <c r="P250">
        <f t="shared" si="34"/>
        <v>0</v>
      </c>
      <c r="R250" t="str">
        <f t="shared" si="35"/>
        <v>00</v>
      </c>
    </row>
    <row r="251" spans="1:18" x14ac:dyDescent="0.4">
      <c r="A251" s="1" t="str">
        <f t="shared" si="38"/>
        <v>07C</v>
      </c>
      <c r="B251">
        <f t="shared" si="39"/>
        <v>1</v>
      </c>
      <c r="C251">
        <f>VALUE(MID(Hex!$C$2,1+2*HEX2DEC(A251)+B251,1))</f>
        <v>0</v>
      </c>
      <c r="D251" s="1" t="str">
        <f t="shared" si="36"/>
        <v>0F9</v>
      </c>
      <c r="E251">
        <f>HEX2DEC(MID(Hex!$C$8,1+HEX2DEC(Edit!D251)*2,2))</f>
        <v>0</v>
      </c>
      <c r="F251">
        <f t="shared" si="37"/>
        <v>249</v>
      </c>
      <c r="G251" t="str">
        <f>_xlfn.LET(_xlpm.custom,_xlfn.XLOOKUP(F251,Data!A:A,Data!C:C),IF(_xlpm.custom="",_xlfn.XLOOKUP(F251,Data!A:A,Data!B:B),_xlpm.custom))</f>
        <v>Charcoal</v>
      </c>
      <c r="H251" t="str">
        <f>_xlfn.XLOOKUP(C251,Data!A:A,Data!E:E)</f>
        <v>General</v>
      </c>
      <c r="J251">
        <f>IF(I251="",C251,_xlfn.XLOOKUP(I251,Data!E:E,Data!A:A,""))</f>
        <v>0</v>
      </c>
      <c r="L251">
        <f t="shared" si="31"/>
        <v>0</v>
      </c>
      <c r="M251">
        <f t="shared" si="32"/>
        <v>0</v>
      </c>
      <c r="N251">
        <f t="shared" si="40"/>
        <v>0</v>
      </c>
      <c r="O251">
        <f t="shared" si="33"/>
        <v>0</v>
      </c>
      <c r="P251">
        <f t="shared" si="34"/>
        <v>0</v>
      </c>
      <c r="R251" t="str">
        <f t="shared" si="35"/>
        <v>00</v>
      </c>
    </row>
    <row r="252" spans="1:18" x14ac:dyDescent="0.4">
      <c r="A252" s="1" t="str">
        <f t="shared" si="38"/>
        <v>07D</v>
      </c>
      <c r="B252">
        <f t="shared" si="39"/>
        <v>0</v>
      </c>
      <c r="C252">
        <f>VALUE(MID(Hex!$C$2,1+2*HEX2DEC(A252)+B252,1))</f>
        <v>0</v>
      </c>
      <c r="D252" s="1" t="str">
        <f t="shared" si="36"/>
        <v>0FA</v>
      </c>
      <c r="E252">
        <f>HEX2DEC(MID(Hex!$C$8,1+HEX2DEC(Edit!D252)*2,2))</f>
        <v>0</v>
      </c>
      <c r="F252">
        <f t="shared" si="37"/>
        <v>250</v>
      </c>
      <c r="G252" t="str">
        <f>_xlfn.LET(_xlpm.custom,_xlfn.XLOOKUP(F252,Data!A:A,Data!C:C),IF(_xlpm.custom="",_xlfn.XLOOKUP(F252,Data!A:A,Data!B:B),_xlpm.custom))</f>
        <v>Dragon Fang</v>
      </c>
      <c r="H252" t="str">
        <f>_xlfn.XLOOKUP(C252,Data!A:A,Data!E:E)</f>
        <v>General</v>
      </c>
      <c r="J252">
        <f>IF(I252="",C252,_xlfn.XLOOKUP(I252,Data!E:E,Data!A:A,""))</f>
        <v>0</v>
      </c>
      <c r="L252">
        <f t="shared" si="31"/>
        <v>0</v>
      </c>
      <c r="M252">
        <f t="shared" si="32"/>
        <v>0</v>
      </c>
      <c r="N252">
        <f t="shared" si="40"/>
        <v>0</v>
      </c>
      <c r="O252">
        <f t="shared" si="33"/>
        <v>0</v>
      </c>
      <c r="P252">
        <f t="shared" si="34"/>
        <v>0</v>
      </c>
      <c r="R252" t="str">
        <f t="shared" si="35"/>
        <v>00</v>
      </c>
    </row>
    <row r="253" spans="1:18" x14ac:dyDescent="0.4">
      <c r="A253" s="1" t="str">
        <f t="shared" si="38"/>
        <v>07D</v>
      </c>
      <c r="B253">
        <f t="shared" si="39"/>
        <v>1</v>
      </c>
      <c r="C253">
        <f>VALUE(MID(Hex!$C$2,1+2*HEX2DEC(A253)+B253,1))</f>
        <v>0</v>
      </c>
      <c r="D253" s="1" t="str">
        <f t="shared" si="36"/>
        <v>0FB</v>
      </c>
      <c r="E253">
        <f>HEX2DEC(MID(Hex!$C$8,1+HEX2DEC(Edit!D253)*2,2))</f>
        <v>0</v>
      </c>
      <c r="F253">
        <f t="shared" si="37"/>
        <v>251</v>
      </c>
      <c r="G253" t="str">
        <f>_xlfn.LET(_xlpm.custom,_xlfn.XLOOKUP(F253,Data!A:A,Data!C:C),IF(_xlpm.custom="",_xlfn.XLOOKUP(F253,Data!A:A,Data!B:B),_xlpm.custom))</f>
        <v>Silk Scarf</v>
      </c>
      <c r="H253" t="str">
        <f>_xlfn.XLOOKUP(C253,Data!A:A,Data!E:E)</f>
        <v>General</v>
      </c>
      <c r="J253">
        <f>IF(I253="",C253,_xlfn.XLOOKUP(I253,Data!E:E,Data!A:A,""))</f>
        <v>0</v>
      </c>
      <c r="L253">
        <f t="shared" si="31"/>
        <v>0</v>
      </c>
      <c r="M253">
        <f t="shared" si="32"/>
        <v>0</v>
      </c>
      <c r="N253">
        <f t="shared" si="40"/>
        <v>0</v>
      </c>
      <c r="O253">
        <f t="shared" si="33"/>
        <v>0</v>
      </c>
      <c r="P253">
        <f t="shared" si="34"/>
        <v>0</v>
      </c>
      <c r="R253" t="str">
        <f t="shared" si="35"/>
        <v>00</v>
      </c>
    </row>
    <row r="254" spans="1:18" x14ac:dyDescent="0.4">
      <c r="A254" s="1" t="str">
        <f t="shared" si="38"/>
        <v>07E</v>
      </c>
      <c r="B254">
        <f t="shared" si="39"/>
        <v>0</v>
      </c>
      <c r="C254">
        <f>VALUE(MID(Hex!$C$2,1+2*HEX2DEC(A254)+B254,1))</f>
        <v>0</v>
      </c>
      <c r="D254" s="1" t="str">
        <f t="shared" si="36"/>
        <v>0FC</v>
      </c>
      <c r="E254">
        <f>HEX2DEC(MID(Hex!$C$8,1+HEX2DEC(Edit!D254)*2,2))</f>
        <v>0</v>
      </c>
      <c r="F254">
        <f t="shared" si="37"/>
        <v>252</v>
      </c>
      <c r="G254" t="str">
        <f>_xlfn.LET(_xlpm.custom,_xlfn.XLOOKUP(F254,Data!A:A,Data!C:C),IF(_xlpm.custom="",_xlfn.XLOOKUP(F254,Data!A:A,Data!B:B),_xlpm.custom))</f>
        <v>Up-Grade</v>
      </c>
      <c r="H254" t="str">
        <f>_xlfn.XLOOKUP(C254,Data!A:A,Data!E:E)</f>
        <v>General</v>
      </c>
      <c r="J254">
        <f>IF(I254="",C254,_xlfn.XLOOKUP(I254,Data!E:E,Data!A:A,""))</f>
        <v>0</v>
      </c>
      <c r="L254">
        <f t="shared" si="31"/>
        <v>0</v>
      </c>
      <c r="M254">
        <f t="shared" si="32"/>
        <v>0</v>
      </c>
      <c r="N254">
        <f t="shared" si="40"/>
        <v>0</v>
      </c>
      <c r="O254">
        <f t="shared" si="33"/>
        <v>0</v>
      </c>
      <c r="P254">
        <f t="shared" si="34"/>
        <v>0</v>
      </c>
      <c r="R254" t="str">
        <f t="shared" si="35"/>
        <v>00</v>
      </c>
    </row>
    <row r="255" spans="1:18" x14ac:dyDescent="0.4">
      <c r="A255" s="1" t="str">
        <f t="shared" si="38"/>
        <v>07E</v>
      </c>
      <c r="B255">
        <f t="shared" si="39"/>
        <v>1</v>
      </c>
      <c r="C255">
        <f>VALUE(MID(Hex!$C$2,1+2*HEX2DEC(A255)+B255,1))</f>
        <v>0</v>
      </c>
      <c r="D255" s="1" t="str">
        <f t="shared" si="36"/>
        <v>0FD</v>
      </c>
      <c r="E255">
        <f>HEX2DEC(MID(Hex!$C$8,1+HEX2DEC(Edit!D255)*2,2))</f>
        <v>0</v>
      </c>
      <c r="F255">
        <f t="shared" si="37"/>
        <v>253</v>
      </c>
      <c r="G255" t="str">
        <f>_xlfn.LET(_xlpm.custom,_xlfn.XLOOKUP(F255,Data!A:A,Data!C:C),IF(_xlpm.custom="",_xlfn.XLOOKUP(F255,Data!A:A,Data!B:B),_xlpm.custom))</f>
        <v>Shell Bell</v>
      </c>
      <c r="H255" t="str">
        <f>_xlfn.XLOOKUP(C255,Data!A:A,Data!E:E)</f>
        <v>General</v>
      </c>
      <c r="J255">
        <f>IF(I255="",C255,_xlfn.XLOOKUP(I255,Data!E:E,Data!A:A,""))</f>
        <v>0</v>
      </c>
      <c r="L255">
        <f t="shared" si="31"/>
        <v>0</v>
      </c>
      <c r="M255">
        <f t="shared" si="32"/>
        <v>0</v>
      </c>
      <c r="N255">
        <f t="shared" si="40"/>
        <v>0</v>
      </c>
      <c r="O255">
        <f t="shared" si="33"/>
        <v>0</v>
      </c>
      <c r="P255">
        <f t="shared" si="34"/>
        <v>0</v>
      </c>
      <c r="R255" t="str">
        <f t="shared" si="35"/>
        <v>00</v>
      </c>
    </row>
    <row r="256" spans="1:18" x14ac:dyDescent="0.4">
      <c r="A256" s="1" t="str">
        <f t="shared" si="38"/>
        <v>07F</v>
      </c>
      <c r="B256">
        <f t="shared" si="39"/>
        <v>0</v>
      </c>
      <c r="C256">
        <f>VALUE(MID(Hex!$C$2,1+2*HEX2DEC(A256)+B256,1))</f>
        <v>0</v>
      </c>
      <c r="D256" s="1" t="str">
        <f t="shared" si="36"/>
        <v>0FE</v>
      </c>
      <c r="E256">
        <f>HEX2DEC(MID(Hex!$C$8,1+HEX2DEC(Edit!D256)*2,2))</f>
        <v>0</v>
      </c>
      <c r="F256">
        <f t="shared" si="37"/>
        <v>254</v>
      </c>
      <c r="G256" t="str">
        <f>_xlfn.LET(_xlpm.custom,_xlfn.XLOOKUP(F256,Data!A:A,Data!C:C),IF(_xlpm.custom="",_xlfn.XLOOKUP(F256,Data!A:A,Data!B:B),_xlpm.custom))</f>
        <v>Sea Incense</v>
      </c>
      <c r="H256" t="str">
        <f>_xlfn.XLOOKUP(C256,Data!A:A,Data!E:E)</f>
        <v>General</v>
      </c>
      <c r="J256">
        <f>IF(I256="",C256,_xlfn.XLOOKUP(I256,Data!E:E,Data!A:A,""))</f>
        <v>0</v>
      </c>
      <c r="L256">
        <f t="shared" si="31"/>
        <v>0</v>
      </c>
      <c r="M256">
        <f t="shared" si="32"/>
        <v>0</v>
      </c>
      <c r="N256">
        <f t="shared" si="40"/>
        <v>0</v>
      </c>
      <c r="O256">
        <f t="shared" si="33"/>
        <v>0</v>
      </c>
      <c r="P256">
        <f t="shared" si="34"/>
        <v>0</v>
      </c>
      <c r="R256" t="str">
        <f t="shared" si="35"/>
        <v>00</v>
      </c>
    </row>
    <row r="257" spans="1:18" x14ac:dyDescent="0.4">
      <c r="A257" s="1" t="str">
        <f t="shared" si="38"/>
        <v>07F</v>
      </c>
      <c r="B257">
        <f t="shared" si="39"/>
        <v>1</v>
      </c>
      <c r="C257">
        <f>VALUE(MID(Hex!$C$2,1+2*HEX2DEC(A257)+B257,1))</f>
        <v>0</v>
      </c>
      <c r="D257" s="1" t="str">
        <f t="shared" si="36"/>
        <v>0FF</v>
      </c>
      <c r="E257">
        <f>HEX2DEC(MID(Hex!$C$8,1+HEX2DEC(Edit!D257)*2,2))</f>
        <v>0</v>
      </c>
      <c r="F257">
        <f t="shared" si="37"/>
        <v>255</v>
      </c>
      <c r="G257" t="str">
        <f>_xlfn.LET(_xlpm.custom,_xlfn.XLOOKUP(F257,Data!A:A,Data!C:C),IF(_xlpm.custom="",_xlfn.XLOOKUP(F257,Data!A:A,Data!B:B),_xlpm.custom))</f>
        <v>Lax Incense</v>
      </c>
      <c r="H257" t="str">
        <f>_xlfn.XLOOKUP(C257,Data!A:A,Data!E:E)</f>
        <v>General</v>
      </c>
      <c r="J257">
        <f>IF(I257="",C257,_xlfn.XLOOKUP(I257,Data!E:E,Data!A:A,""))</f>
        <v>0</v>
      </c>
      <c r="L257">
        <f t="shared" si="31"/>
        <v>0</v>
      </c>
      <c r="M257">
        <f t="shared" si="32"/>
        <v>0</v>
      </c>
      <c r="N257">
        <f t="shared" si="40"/>
        <v>0</v>
      </c>
      <c r="O257">
        <f t="shared" si="33"/>
        <v>0</v>
      </c>
      <c r="P257">
        <f t="shared" si="34"/>
        <v>0</v>
      </c>
      <c r="R257" t="str">
        <f t="shared" si="35"/>
        <v>00</v>
      </c>
    </row>
    <row r="258" spans="1:18" x14ac:dyDescent="0.4">
      <c r="A258" s="1" t="str">
        <f t="shared" si="38"/>
        <v>080</v>
      </c>
      <c r="B258">
        <f t="shared" si="39"/>
        <v>0</v>
      </c>
      <c r="C258">
        <f>VALUE(MID(Hex!$C$2,1+2*HEX2DEC(A258)+B258,1))</f>
        <v>0</v>
      </c>
      <c r="D258" s="1" t="str">
        <f t="shared" si="36"/>
        <v>100</v>
      </c>
      <c r="E258">
        <f>HEX2DEC(MID(Hex!$C$8,1+HEX2DEC(Edit!D258)*2,2))</f>
        <v>0</v>
      </c>
      <c r="F258">
        <f t="shared" si="37"/>
        <v>256</v>
      </c>
      <c r="G258" t="str">
        <f>_xlfn.LET(_xlpm.custom,_xlfn.XLOOKUP(F258,Data!A:A,Data!C:C),IF(_xlpm.custom="",_xlfn.XLOOKUP(F258,Data!A:A,Data!B:B),_xlpm.custom))</f>
        <v>Lucky Punch</v>
      </c>
      <c r="H258" t="str">
        <f>_xlfn.XLOOKUP(C258,Data!A:A,Data!E:E)</f>
        <v>General</v>
      </c>
      <c r="J258">
        <f>IF(I258="",C258,_xlfn.XLOOKUP(I258,Data!E:E,Data!A:A,""))</f>
        <v>0</v>
      </c>
      <c r="L258">
        <f t="shared" si="31"/>
        <v>0</v>
      </c>
      <c r="M258">
        <f t="shared" si="32"/>
        <v>0</v>
      </c>
      <c r="N258">
        <f t="shared" si="40"/>
        <v>0</v>
      </c>
      <c r="O258">
        <f t="shared" si="33"/>
        <v>0</v>
      </c>
      <c r="P258">
        <f t="shared" si="34"/>
        <v>0</v>
      </c>
      <c r="R258" t="str">
        <f t="shared" si="35"/>
        <v>00</v>
      </c>
    </row>
    <row r="259" spans="1:18" x14ac:dyDescent="0.4">
      <c r="A259" s="1" t="str">
        <f t="shared" si="38"/>
        <v>080</v>
      </c>
      <c r="B259">
        <f t="shared" si="39"/>
        <v>1</v>
      </c>
      <c r="C259">
        <f>VALUE(MID(Hex!$C$2,1+2*HEX2DEC(A259)+B259,1))</f>
        <v>0</v>
      </c>
      <c r="D259" s="1" t="str">
        <f t="shared" si="36"/>
        <v>101</v>
      </c>
      <c r="E259">
        <f>HEX2DEC(MID(Hex!$C$8,1+HEX2DEC(Edit!D259)*2,2))</f>
        <v>0</v>
      </c>
      <c r="F259">
        <f t="shared" si="37"/>
        <v>257</v>
      </c>
      <c r="G259" t="str">
        <f>_xlfn.LET(_xlpm.custom,_xlfn.XLOOKUP(F259,Data!A:A,Data!C:C),IF(_xlpm.custom="",_xlfn.XLOOKUP(F259,Data!A:A,Data!B:B),_xlpm.custom))</f>
        <v>Metal Powder</v>
      </c>
      <c r="H259" t="str">
        <f>_xlfn.XLOOKUP(C259,Data!A:A,Data!E:E)</f>
        <v>General</v>
      </c>
      <c r="J259">
        <f>IF(I259="",C259,_xlfn.XLOOKUP(I259,Data!E:E,Data!A:A,""))</f>
        <v>0</v>
      </c>
      <c r="L259">
        <f t="shared" ref="L259:L322" si="41">_xlfn.BITAND(E259,1)</f>
        <v>0</v>
      </c>
      <c r="M259">
        <f t="shared" ref="M259:M322" si="42">_xlfn.BITAND($E259,2)</f>
        <v>0</v>
      </c>
      <c r="N259">
        <f t="shared" si="40"/>
        <v>0</v>
      </c>
      <c r="O259">
        <f t="shared" ref="O259:O322" si="43">_xlfn.BITAND($E259,8)</f>
        <v>0</v>
      </c>
      <c r="P259">
        <f t="shared" ref="P259:P322" si="44">_xlfn.BITAND($E259,16)</f>
        <v>0</v>
      </c>
      <c r="R259" t="str">
        <f t="shared" ref="R259:R322" si="45">DEC2HEX(SUM(L259:P259),2)</f>
        <v>00</v>
      </c>
    </row>
    <row r="260" spans="1:18" x14ac:dyDescent="0.4">
      <c r="A260" s="1" t="str">
        <f t="shared" si="38"/>
        <v>081</v>
      </c>
      <c r="B260">
        <f t="shared" si="39"/>
        <v>0</v>
      </c>
      <c r="C260">
        <f>VALUE(MID(Hex!$C$2,1+2*HEX2DEC(A260)+B260,1))</f>
        <v>0</v>
      </c>
      <c r="D260" s="1" t="str">
        <f t="shared" ref="D260:D323" si="46">DEC2HEX(1+HEX2DEC(D259),3)</f>
        <v>102</v>
      </c>
      <c r="E260">
        <f>HEX2DEC(MID(Hex!$C$8,1+HEX2DEC(Edit!D260)*2,2))</f>
        <v>0</v>
      </c>
      <c r="F260">
        <f t="shared" ref="F260:F323" si="47">F259+1</f>
        <v>258</v>
      </c>
      <c r="G260" t="str">
        <f>_xlfn.LET(_xlpm.custom,_xlfn.XLOOKUP(F260,Data!A:A,Data!C:C),IF(_xlpm.custom="",_xlfn.XLOOKUP(F260,Data!A:A,Data!B:B),_xlpm.custom))</f>
        <v>Thick Club</v>
      </c>
      <c r="H260" t="str">
        <f>_xlfn.XLOOKUP(C260,Data!A:A,Data!E:E)</f>
        <v>General</v>
      </c>
      <c r="J260">
        <f>IF(I260="",C260,_xlfn.XLOOKUP(I260,Data!E:E,Data!A:A,""))</f>
        <v>0</v>
      </c>
      <c r="L260">
        <f t="shared" si="41"/>
        <v>0</v>
      </c>
      <c r="M260">
        <f t="shared" si="42"/>
        <v>0</v>
      </c>
      <c r="N260">
        <f t="shared" si="40"/>
        <v>0</v>
      </c>
      <c r="O260">
        <f t="shared" si="43"/>
        <v>0</v>
      </c>
      <c r="P260">
        <f t="shared" si="44"/>
        <v>0</v>
      </c>
      <c r="R260" t="str">
        <f t="shared" si="45"/>
        <v>00</v>
      </c>
    </row>
    <row r="261" spans="1:18" x14ac:dyDescent="0.4">
      <c r="A261" s="1" t="str">
        <f t="shared" ref="A261:A324" si="48">DEC2HEX(1+HEX2DEC(A259),3)</f>
        <v>081</v>
      </c>
      <c r="B261">
        <f t="shared" ref="B261:B324" si="49">B259</f>
        <v>1</v>
      </c>
      <c r="C261">
        <f>VALUE(MID(Hex!$C$2,1+2*HEX2DEC(A261)+B261,1))</f>
        <v>0</v>
      </c>
      <c r="D261" s="1" t="str">
        <f t="shared" si="46"/>
        <v>103</v>
      </c>
      <c r="E261">
        <f>HEX2DEC(MID(Hex!$C$8,1+HEX2DEC(Edit!D261)*2,2))</f>
        <v>0</v>
      </c>
      <c r="F261">
        <f t="shared" si="47"/>
        <v>259</v>
      </c>
      <c r="G261" t="str">
        <f>_xlfn.LET(_xlpm.custom,_xlfn.XLOOKUP(F261,Data!A:A,Data!C:C),IF(_xlpm.custom="",_xlfn.XLOOKUP(F261,Data!A:A,Data!B:B),_xlpm.custom))</f>
        <v>Leek</v>
      </c>
      <c r="H261" t="str">
        <f>_xlfn.XLOOKUP(C261,Data!A:A,Data!E:E)</f>
        <v>General</v>
      </c>
      <c r="J261">
        <f>IF(I261="",C261,_xlfn.XLOOKUP(I261,Data!E:E,Data!A:A,""))</f>
        <v>0</v>
      </c>
      <c r="L261">
        <f t="shared" si="41"/>
        <v>0</v>
      </c>
      <c r="M261">
        <f t="shared" si="42"/>
        <v>0</v>
      </c>
      <c r="N261">
        <f t="shared" si="40"/>
        <v>0</v>
      </c>
      <c r="O261">
        <f t="shared" si="43"/>
        <v>0</v>
      </c>
      <c r="P261">
        <f t="shared" si="44"/>
        <v>0</v>
      </c>
      <c r="R261" t="str">
        <f t="shared" si="45"/>
        <v>00</v>
      </c>
    </row>
    <row r="262" spans="1:18" x14ac:dyDescent="0.4">
      <c r="A262" s="1" t="str">
        <f t="shared" si="48"/>
        <v>082</v>
      </c>
      <c r="B262">
        <f t="shared" si="49"/>
        <v>0</v>
      </c>
      <c r="C262">
        <f>VALUE(MID(Hex!$C$2,1+2*HEX2DEC(A262)+B262,1))</f>
        <v>0</v>
      </c>
      <c r="D262" s="1" t="str">
        <f t="shared" si="46"/>
        <v>104</v>
      </c>
      <c r="E262">
        <f>HEX2DEC(MID(Hex!$C$8,1+HEX2DEC(Edit!D262)*2,2))</f>
        <v>0</v>
      </c>
      <c r="F262">
        <f t="shared" si="47"/>
        <v>260</v>
      </c>
      <c r="G262" t="str">
        <f>_xlfn.LET(_xlpm.custom,_xlfn.XLOOKUP(F262,Data!A:A,Data!C:C),IF(_xlpm.custom="",_xlfn.XLOOKUP(F262,Data!A:A,Data!B:B),_xlpm.custom))</f>
        <v>Red Scarf</v>
      </c>
      <c r="H262" t="str">
        <f>_xlfn.XLOOKUP(C262,Data!A:A,Data!E:E)</f>
        <v>General</v>
      </c>
      <c r="J262">
        <f>IF(I262="",C262,_xlfn.XLOOKUP(I262,Data!E:E,Data!A:A,""))</f>
        <v>0</v>
      </c>
      <c r="L262">
        <f t="shared" si="41"/>
        <v>0</v>
      </c>
      <c r="M262">
        <f t="shared" si="42"/>
        <v>0</v>
      </c>
      <c r="N262">
        <f t="shared" si="40"/>
        <v>0</v>
      </c>
      <c r="O262">
        <f t="shared" si="43"/>
        <v>0</v>
      </c>
      <c r="P262">
        <f t="shared" si="44"/>
        <v>0</v>
      </c>
      <c r="R262" t="str">
        <f t="shared" si="45"/>
        <v>00</v>
      </c>
    </row>
    <row r="263" spans="1:18" x14ac:dyDescent="0.4">
      <c r="A263" s="1" t="str">
        <f t="shared" si="48"/>
        <v>082</v>
      </c>
      <c r="B263">
        <f t="shared" si="49"/>
        <v>1</v>
      </c>
      <c r="C263">
        <f>VALUE(MID(Hex!$C$2,1+2*HEX2DEC(A263)+B263,1))</f>
        <v>0</v>
      </c>
      <c r="D263" s="1" t="str">
        <f t="shared" si="46"/>
        <v>105</v>
      </c>
      <c r="E263">
        <f>HEX2DEC(MID(Hex!$C$8,1+HEX2DEC(Edit!D263)*2,2))</f>
        <v>0</v>
      </c>
      <c r="F263">
        <f t="shared" si="47"/>
        <v>261</v>
      </c>
      <c r="G263" t="str">
        <f>_xlfn.LET(_xlpm.custom,_xlfn.XLOOKUP(F263,Data!A:A,Data!C:C),IF(_xlpm.custom="",_xlfn.XLOOKUP(F263,Data!A:A,Data!B:B),_xlpm.custom))</f>
        <v>Blue Scarf</v>
      </c>
      <c r="H263" t="str">
        <f>_xlfn.XLOOKUP(C263,Data!A:A,Data!E:E)</f>
        <v>General</v>
      </c>
      <c r="J263">
        <f>IF(I263="",C263,_xlfn.XLOOKUP(I263,Data!E:E,Data!A:A,""))</f>
        <v>0</v>
      </c>
      <c r="L263">
        <f t="shared" si="41"/>
        <v>0</v>
      </c>
      <c r="M263">
        <f t="shared" si="42"/>
        <v>0</v>
      </c>
      <c r="N263">
        <f t="shared" si="40"/>
        <v>0</v>
      </c>
      <c r="O263">
        <f t="shared" si="43"/>
        <v>0</v>
      </c>
      <c r="P263">
        <f t="shared" si="44"/>
        <v>0</v>
      </c>
      <c r="R263" t="str">
        <f t="shared" si="45"/>
        <v>00</v>
      </c>
    </row>
    <row r="264" spans="1:18" x14ac:dyDescent="0.4">
      <c r="A264" s="1" t="str">
        <f t="shared" si="48"/>
        <v>083</v>
      </c>
      <c r="B264">
        <f t="shared" si="49"/>
        <v>0</v>
      </c>
      <c r="C264">
        <f>VALUE(MID(Hex!$C$2,1+2*HEX2DEC(A264)+B264,1))</f>
        <v>0</v>
      </c>
      <c r="D264" s="1" t="str">
        <f t="shared" si="46"/>
        <v>106</v>
      </c>
      <c r="E264">
        <f>HEX2DEC(MID(Hex!$C$8,1+HEX2DEC(Edit!D264)*2,2))</f>
        <v>0</v>
      </c>
      <c r="F264">
        <f t="shared" si="47"/>
        <v>262</v>
      </c>
      <c r="G264" t="str">
        <f>_xlfn.LET(_xlpm.custom,_xlfn.XLOOKUP(F264,Data!A:A,Data!C:C),IF(_xlpm.custom="",_xlfn.XLOOKUP(F264,Data!A:A,Data!B:B),_xlpm.custom))</f>
        <v>Pink Scarf</v>
      </c>
      <c r="H264" t="str">
        <f>_xlfn.XLOOKUP(C264,Data!A:A,Data!E:E)</f>
        <v>General</v>
      </c>
      <c r="J264">
        <f>IF(I264="",C264,_xlfn.XLOOKUP(I264,Data!E:E,Data!A:A,""))</f>
        <v>0</v>
      </c>
      <c r="L264">
        <f t="shared" si="41"/>
        <v>0</v>
      </c>
      <c r="M264">
        <f t="shared" si="42"/>
        <v>0</v>
      </c>
      <c r="N264">
        <f t="shared" si="40"/>
        <v>0</v>
      </c>
      <c r="O264">
        <f t="shared" si="43"/>
        <v>0</v>
      </c>
      <c r="P264">
        <f t="shared" si="44"/>
        <v>0</v>
      </c>
      <c r="R264" t="str">
        <f t="shared" si="45"/>
        <v>00</v>
      </c>
    </row>
    <row r="265" spans="1:18" x14ac:dyDescent="0.4">
      <c r="A265" s="1" t="str">
        <f t="shared" si="48"/>
        <v>083</v>
      </c>
      <c r="B265">
        <f t="shared" si="49"/>
        <v>1</v>
      </c>
      <c r="C265">
        <f>VALUE(MID(Hex!$C$2,1+2*HEX2DEC(A265)+B265,1))</f>
        <v>0</v>
      </c>
      <c r="D265" s="1" t="str">
        <f t="shared" si="46"/>
        <v>107</v>
      </c>
      <c r="E265">
        <f>HEX2DEC(MID(Hex!$C$8,1+HEX2DEC(Edit!D265)*2,2))</f>
        <v>0</v>
      </c>
      <c r="F265">
        <f t="shared" si="47"/>
        <v>263</v>
      </c>
      <c r="G265" t="str">
        <f>_xlfn.LET(_xlpm.custom,_xlfn.XLOOKUP(F265,Data!A:A,Data!C:C),IF(_xlpm.custom="",_xlfn.XLOOKUP(F265,Data!A:A,Data!B:B),_xlpm.custom))</f>
        <v>Green Scarf</v>
      </c>
      <c r="H265" t="str">
        <f>_xlfn.XLOOKUP(C265,Data!A:A,Data!E:E)</f>
        <v>General</v>
      </c>
      <c r="J265">
        <f>IF(I265="",C265,_xlfn.XLOOKUP(I265,Data!E:E,Data!A:A,""))</f>
        <v>0</v>
      </c>
      <c r="L265">
        <f t="shared" si="41"/>
        <v>0</v>
      </c>
      <c r="M265">
        <f t="shared" si="42"/>
        <v>0</v>
      </c>
      <c r="N265">
        <f t="shared" si="40"/>
        <v>0</v>
      </c>
      <c r="O265">
        <f t="shared" si="43"/>
        <v>0</v>
      </c>
      <c r="P265">
        <f t="shared" si="44"/>
        <v>0</v>
      </c>
      <c r="R265" t="str">
        <f t="shared" si="45"/>
        <v>00</v>
      </c>
    </row>
    <row r="266" spans="1:18" x14ac:dyDescent="0.4">
      <c r="A266" s="1" t="str">
        <f t="shared" si="48"/>
        <v>084</v>
      </c>
      <c r="B266">
        <f t="shared" si="49"/>
        <v>0</v>
      </c>
      <c r="C266">
        <f>VALUE(MID(Hex!$C$2,1+2*HEX2DEC(A266)+B266,1))</f>
        <v>0</v>
      </c>
      <c r="D266" s="1" t="str">
        <f t="shared" si="46"/>
        <v>108</v>
      </c>
      <c r="E266">
        <f>HEX2DEC(MID(Hex!$C$8,1+HEX2DEC(Edit!D266)*2,2))</f>
        <v>0</v>
      </c>
      <c r="F266">
        <f t="shared" si="47"/>
        <v>264</v>
      </c>
      <c r="G266" t="str">
        <f>_xlfn.LET(_xlpm.custom,_xlfn.XLOOKUP(F266,Data!A:A,Data!C:C),IF(_xlpm.custom="",_xlfn.XLOOKUP(F266,Data!A:A,Data!B:B),_xlpm.custom))</f>
        <v>Yellow Scarf</v>
      </c>
      <c r="H266" t="str">
        <f>_xlfn.XLOOKUP(C266,Data!A:A,Data!E:E)</f>
        <v>General</v>
      </c>
      <c r="J266">
        <f>IF(I266="",C266,_xlfn.XLOOKUP(I266,Data!E:E,Data!A:A,""))</f>
        <v>0</v>
      </c>
      <c r="L266">
        <f t="shared" si="41"/>
        <v>0</v>
      </c>
      <c r="M266">
        <f t="shared" si="42"/>
        <v>0</v>
      </c>
      <c r="N266">
        <f t="shared" si="40"/>
        <v>0</v>
      </c>
      <c r="O266">
        <f t="shared" si="43"/>
        <v>0</v>
      </c>
      <c r="P266">
        <f t="shared" si="44"/>
        <v>0</v>
      </c>
      <c r="R266" t="str">
        <f t="shared" si="45"/>
        <v>00</v>
      </c>
    </row>
    <row r="267" spans="1:18" x14ac:dyDescent="0.4">
      <c r="A267" s="1" t="str">
        <f t="shared" si="48"/>
        <v>084</v>
      </c>
      <c r="B267">
        <f t="shared" si="49"/>
        <v>1</v>
      </c>
      <c r="C267">
        <f>VALUE(MID(Hex!$C$2,1+2*HEX2DEC(A267)+B267,1))</f>
        <v>0</v>
      </c>
      <c r="D267" s="1" t="str">
        <f t="shared" si="46"/>
        <v>109</v>
      </c>
      <c r="E267">
        <f>HEX2DEC(MID(Hex!$C$8,1+HEX2DEC(Edit!D267)*2,2))</f>
        <v>0</v>
      </c>
      <c r="F267">
        <f t="shared" si="47"/>
        <v>265</v>
      </c>
      <c r="G267" t="str">
        <f>_xlfn.LET(_xlpm.custom,_xlfn.XLOOKUP(F267,Data!A:A,Data!C:C),IF(_xlpm.custom="",_xlfn.XLOOKUP(F267,Data!A:A,Data!B:B),_xlpm.custom))</f>
        <v>Wide Lens</v>
      </c>
      <c r="H267" t="str">
        <f>_xlfn.XLOOKUP(C267,Data!A:A,Data!E:E)</f>
        <v>General</v>
      </c>
      <c r="J267">
        <f>IF(I267="",C267,_xlfn.XLOOKUP(I267,Data!E:E,Data!A:A,""))</f>
        <v>0</v>
      </c>
      <c r="L267">
        <f t="shared" si="41"/>
        <v>0</v>
      </c>
      <c r="M267">
        <f t="shared" si="42"/>
        <v>0</v>
      </c>
      <c r="N267">
        <f t="shared" si="40"/>
        <v>0</v>
      </c>
      <c r="O267">
        <f t="shared" si="43"/>
        <v>0</v>
      </c>
      <c r="P267">
        <f t="shared" si="44"/>
        <v>0</v>
      </c>
      <c r="R267" t="str">
        <f t="shared" si="45"/>
        <v>00</v>
      </c>
    </row>
    <row r="268" spans="1:18" x14ac:dyDescent="0.4">
      <c r="A268" s="1" t="str">
        <f t="shared" si="48"/>
        <v>085</v>
      </c>
      <c r="B268">
        <f t="shared" si="49"/>
        <v>0</v>
      </c>
      <c r="C268">
        <f>VALUE(MID(Hex!$C$2,1+2*HEX2DEC(A268)+B268,1))</f>
        <v>0</v>
      </c>
      <c r="D268" s="1" t="str">
        <f t="shared" si="46"/>
        <v>10A</v>
      </c>
      <c r="E268">
        <f>HEX2DEC(MID(Hex!$C$8,1+HEX2DEC(Edit!D268)*2,2))</f>
        <v>0</v>
      </c>
      <c r="F268">
        <f t="shared" si="47"/>
        <v>266</v>
      </c>
      <c r="G268" t="str">
        <f>_xlfn.LET(_xlpm.custom,_xlfn.XLOOKUP(F268,Data!A:A,Data!C:C),IF(_xlpm.custom="",_xlfn.XLOOKUP(F268,Data!A:A,Data!B:B),_xlpm.custom))</f>
        <v>Muscle Band</v>
      </c>
      <c r="H268" t="str">
        <f>_xlfn.XLOOKUP(C268,Data!A:A,Data!E:E)</f>
        <v>General</v>
      </c>
      <c r="J268">
        <f>IF(I268="",C268,_xlfn.XLOOKUP(I268,Data!E:E,Data!A:A,""))</f>
        <v>0</v>
      </c>
      <c r="L268">
        <f t="shared" si="41"/>
        <v>0</v>
      </c>
      <c r="M268">
        <f t="shared" si="42"/>
        <v>0</v>
      </c>
      <c r="N268">
        <f t="shared" si="40"/>
        <v>0</v>
      </c>
      <c r="O268">
        <f t="shared" si="43"/>
        <v>0</v>
      </c>
      <c r="P268">
        <f t="shared" si="44"/>
        <v>0</v>
      </c>
      <c r="R268" t="str">
        <f t="shared" si="45"/>
        <v>00</v>
      </c>
    </row>
    <row r="269" spans="1:18" x14ac:dyDescent="0.4">
      <c r="A269" s="1" t="str">
        <f t="shared" si="48"/>
        <v>085</v>
      </c>
      <c r="B269">
        <f t="shared" si="49"/>
        <v>1</v>
      </c>
      <c r="C269">
        <f>VALUE(MID(Hex!$C$2,1+2*HEX2DEC(A269)+B269,1))</f>
        <v>0</v>
      </c>
      <c r="D269" s="1" t="str">
        <f t="shared" si="46"/>
        <v>10B</v>
      </c>
      <c r="E269">
        <f>HEX2DEC(MID(Hex!$C$8,1+HEX2DEC(Edit!D269)*2,2))</f>
        <v>0</v>
      </c>
      <c r="F269">
        <f t="shared" si="47"/>
        <v>267</v>
      </c>
      <c r="G269" t="str">
        <f>_xlfn.LET(_xlpm.custom,_xlfn.XLOOKUP(F269,Data!A:A,Data!C:C),IF(_xlpm.custom="",_xlfn.XLOOKUP(F269,Data!A:A,Data!B:B),_xlpm.custom))</f>
        <v>Wise Glasses</v>
      </c>
      <c r="H269" t="str">
        <f>_xlfn.XLOOKUP(C269,Data!A:A,Data!E:E)</f>
        <v>General</v>
      </c>
      <c r="J269">
        <f>IF(I269="",C269,_xlfn.XLOOKUP(I269,Data!E:E,Data!A:A,""))</f>
        <v>0</v>
      </c>
      <c r="L269">
        <f t="shared" si="41"/>
        <v>0</v>
      </c>
      <c r="M269">
        <f t="shared" si="42"/>
        <v>0</v>
      </c>
      <c r="N269">
        <f t="shared" si="40"/>
        <v>0</v>
      </c>
      <c r="O269">
        <f t="shared" si="43"/>
        <v>0</v>
      </c>
      <c r="P269">
        <f t="shared" si="44"/>
        <v>0</v>
      </c>
      <c r="R269" t="str">
        <f t="shared" si="45"/>
        <v>00</v>
      </c>
    </row>
    <row r="270" spans="1:18" x14ac:dyDescent="0.4">
      <c r="A270" s="1" t="str">
        <f t="shared" si="48"/>
        <v>086</v>
      </c>
      <c r="B270">
        <f t="shared" si="49"/>
        <v>0</v>
      </c>
      <c r="C270">
        <f>VALUE(MID(Hex!$C$2,1+2*HEX2DEC(A270)+B270,1))</f>
        <v>0</v>
      </c>
      <c r="D270" s="1" t="str">
        <f t="shared" si="46"/>
        <v>10C</v>
      </c>
      <c r="E270">
        <f>HEX2DEC(MID(Hex!$C$8,1+HEX2DEC(Edit!D270)*2,2))</f>
        <v>0</v>
      </c>
      <c r="F270">
        <f t="shared" si="47"/>
        <v>268</v>
      </c>
      <c r="G270" t="str">
        <f>_xlfn.LET(_xlpm.custom,_xlfn.XLOOKUP(F270,Data!A:A,Data!C:C),IF(_xlpm.custom="",_xlfn.XLOOKUP(F270,Data!A:A,Data!B:B),_xlpm.custom))</f>
        <v>Expert Belt</v>
      </c>
      <c r="H270" t="str">
        <f>_xlfn.XLOOKUP(C270,Data!A:A,Data!E:E)</f>
        <v>General</v>
      </c>
      <c r="J270">
        <f>IF(I270="",C270,_xlfn.XLOOKUP(I270,Data!E:E,Data!A:A,""))</f>
        <v>0</v>
      </c>
      <c r="L270">
        <f t="shared" si="41"/>
        <v>0</v>
      </c>
      <c r="M270">
        <f t="shared" si="42"/>
        <v>0</v>
      </c>
      <c r="N270">
        <f t="shared" si="40"/>
        <v>0</v>
      </c>
      <c r="O270">
        <f t="shared" si="43"/>
        <v>0</v>
      </c>
      <c r="P270">
        <f t="shared" si="44"/>
        <v>0</v>
      </c>
      <c r="R270" t="str">
        <f t="shared" si="45"/>
        <v>00</v>
      </c>
    </row>
    <row r="271" spans="1:18" x14ac:dyDescent="0.4">
      <c r="A271" s="1" t="str">
        <f t="shared" si="48"/>
        <v>086</v>
      </c>
      <c r="B271">
        <f t="shared" si="49"/>
        <v>1</v>
      </c>
      <c r="C271">
        <f>VALUE(MID(Hex!$C$2,1+2*HEX2DEC(A271)+B271,1))</f>
        <v>0</v>
      </c>
      <c r="D271" s="1" t="str">
        <f t="shared" si="46"/>
        <v>10D</v>
      </c>
      <c r="E271">
        <f>HEX2DEC(MID(Hex!$C$8,1+HEX2DEC(Edit!D271)*2,2))</f>
        <v>0</v>
      </c>
      <c r="F271">
        <f t="shared" si="47"/>
        <v>269</v>
      </c>
      <c r="G271" t="str">
        <f>_xlfn.LET(_xlpm.custom,_xlfn.XLOOKUP(F271,Data!A:A,Data!C:C),IF(_xlpm.custom="",_xlfn.XLOOKUP(F271,Data!A:A,Data!B:B),_xlpm.custom))</f>
        <v>Light Clay</v>
      </c>
      <c r="H271" t="str">
        <f>_xlfn.XLOOKUP(C271,Data!A:A,Data!E:E)</f>
        <v>General</v>
      </c>
      <c r="J271">
        <f>IF(I271="",C271,_xlfn.XLOOKUP(I271,Data!E:E,Data!A:A,""))</f>
        <v>0</v>
      </c>
      <c r="L271">
        <f t="shared" si="41"/>
        <v>0</v>
      </c>
      <c r="M271">
        <f t="shared" si="42"/>
        <v>0</v>
      </c>
      <c r="N271">
        <f t="shared" si="40"/>
        <v>0</v>
      </c>
      <c r="O271">
        <f t="shared" si="43"/>
        <v>0</v>
      </c>
      <c r="P271">
        <f t="shared" si="44"/>
        <v>0</v>
      </c>
      <c r="R271" t="str">
        <f t="shared" si="45"/>
        <v>00</v>
      </c>
    </row>
    <row r="272" spans="1:18" x14ac:dyDescent="0.4">
      <c r="A272" s="1" t="str">
        <f t="shared" si="48"/>
        <v>087</v>
      </c>
      <c r="B272">
        <f t="shared" si="49"/>
        <v>0</v>
      </c>
      <c r="C272">
        <f>VALUE(MID(Hex!$C$2,1+2*HEX2DEC(A272)+B272,1))</f>
        <v>0</v>
      </c>
      <c r="D272" s="1" t="str">
        <f t="shared" si="46"/>
        <v>10E</v>
      </c>
      <c r="E272">
        <f>HEX2DEC(MID(Hex!$C$8,1+HEX2DEC(Edit!D272)*2,2))</f>
        <v>0</v>
      </c>
      <c r="F272">
        <f t="shared" si="47"/>
        <v>270</v>
      </c>
      <c r="G272" t="str">
        <f>_xlfn.LET(_xlpm.custom,_xlfn.XLOOKUP(F272,Data!A:A,Data!C:C),IF(_xlpm.custom="",_xlfn.XLOOKUP(F272,Data!A:A,Data!B:B),_xlpm.custom))</f>
        <v>Life Orb</v>
      </c>
      <c r="H272" t="str">
        <f>_xlfn.XLOOKUP(C272,Data!A:A,Data!E:E)</f>
        <v>General</v>
      </c>
      <c r="J272">
        <f>IF(I272="",C272,_xlfn.XLOOKUP(I272,Data!E:E,Data!A:A,""))</f>
        <v>0</v>
      </c>
      <c r="L272">
        <f t="shared" si="41"/>
        <v>0</v>
      </c>
      <c r="M272">
        <f t="shared" si="42"/>
        <v>0</v>
      </c>
      <c r="N272">
        <f t="shared" si="40"/>
        <v>0</v>
      </c>
      <c r="O272">
        <f t="shared" si="43"/>
        <v>0</v>
      </c>
      <c r="P272">
        <f t="shared" si="44"/>
        <v>0</v>
      </c>
      <c r="R272" t="str">
        <f t="shared" si="45"/>
        <v>00</v>
      </c>
    </row>
    <row r="273" spans="1:18" x14ac:dyDescent="0.4">
      <c r="A273" s="1" t="str">
        <f t="shared" si="48"/>
        <v>087</v>
      </c>
      <c r="B273">
        <f t="shared" si="49"/>
        <v>1</v>
      </c>
      <c r="C273">
        <f>VALUE(MID(Hex!$C$2,1+2*HEX2DEC(A273)+B273,1))</f>
        <v>0</v>
      </c>
      <c r="D273" s="1" t="str">
        <f t="shared" si="46"/>
        <v>10F</v>
      </c>
      <c r="E273">
        <f>HEX2DEC(MID(Hex!$C$8,1+HEX2DEC(Edit!D273)*2,2))</f>
        <v>0</v>
      </c>
      <c r="F273">
        <f t="shared" si="47"/>
        <v>271</v>
      </c>
      <c r="G273" t="str">
        <f>_xlfn.LET(_xlpm.custom,_xlfn.XLOOKUP(F273,Data!A:A,Data!C:C),IF(_xlpm.custom="",_xlfn.XLOOKUP(F273,Data!A:A,Data!B:B),_xlpm.custom))</f>
        <v>Power Herb</v>
      </c>
      <c r="H273" t="str">
        <f>_xlfn.XLOOKUP(C273,Data!A:A,Data!E:E)</f>
        <v>General</v>
      </c>
      <c r="J273">
        <f>IF(I273="",C273,_xlfn.XLOOKUP(I273,Data!E:E,Data!A:A,""))</f>
        <v>0</v>
      </c>
      <c r="L273">
        <f t="shared" si="41"/>
        <v>0</v>
      </c>
      <c r="M273">
        <f t="shared" si="42"/>
        <v>0</v>
      </c>
      <c r="N273">
        <f t="shared" si="40"/>
        <v>0</v>
      </c>
      <c r="O273">
        <f t="shared" si="43"/>
        <v>0</v>
      </c>
      <c r="P273">
        <f t="shared" si="44"/>
        <v>0</v>
      </c>
      <c r="R273" t="str">
        <f t="shared" si="45"/>
        <v>00</v>
      </c>
    </row>
    <row r="274" spans="1:18" x14ac:dyDescent="0.4">
      <c r="A274" s="1" t="str">
        <f t="shared" si="48"/>
        <v>088</v>
      </c>
      <c r="B274">
        <f t="shared" si="49"/>
        <v>0</v>
      </c>
      <c r="C274">
        <f>VALUE(MID(Hex!$C$2,1+2*HEX2DEC(A274)+B274,1))</f>
        <v>0</v>
      </c>
      <c r="D274" s="1" t="str">
        <f t="shared" si="46"/>
        <v>110</v>
      </c>
      <c r="E274">
        <f>HEX2DEC(MID(Hex!$C$8,1+HEX2DEC(Edit!D274)*2,2))</f>
        <v>0</v>
      </c>
      <c r="F274">
        <f t="shared" si="47"/>
        <v>272</v>
      </c>
      <c r="G274" t="str">
        <f>_xlfn.LET(_xlpm.custom,_xlfn.XLOOKUP(F274,Data!A:A,Data!C:C),IF(_xlpm.custom="",_xlfn.XLOOKUP(F274,Data!A:A,Data!B:B),_xlpm.custom))</f>
        <v>Toxic Orb</v>
      </c>
      <c r="H274" t="str">
        <f>_xlfn.XLOOKUP(C274,Data!A:A,Data!E:E)</f>
        <v>General</v>
      </c>
      <c r="J274">
        <f>IF(I274="",C274,_xlfn.XLOOKUP(I274,Data!E:E,Data!A:A,""))</f>
        <v>0</v>
      </c>
      <c r="L274">
        <f t="shared" si="41"/>
        <v>0</v>
      </c>
      <c r="M274">
        <f t="shared" si="42"/>
        <v>0</v>
      </c>
      <c r="N274">
        <f t="shared" si="40"/>
        <v>0</v>
      </c>
      <c r="O274">
        <f t="shared" si="43"/>
        <v>0</v>
      </c>
      <c r="P274">
        <f t="shared" si="44"/>
        <v>0</v>
      </c>
      <c r="R274" t="str">
        <f t="shared" si="45"/>
        <v>00</v>
      </c>
    </row>
    <row r="275" spans="1:18" x14ac:dyDescent="0.4">
      <c r="A275" s="1" t="str">
        <f t="shared" si="48"/>
        <v>088</v>
      </c>
      <c r="B275">
        <f t="shared" si="49"/>
        <v>1</v>
      </c>
      <c r="C275">
        <f>VALUE(MID(Hex!$C$2,1+2*HEX2DEC(A275)+B275,1))</f>
        <v>0</v>
      </c>
      <c r="D275" s="1" t="str">
        <f t="shared" si="46"/>
        <v>111</v>
      </c>
      <c r="E275">
        <f>HEX2DEC(MID(Hex!$C$8,1+HEX2DEC(Edit!D275)*2,2))</f>
        <v>0</v>
      </c>
      <c r="F275">
        <f t="shared" si="47"/>
        <v>273</v>
      </c>
      <c r="G275" t="str">
        <f>_xlfn.LET(_xlpm.custom,_xlfn.XLOOKUP(F275,Data!A:A,Data!C:C),IF(_xlpm.custom="",_xlfn.XLOOKUP(F275,Data!A:A,Data!B:B),_xlpm.custom))</f>
        <v>Flame Orb</v>
      </c>
      <c r="H275" t="str">
        <f>_xlfn.XLOOKUP(C275,Data!A:A,Data!E:E)</f>
        <v>General</v>
      </c>
      <c r="J275">
        <f>IF(I275="",C275,_xlfn.XLOOKUP(I275,Data!E:E,Data!A:A,""))</f>
        <v>0</v>
      </c>
      <c r="L275">
        <f t="shared" si="41"/>
        <v>0</v>
      </c>
      <c r="M275">
        <f t="shared" si="42"/>
        <v>0</v>
      </c>
      <c r="N275">
        <f t="shared" si="40"/>
        <v>0</v>
      </c>
      <c r="O275">
        <f t="shared" si="43"/>
        <v>0</v>
      </c>
      <c r="P275">
        <f t="shared" si="44"/>
        <v>0</v>
      </c>
      <c r="R275" t="str">
        <f t="shared" si="45"/>
        <v>00</v>
      </c>
    </row>
    <row r="276" spans="1:18" x14ac:dyDescent="0.4">
      <c r="A276" s="1" t="str">
        <f t="shared" si="48"/>
        <v>089</v>
      </c>
      <c r="B276">
        <f t="shared" si="49"/>
        <v>0</v>
      </c>
      <c r="C276">
        <f>VALUE(MID(Hex!$C$2,1+2*HEX2DEC(A276)+B276,1))</f>
        <v>0</v>
      </c>
      <c r="D276" s="1" t="str">
        <f t="shared" si="46"/>
        <v>112</v>
      </c>
      <c r="E276">
        <f>HEX2DEC(MID(Hex!$C$8,1+HEX2DEC(Edit!D276)*2,2))</f>
        <v>0</v>
      </c>
      <c r="F276">
        <f t="shared" si="47"/>
        <v>274</v>
      </c>
      <c r="G276" t="str">
        <f>_xlfn.LET(_xlpm.custom,_xlfn.XLOOKUP(F276,Data!A:A,Data!C:C),IF(_xlpm.custom="",_xlfn.XLOOKUP(F276,Data!A:A,Data!B:B),_xlpm.custom))</f>
        <v>Quick Powder</v>
      </c>
      <c r="H276" t="str">
        <f>_xlfn.XLOOKUP(C276,Data!A:A,Data!E:E)</f>
        <v>General</v>
      </c>
      <c r="J276">
        <f>IF(I276="",C276,_xlfn.XLOOKUP(I276,Data!E:E,Data!A:A,""))</f>
        <v>0</v>
      </c>
      <c r="L276">
        <f t="shared" si="41"/>
        <v>0</v>
      </c>
      <c r="M276">
        <f t="shared" si="42"/>
        <v>0</v>
      </c>
      <c r="N276">
        <f t="shared" si="40"/>
        <v>0</v>
      </c>
      <c r="O276">
        <f t="shared" si="43"/>
        <v>0</v>
      </c>
      <c r="P276">
        <f t="shared" si="44"/>
        <v>0</v>
      </c>
      <c r="R276" t="str">
        <f t="shared" si="45"/>
        <v>00</v>
      </c>
    </row>
    <row r="277" spans="1:18" x14ac:dyDescent="0.4">
      <c r="A277" s="1" t="str">
        <f t="shared" si="48"/>
        <v>089</v>
      </c>
      <c r="B277">
        <f t="shared" si="49"/>
        <v>1</v>
      </c>
      <c r="C277">
        <f>VALUE(MID(Hex!$C$2,1+2*HEX2DEC(A277)+B277,1))</f>
        <v>0</v>
      </c>
      <c r="D277" s="1" t="str">
        <f t="shared" si="46"/>
        <v>113</v>
      </c>
      <c r="E277">
        <f>HEX2DEC(MID(Hex!$C$8,1+HEX2DEC(Edit!D277)*2,2))</f>
        <v>0</v>
      </c>
      <c r="F277">
        <f t="shared" si="47"/>
        <v>275</v>
      </c>
      <c r="G277" t="str">
        <f>_xlfn.LET(_xlpm.custom,_xlfn.XLOOKUP(F277,Data!A:A,Data!C:C),IF(_xlpm.custom="",_xlfn.XLOOKUP(F277,Data!A:A,Data!B:B),_xlpm.custom))</f>
        <v>Focus Sash</v>
      </c>
      <c r="H277" t="str">
        <f>_xlfn.XLOOKUP(C277,Data!A:A,Data!E:E)</f>
        <v>General</v>
      </c>
      <c r="J277">
        <f>IF(I277="",C277,_xlfn.XLOOKUP(I277,Data!E:E,Data!A:A,""))</f>
        <v>0</v>
      </c>
      <c r="L277">
        <f t="shared" si="41"/>
        <v>0</v>
      </c>
      <c r="M277">
        <f t="shared" si="42"/>
        <v>0</v>
      </c>
      <c r="N277">
        <f t="shared" ref="N277:N340" si="50">_xlfn.BITAND($E277,4)</f>
        <v>0</v>
      </c>
      <c r="O277">
        <f t="shared" si="43"/>
        <v>0</v>
      </c>
      <c r="P277">
        <f t="shared" si="44"/>
        <v>0</v>
      </c>
      <c r="R277" t="str">
        <f t="shared" si="45"/>
        <v>00</v>
      </c>
    </row>
    <row r="278" spans="1:18" x14ac:dyDescent="0.4">
      <c r="A278" s="1" t="str">
        <f t="shared" si="48"/>
        <v>08A</v>
      </c>
      <c r="B278">
        <f t="shared" si="49"/>
        <v>0</v>
      </c>
      <c r="C278">
        <f>VALUE(MID(Hex!$C$2,1+2*HEX2DEC(A278)+B278,1))</f>
        <v>0</v>
      </c>
      <c r="D278" s="1" t="str">
        <f t="shared" si="46"/>
        <v>114</v>
      </c>
      <c r="E278">
        <f>HEX2DEC(MID(Hex!$C$8,1+HEX2DEC(Edit!D278)*2,2))</f>
        <v>0</v>
      </c>
      <c r="F278">
        <f t="shared" si="47"/>
        <v>276</v>
      </c>
      <c r="G278" t="str">
        <f>_xlfn.LET(_xlpm.custom,_xlfn.XLOOKUP(F278,Data!A:A,Data!C:C),IF(_xlpm.custom="",_xlfn.XLOOKUP(F278,Data!A:A,Data!B:B),_xlpm.custom))</f>
        <v>Zoom Lens</v>
      </c>
      <c r="H278" t="str">
        <f>_xlfn.XLOOKUP(C278,Data!A:A,Data!E:E)</f>
        <v>General</v>
      </c>
      <c r="J278">
        <f>IF(I278="",C278,_xlfn.XLOOKUP(I278,Data!E:E,Data!A:A,""))</f>
        <v>0</v>
      </c>
      <c r="L278">
        <f t="shared" si="41"/>
        <v>0</v>
      </c>
      <c r="M278">
        <f t="shared" si="42"/>
        <v>0</v>
      </c>
      <c r="N278">
        <f t="shared" si="50"/>
        <v>0</v>
      </c>
      <c r="O278">
        <f t="shared" si="43"/>
        <v>0</v>
      </c>
      <c r="P278">
        <f t="shared" si="44"/>
        <v>0</v>
      </c>
      <c r="R278" t="str">
        <f t="shared" si="45"/>
        <v>00</v>
      </c>
    </row>
    <row r="279" spans="1:18" x14ac:dyDescent="0.4">
      <c r="A279" s="1" t="str">
        <f t="shared" si="48"/>
        <v>08A</v>
      </c>
      <c r="B279">
        <f t="shared" si="49"/>
        <v>1</v>
      </c>
      <c r="C279">
        <f>VALUE(MID(Hex!$C$2,1+2*HEX2DEC(A279)+B279,1))</f>
        <v>0</v>
      </c>
      <c r="D279" s="1" t="str">
        <f t="shared" si="46"/>
        <v>115</v>
      </c>
      <c r="E279">
        <f>HEX2DEC(MID(Hex!$C$8,1+HEX2DEC(Edit!D279)*2,2))</f>
        <v>0</v>
      </c>
      <c r="F279">
        <f t="shared" si="47"/>
        <v>277</v>
      </c>
      <c r="G279" t="str">
        <f>_xlfn.LET(_xlpm.custom,_xlfn.XLOOKUP(F279,Data!A:A,Data!C:C),IF(_xlpm.custom="",_xlfn.XLOOKUP(F279,Data!A:A,Data!B:B),_xlpm.custom))</f>
        <v>Metronome</v>
      </c>
      <c r="H279" t="str">
        <f>_xlfn.XLOOKUP(C279,Data!A:A,Data!E:E)</f>
        <v>General</v>
      </c>
      <c r="J279">
        <f>IF(I279="",C279,_xlfn.XLOOKUP(I279,Data!E:E,Data!A:A,""))</f>
        <v>0</v>
      </c>
      <c r="L279">
        <f t="shared" si="41"/>
        <v>0</v>
      </c>
      <c r="M279">
        <f t="shared" si="42"/>
        <v>0</v>
      </c>
      <c r="N279">
        <f t="shared" si="50"/>
        <v>0</v>
      </c>
      <c r="O279">
        <f t="shared" si="43"/>
        <v>0</v>
      </c>
      <c r="P279">
        <f t="shared" si="44"/>
        <v>0</v>
      </c>
      <c r="R279" t="str">
        <f t="shared" si="45"/>
        <v>00</v>
      </c>
    </row>
    <row r="280" spans="1:18" x14ac:dyDescent="0.4">
      <c r="A280" s="1" t="str">
        <f t="shared" si="48"/>
        <v>08B</v>
      </c>
      <c r="B280">
        <f t="shared" si="49"/>
        <v>0</v>
      </c>
      <c r="C280">
        <f>VALUE(MID(Hex!$C$2,1+2*HEX2DEC(A280)+B280,1))</f>
        <v>0</v>
      </c>
      <c r="D280" s="1" t="str">
        <f t="shared" si="46"/>
        <v>116</v>
      </c>
      <c r="E280">
        <f>HEX2DEC(MID(Hex!$C$8,1+HEX2DEC(Edit!D280)*2,2))</f>
        <v>0</v>
      </c>
      <c r="F280">
        <f t="shared" si="47"/>
        <v>278</v>
      </c>
      <c r="G280" t="str">
        <f>_xlfn.LET(_xlpm.custom,_xlfn.XLOOKUP(F280,Data!A:A,Data!C:C),IF(_xlpm.custom="",_xlfn.XLOOKUP(F280,Data!A:A,Data!B:B),_xlpm.custom))</f>
        <v>Iron Ball</v>
      </c>
      <c r="H280" t="str">
        <f>_xlfn.XLOOKUP(C280,Data!A:A,Data!E:E)</f>
        <v>General</v>
      </c>
      <c r="J280">
        <f>IF(I280="",C280,_xlfn.XLOOKUP(I280,Data!E:E,Data!A:A,""))</f>
        <v>0</v>
      </c>
      <c r="L280">
        <f t="shared" si="41"/>
        <v>0</v>
      </c>
      <c r="M280">
        <f t="shared" si="42"/>
        <v>0</v>
      </c>
      <c r="N280">
        <f t="shared" si="50"/>
        <v>0</v>
      </c>
      <c r="O280">
        <f t="shared" si="43"/>
        <v>0</v>
      </c>
      <c r="P280">
        <f t="shared" si="44"/>
        <v>0</v>
      </c>
      <c r="R280" t="str">
        <f t="shared" si="45"/>
        <v>00</v>
      </c>
    </row>
    <row r="281" spans="1:18" x14ac:dyDescent="0.4">
      <c r="A281" s="1" t="str">
        <f t="shared" si="48"/>
        <v>08B</v>
      </c>
      <c r="B281">
        <f t="shared" si="49"/>
        <v>1</v>
      </c>
      <c r="C281">
        <f>VALUE(MID(Hex!$C$2,1+2*HEX2DEC(A281)+B281,1))</f>
        <v>0</v>
      </c>
      <c r="D281" s="1" t="str">
        <f t="shared" si="46"/>
        <v>117</v>
      </c>
      <c r="E281">
        <f>HEX2DEC(MID(Hex!$C$8,1+HEX2DEC(Edit!D281)*2,2))</f>
        <v>0</v>
      </c>
      <c r="F281">
        <f t="shared" si="47"/>
        <v>279</v>
      </c>
      <c r="G281" t="str">
        <f>_xlfn.LET(_xlpm.custom,_xlfn.XLOOKUP(F281,Data!A:A,Data!C:C),IF(_xlpm.custom="",_xlfn.XLOOKUP(F281,Data!A:A,Data!B:B),_xlpm.custom))</f>
        <v>Lagging Tail</v>
      </c>
      <c r="H281" t="str">
        <f>_xlfn.XLOOKUP(C281,Data!A:A,Data!E:E)</f>
        <v>General</v>
      </c>
      <c r="J281">
        <f>IF(I281="",C281,_xlfn.XLOOKUP(I281,Data!E:E,Data!A:A,""))</f>
        <v>0</v>
      </c>
      <c r="L281">
        <f t="shared" si="41"/>
        <v>0</v>
      </c>
      <c r="M281">
        <f t="shared" si="42"/>
        <v>0</v>
      </c>
      <c r="N281">
        <f t="shared" si="50"/>
        <v>0</v>
      </c>
      <c r="O281">
        <f t="shared" si="43"/>
        <v>0</v>
      </c>
      <c r="P281">
        <f t="shared" si="44"/>
        <v>0</v>
      </c>
      <c r="R281" t="str">
        <f t="shared" si="45"/>
        <v>00</v>
      </c>
    </row>
    <row r="282" spans="1:18" x14ac:dyDescent="0.4">
      <c r="A282" s="1" t="str">
        <f t="shared" si="48"/>
        <v>08C</v>
      </c>
      <c r="B282">
        <f t="shared" si="49"/>
        <v>0</v>
      </c>
      <c r="C282">
        <f>VALUE(MID(Hex!$C$2,1+2*HEX2DEC(A282)+B282,1))</f>
        <v>0</v>
      </c>
      <c r="D282" s="1" t="str">
        <f t="shared" si="46"/>
        <v>118</v>
      </c>
      <c r="E282">
        <f>HEX2DEC(MID(Hex!$C$8,1+HEX2DEC(Edit!D282)*2,2))</f>
        <v>0</v>
      </c>
      <c r="F282">
        <f t="shared" si="47"/>
        <v>280</v>
      </c>
      <c r="G282" t="str">
        <f>_xlfn.LET(_xlpm.custom,_xlfn.XLOOKUP(F282,Data!A:A,Data!C:C),IF(_xlpm.custom="",_xlfn.XLOOKUP(F282,Data!A:A,Data!B:B),_xlpm.custom))</f>
        <v>Destiny Knot</v>
      </c>
      <c r="H282" t="str">
        <f>_xlfn.XLOOKUP(C282,Data!A:A,Data!E:E)</f>
        <v>General</v>
      </c>
      <c r="J282">
        <f>IF(I282="",C282,_xlfn.XLOOKUP(I282,Data!E:E,Data!A:A,""))</f>
        <v>0</v>
      </c>
      <c r="L282">
        <f t="shared" si="41"/>
        <v>0</v>
      </c>
      <c r="M282">
        <f t="shared" si="42"/>
        <v>0</v>
      </c>
      <c r="N282">
        <f t="shared" si="50"/>
        <v>0</v>
      </c>
      <c r="O282">
        <f t="shared" si="43"/>
        <v>0</v>
      </c>
      <c r="P282">
        <f t="shared" si="44"/>
        <v>0</v>
      </c>
      <c r="R282" t="str">
        <f t="shared" si="45"/>
        <v>00</v>
      </c>
    </row>
    <row r="283" spans="1:18" x14ac:dyDescent="0.4">
      <c r="A283" s="1" t="str">
        <f t="shared" si="48"/>
        <v>08C</v>
      </c>
      <c r="B283">
        <f t="shared" si="49"/>
        <v>1</v>
      </c>
      <c r="C283">
        <f>VALUE(MID(Hex!$C$2,1+2*HEX2DEC(A283)+B283,1))</f>
        <v>0</v>
      </c>
      <c r="D283" s="1" t="str">
        <f t="shared" si="46"/>
        <v>119</v>
      </c>
      <c r="E283">
        <f>HEX2DEC(MID(Hex!$C$8,1+HEX2DEC(Edit!D283)*2,2))</f>
        <v>0</v>
      </c>
      <c r="F283">
        <f t="shared" si="47"/>
        <v>281</v>
      </c>
      <c r="G283" t="str">
        <f>_xlfn.LET(_xlpm.custom,_xlfn.XLOOKUP(F283,Data!A:A,Data!C:C),IF(_xlpm.custom="",_xlfn.XLOOKUP(F283,Data!A:A,Data!B:B),_xlpm.custom))</f>
        <v>Black Sludge</v>
      </c>
      <c r="H283" t="str">
        <f>_xlfn.XLOOKUP(C283,Data!A:A,Data!E:E)</f>
        <v>General</v>
      </c>
      <c r="J283">
        <f>IF(I283="",C283,_xlfn.XLOOKUP(I283,Data!E:E,Data!A:A,""))</f>
        <v>0</v>
      </c>
      <c r="L283">
        <f t="shared" si="41"/>
        <v>0</v>
      </c>
      <c r="M283">
        <f t="shared" si="42"/>
        <v>0</v>
      </c>
      <c r="N283">
        <f t="shared" si="50"/>
        <v>0</v>
      </c>
      <c r="O283">
        <f t="shared" si="43"/>
        <v>0</v>
      </c>
      <c r="P283">
        <f t="shared" si="44"/>
        <v>0</v>
      </c>
      <c r="R283" t="str">
        <f t="shared" si="45"/>
        <v>00</v>
      </c>
    </row>
    <row r="284" spans="1:18" x14ac:dyDescent="0.4">
      <c r="A284" s="1" t="str">
        <f t="shared" si="48"/>
        <v>08D</v>
      </c>
      <c r="B284">
        <f t="shared" si="49"/>
        <v>0</v>
      </c>
      <c r="C284">
        <f>VALUE(MID(Hex!$C$2,1+2*HEX2DEC(A284)+B284,1))</f>
        <v>0</v>
      </c>
      <c r="D284" s="1" t="str">
        <f t="shared" si="46"/>
        <v>11A</v>
      </c>
      <c r="E284">
        <f>HEX2DEC(MID(Hex!$C$8,1+HEX2DEC(Edit!D284)*2,2))</f>
        <v>0</v>
      </c>
      <c r="F284">
        <f t="shared" si="47"/>
        <v>282</v>
      </c>
      <c r="G284" t="str">
        <f>_xlfn.LET(_xlpm.custom,_xlfn.XLOOKUP(F284,Data!A:A,Data!C:C),IF(_xlpm.custom="",_xlfn.XLOOKUP(F284,Data!A:A,Data!B:B),_xlpm.custom))</f>
        <v>Icy Rock</v>
      </c>
      <c r="H284" t="str">
        <f>_xlfn.XLOOKUP(C284,Data!A:A,Data!E:E)</f>
        <v>General</v>
      </c>
      <c r="J284">
        <f>IF(I284="",C284,_xlfn.XLOOKUP(I284,Data!E:E,Data!A:A,""))</f>
        <v>0</v>
      </c>
      <c r="L284">
        <f t="shared" si="41"/>
        <v>0</v>
      </c>
      <c r="M284">
        <f t="shared" si="42"/>
        <v>0</v>
      </c>
      <c r="N284">
        <f t="shared" si="50"/>
        <v>0</v>
      </c>
      <c r="O284">
        <f t="shared" si="43"/>
        <v>0</v>
      </c>
      <c r="P284">
        <f t="shared" si="44"/>
        <v>0</v>
      </c>
      <c r="R284" t="str">
        <f t="shared" si="45"/>
        <v>00</v>
      </c>
    </row>
    <row r="285" spans="1:18" x14ac:dyDescent="0.4">
      <c r="A285" s="1" t="str">
        <f t="shared" si="48"/>
        <v>08D</v>
      </c>
      <c r="B285">
        <f t="shared" si="49"/>
        <v>1</v>
      </c>
      <c r="C285">
        <f>VALUE(MID(Hex!$C$2,1+2*HEX2DEC(A285)+B285,1))</f>
        <v>0</v>
      </c>
      <c r="D285" s="1" t="str">
        <f t="shared" si="46"/>
        <v>11B</v>
      </c>
      <c r="E285">
        <f>HEX2DEC(MID(Hex!$C$8,1+HEX2DEC(Edit!D285)*2,2))</f>
        <v>0</v>
      </c>
      <c r="F285">
        <f t="shared" si="47"/>
        <v>283</v>
      </c>
      <c r="G285" t="str">
        <f>_xlfn.LET(_xlpm.custom,_xlfn.XLOOKUP(F285,Data!A:A,Data!C:C),IF(_xlpm.custom="",_xlfn.XLOOKUP(F285,Data!A:A,Data!B:B),_xlpm.custom))</f>
        <v>Smooth Rock</v>
      </c>
      <c r="H285" t="str">
        <f>_xlfn.XLOOKUP(C285,Data!A:A,Data!E:E)</f>
        <v>General</v>
      </c>
      <c r="J285">
        <f>IF(I285="",C285,_xlfn.XLOOKUP(I285,Data!E:E,Data!A:A,""))</f>
        <v>0</v>
      </c>
      <c r="L285">
        <f t="shared" si="41"/>
        <v>0</v>
      </c>
      <c r="M285">
        <f t="shared" si="42"/>
        <v>0</v>
      </c>
      <c r="N285">
        <f t="shared" si="50"/>
        <v>0</v>
      </c>
      <c r="O285">
        <f t="shared" si="43"/>
        <v>0</v>
      </c>
      <c r="P285">
        <f t="shared" si="44"/>
        <v>0</v>
      </c>
      <c r="R285" t="str">
        <f t="shared" si="45"/>
        <v>00</v>
      </c>
    </row>
    <row r="286" spans="1:18" x14ac:dyDescent="0.4">
      <c r="A286" s="1" t="str">
        <f t="shared" si="48"/>
        <v>08E</v>
      </c>
      <c r="B286">
        <f t="shared" si="49"/>
        <v>0</v>
      </c>
      <c r="C286">
        <f>VALUE(MID(Hex!$C$2,1+2*HEX2DEC(A286)+B286,1))</f>
        <v>0</v>
      </c>
      <c r="D286" s="1" t="str">
        <f t="shared" si="46"/>
        <v>11C</v>
      </c>
      <c r="E286">
        <f>HEX2DEC(MID(Hex!$C$8,1+HEX2DEC(Edit!D286)*2,2))</f>
        <v>0</v>
      </c>
      <c r="F286">
        <f t="shared" si="47"/>
        <v>284</v>
      </c>
      <c r="G286" t="str">
        <f>_xlfn.LET(_xlpm.custom,_xlfn.XLOOKUP(F286,Data!A:A,Data!C:C),IF(_xlpm.custom="",_xlfn.XLOOKUP(F286,Data!A:A,Data!B:B),_xlpm.custom))</f>
        <v>Heat Rock</v>
      </c>
      <c r="H286" t="str">
        <f>_xlfn.XLOOKUP(C286,Data!A:A,Data!E:E)</f>
        <v>General</v>
      </c>
      <c r="J286">
        <f>IF(I286="",C286,_xlfn.XLOOKUP(I286,Data!E:E,Data!A:A,""))</f>
        <v>0</v>
      </c>
      <c r="L286">
        <f t="shared" si="41"/>
        <v>0</v>
      </c>
      <c r="M286">
        <f t="shared" si="42"/>
        <v>0</v>
      </c>
      <c r="N286">
        <f t="shared" si="50"/>
        <v>0</v>
      </c>
      <c r="O286">
        <f t="shared" si="43"/>
        <v>0</v>
      </c>
      <c r="P286">
        <f t="shared" si="44"/>
        <v>0</v>
      </c>
      <c r="R286" t="str">
        <f t="shared" si="45"/>
        <v>00</v>
      </c>
    </row>
    <row r="287" spans="1:18" x14ac:dyDescent="0.4">
      <c r="A287" s="1" t="str">
        <f t="shared" si="48"/>
        <v>08E</v>
      </c>
      <c r="B287">
        <f t="shared" si="49"/>
        <v>1</v>
      </c>
      <c r="C287">
        <f>VALUE(MID(Hex!$C$2,1+2*HEX2DEC(A287)+B287,1))</f>
        <v>0</v>
      </c>
      <c r="D287" s="1" t="str">
        <f t="shared" si="46"/>
        <v>11D</v>
      </c>
      <c r="E287">
        <f>HEX2DEC(MID(Hex!$C$8,1+HEX2DEC(Edit!D287)*2,2))</f>
        <v>0</v>
      </c>
      <c r="F287">
        <f t="shared" si="47"/>
        <v>285</v>
      </c>
      <c r="G287" t="str">
        <f>_xlfn.LET(_xlpm.custom,_xlfn.XLOOKUP(F287,Data!A:A,Data!C:C),IF(_xlpm.custom="",_xlfn.XLOOKUP(F287,Data!A:A,Data!B:B),_xlpm.custom))</f>
        <v>Damp Rock</v>
      </c>
      <c r="H287" t="str">
        <f>_xlfn.XLOOKUP(C287,Data!A:A,Data!E:E)</f>
        <v>General</v>
      </c>
      <c r="J287">
        <f>IF(I287="",C287,_xlfn.XLOOKUP(I287,Data!E:E,Data!A:A,""))</f>
        <v>0</v>
      </c>
      <c r="L287">
        <f t="shared" si="41"/>
        <v>0</v>
      </c>
      <c r="M287">
        <f t="shared" si="42"/>
        <v>0</v>
      </c>
      <c r="N287">
        <f t="shared" si="50"/>
        <v>0</v>
      </c>
      <c r="O287">
        <f t="shared" si="43"/>
        <v>0</v>
      </c>
      <c r="P287">
        <f t="shared" si="44"/>
        <v>0</v>
      </c>
      <c r="R287" t="str">
        <f t="shared" si="45"/>
        <v>00</v>
      </c>
    </row>
    <row r="288" spans="1:18" x14ac:dyDescent="0.4">
      <c r="A288" s="1" t="str">
        <f t="shared" si="48"/>
        <v>08F</v>
      </c>
      <c r="B288">
        <f t="shared" si="49"/>
        <v>0</v>
      </c>
      <c r="C288">
        <f>VALUE(MID(Hex!$C$2,1+2*HEX2DEC(A288)+B288,1))</f>
        <v>0</v>
      </c>
      <c r="D288" s="1" t="str">
        <f t="shared" si="46"/>
        <v>11E</v>
      </c>
      <c r="E288">
        <f>HEX2DEC(MID(Hex!$C$8,1+HEX2DEC(Edit!D288)*2,2))</f>
        <v>0</v>
      </c>
      <c r="F288">
        <f t="shared" si="47"/>
        <v>286</v>
      </c>
      <c r="G288" t="str">
        <f>_xlfn.LET(_xlpm.custom,_xlfn.XLOOKUP(F288,Data!A:A,Data!C:C),IF(_xlpm.custom="",_xlfn.XLOOKUP(F288,Data!A:A,Data!B:B),_xlpm.custom))</f>
        <v>Grip Claw</v>
      </c>
      <c r="H288" t="str">
        <f>_xlfn.XLOOKUP(C288,Data!A:A,Data!E:E)</f>
        <v>General</v>
      </c>
      <c r="J288">
        <f>IF(I288="",C288,_xlfn.XLOOKUP(I288,Data!E:E,Data!A:A,""))</f>
        <v>0</v>
      </c>
      <c r="L288">
        <f t="shared" si="41"/>
        <v>0</v>
      </c>
      <c r="M288">
        <f t="shared" si="42"/>
        <v>0</v>
      </c>
      <c r="N288">
        <f t="shared" si="50"/>
        <v>0</v>
      </c>
      <c r="O288">
        <f t="shared" si="43"/>
        <v>0</v>
      </c>
      <c r="P288">
        <f t="shared" si="44"/>
        <v>0</v>
      </c>
      <c r="R288" t="str">
        <f t="shared" si="45"/>
        <v>00</v>
      </c>
    </row>
    <row r="289" spans="1:18" x14ac:dyDescent="0.4">
      <c r="A289" s="1" t="str">
        <f t="shared" si="48"/>
        <v>08F</v>
      </c>
      <c r="B289">
        <f t="shared" si="49"/>
        <v>1</v>
      </c>
      <c r="C289">
        <f>VALUE(MID(Hex!$C$2,1+2*HEX2DEC(A289)+B289,1))</f>
        <v>0</v>
      </c>
      <c r="D289" s="1" t="str">
        <f t="shared" si="46"/>
        <v>11F</v>
      </c>
      <c r="E289">
        <f>HEX2DEC(MID(Hex!$C$8,1+HEX2DEC(Edit!D289)*2,2))</f>
        <v>0</v>
      </c>
      <c r="F289">
        <f t="shared" si="47"/>
        <v>287</v>
      </c>
      <c r="G289" t="str">
        <f>_xlfn.LET(_xlpm.custom,_xlfn.XLOOKUP(F289,Data!A:A,Data!C:C),IF(_xlpm.custom="",_xlfn.XLOOKUP(F289,Data!A:A,Data!B:B),_xlpm.custom))</f>
        <v>Choice Scarf</v>
      </c>
      <c r="H289" t="str">
        <f>_xlfn.XLOOKUP(C289,Data!A:A,Data!E:E)</f>
        <v>General</v>
      </c>
      <c r="J289">
        <f>IF(I289="",C289,_xlfn.XLOOKUP(I289,Data!E:E,Data!A:A,""))</f>
        <v>0</v>
      </c>
      <c r="L289">
        <f t="shared" si="41"/>
        <v>0</v>
      </c>
      <c r="M289">
        <f t="shared" si="42"/>
        <v>0</v>
      </c>
      <c r="N289">
        <f t="shared" si="50"/>
        <v>0</v>
      </c>
      <c r="O289">
        <f t="shared" si="43"/>
        <v>0</v>
      </c>
      <c r="P289">
        <f t="shared" si="44"/>
        <v>0</v>
      </c>
      <c r="R289" t="str">
        <f t="shared" si="45"/>
        <v>00</v>
      </c>
    </row>
    <row r="290" spans="1:18" x14ac:dyDescent="0.4">
      <c r="A290" s="1" t="str">
        <f t="shared" si="48"/>
        <v>090</v>
      </c>
      <c r="B290">
        <f t="shared" si="49"/>
        <v>0</v>
      </c>
      <c r="C290">
        <f>VALUE(MID(Hex!$C$2,1+2*HEX2DEC(A290)+B290,1))</f>
        <v>0</v>
      </c>
      <c r="D290" s="1" t="str">
        <f t="shared" si="46"/>
        <v>120</v>
      </c>
      <c r="E290">
        <f>HEX2DEC(MID(Hex!$C$8,1+HEX2DEC(Edit!D290)*2,2))</f>
        <v>0</v>
      </c>
      <c r="F290">
        <f t="shared" si="47"/>
        <v>288</v>
      </c>
      <c r="G290" t="str">
        <f>_xlfn.LET(_xlpm.custom,_xlfn.XLOOKUP(F290,Data!A:A,Data!C:C),IF(_xlpm.custom="",_xlfn.XLOOKUP(F290,Data!A:A,Data!B:B),_xlpm.custom))</f>
        <v>Sticky Barb</v>
      </c>
      <c r="H290" t="str">
        <f>_xlfn.XLOOKUP(C290,Data!A:A,Data!E:E)</f>
        <v>General</v>
      </c>
      <c r="J290">
        <f>IF(I290="",C290,_xlfn.XLOOKUP(I290,Data!E:E,Data!A:A,""))</f>
        <v>0</v>
      </c>
      <c r="L290">
        <f t="shared" si="41"/>
        <v>0</v>
      </c>
      <c r="M290">
        <f t="shared" si="42"/>
        <v>0</v>
      </c>
      <c r="N290">
        <f t="shared" si="50"/>
        <v>0</v>
      </c>
      <c r="O290">
        <f t="shared" si="43"/>
        <v>0</v>
      </c>
      <c r="P290">
        <f t="shared" si="44"/>
        <v>0</v>
      </c>
      <c r="R290" t="str">
        <f t="shared" si="45"/>
        <v>00</v>
      </c>
    </row>
    <row r="291" spans="1:18" x14ac:dyDescent="0.4">
      <c r="A291" s="1" t="str">
        <f t="shared" si="48"/>
        <v>090</v>
      </c>
      <c r="B291">
        <f t="shared" si="49"/>
        <v>1</v>
      </c>
      <c r="C291">
        <f>VALUE(MID(Hex!$C$2,1+2*HEX2DEC(A291)+B291,1))</f>
        <v>0</v>
      </c>
      <c r="D291" s="1" t="str">
        <f t="shared" si="46"/>
        <v>121</v>
      </c>
      <c r="E291">
        <f>HEX2DEC(MID(Hex!$C$8,1+HEX2DEC(Edit!D291)*2,2))</f>
        <v>0</v>
      </c>
      <c r="F291">
        <f t="shared" si="47"/>
        <v>289</v>
      </c>
      <c r="G291" t="str">
        <f>_xlfn.LET(_xlpm.custom,_xlfn.XLOOKUP(F291,Data!A:A,Data!C:C),IF(_xlpm.custom="",_xlfn.XLOOKUP(F291,Data!A:A,Data!B:B),_xlpm.custom))</f>
        <v>Power Bracer</v>
      </c>
      <c r="H291" t="str">
        <f>_xlfn.XLOOKUP(C291,Data!A:A,Data!E:E)</f>
        <v>General</v>
      </c>
      <c r="J291">
        <f>IF(I291="",C291,_xlfn.XLOOKUP(I291,Data!E:E,Data!A:A,""))</f>
        <v>0</v>
      </c>
      <c r="L291">
        <f t="shared" si="41"/>
        <v>0</v>
      </c>
      <c r="M291">
        <f t="shared" si="42"/>
        <v>0</v>
      </c>
      <c r="N291">
        <f t="shared" si="50"/>
        <v>0</v>
      </c>
      <c r="O291">
        <f t="shared" si="43"/>
        <v>0</v>
      </c>
      <c r="P291">
        <f t="shared" si="44"/>
        <v>0</v>
      </c>
      <c r="R291" t="str">
        <f t="shared" si="45"/>
        <v>00</v>
      </c>
    </row>
    <row r="292" spans="1:18" x14ac:dyDescent="0.4">
      <c r="A292" s="1" t="str">
        <f t="shared" si="48"/>
        <v>091</v>
      </c>
      <c r="B292">
        <f t="shared" si="49"/>
        <v>0</v>
      </c>
      <c r="C292">
        <f>VALUE(MID(Hex!$C$2,1+2*HEX2DEC(A292)+B292,1))</f>
        <v>0</v>
      </c>
      <c r="D292" s="1" t="str">
        <f t="shared" si="46"/>
        <v>122</v>
      </c>
      <c r="E292">
        <f>HEX2DEC(MID(Hex!$C$8,1+HEX2DEC(Edit!D292)*2,2))</f>
        <v>0</v>
      </c>
      <c r="F292">
        <f t="shared" si="47"/>
        <v>290</v>
      </c>
      <c r="G292" t="str">
        <f>_xlfn.LET(_xlpm.custom,_xlfn.XLOOKUP(F292,Data!A:A,Data!C:C),IF(_xlpm.custom="",_xlfn.XLOOKUP(F292,Data!A:A,Data!B:B),_xlpm.custom))</f>
        <v>Power Belt</v>
      </c>
      <c r="H292" t="str">
        <f>_xlfn.XLOOKUP(C292,Data!A:A,Data!E:E)</f>
        <v>General</v>
      </c>
      <c r="J292">
        <f>IF(I292="",C292,_xlfn.XLOOKUP(I292,Data!E:E,Data!A:A,""))</f>
        <v>0</v>
      </c>
      <c r="L292">
        <f t="shared" si="41"/>
        <v>0</v>
      </c>
      <c r="M292">
        <f t="shared" si="42"/>
        <v>0</v>
      </c>
      <c r="N292">
        <f t="shared" si="50"/>
        <v>0</v>
      </c>
      <c r="O292">
        <f t="shared" si="43"/>
        <v>0</v>
      </c>
      <c r="P292">
        <f t="shared" si="44"/>
        <v>0</v>
      </c>
      <c r="R292" t="str">
        <f t="shared" si="45"/>
        <v>00</v>
      </c>
    </row>
    <row r="293" spans="1:18" x14ac:dyDescent="0.4">
      <c r="A293" s="1" t="str">
        <f t="shared" si="48"/>
        <v>091</v>
      </c>
      <c r="B293">
        <f t="shared" si="49"/>
        <v>1</v>
      </c>
      <c r="C293">
        <f>VALUE(MID(Hex!$C$2,1+2*HEX2DEC(A293)+B293,1))</f>
        <v>0</v>
      </c>
      <c r="D293" s="1" t="str">
        <f t="shared" si="46"/>
        <v>123</v>
      </c>
      <c r="E293">
        <f>HEX2DEC(MID(Hex!$C$8,1+HEX2DEC(Edit!D293)*2,2))</f>
        <v>0</v>
      </c>
      <c r="F293">
        <f t="shared" si="47"/>
        <v>291</v>
      </c>
      <c r="G293" t="str">
        <f>_xlfn.LET(_xlpm.custom,_xlfn.XLOOKUP(F293,Data!A:A,Data!C:C),IF(_xlpm.custom="",_xlfn.XLOOKUP(F293,Data!A:A,Data!B:B),_xlpm.custom))</f>
        <v>Power Lens</v>
      </c>
      <c r="H293" t="str">
        <f>_xlfn.XLOOKUP(C293,Data!A:A,Data!E:E)</f>
        <v>General</v>
      </c>
      <c r="J293">
        <f>IF(I293="",C293,_xlfn.XLOOKUP(I293,Data!E:E,Data!A:A,""))</f>
        <v>0</v>
      </c>
      <c r="L293">
        <f t="shared" si="41"/>
        <v>0</v>
      </c>
      <c r="M293">
        <f t="shared" si="42"/>
        <v>0</v>
      </c>
      <c r="N293">
        <f t="shared" si="50"/>
        <v>0</v>
      </c>
      <c r="O293">
        <f t="shared" si="43"/>
        <v>0</v>
      </c>
      <c r="P293">
        <f t="shared" si="44"/>
        <v>0</v>
      </c>
      <c r="R293" t="str">
        <f t="shared" si="45"/>
        <v>00</v>
      </c>
    </row>
    <row r="294" spans="1:18" x14ac:dyDescent="0.4">
      <c r="A294" s="1" t="str">
        <f t="shared" si="48"/>
        <v>092</v>
      </c>
      <c r="B294">
        <f t="shared" si="49"/>
        <v>0</v>
      </c>
      <c r="C294">
        <f>VALUE(MID(Hex!$C$2,1+2*HEX2DEC(A294)+B294,1))</f>
        <v>0</v>
      </c>
      <c r="D294" s="1" t="str">
        <f t="shared" si="46"/>
        <v>124</v>
      </c>
      <c r="E294">
        <f>HEX2DEC(MID(Hex!$C$8,1+HEX2DEC(Edit!D294)*2,2))</f>
        <v>0</v>
      </c>
      <c r="F294">
        <f t="shared" si="47"/>
        <v>292</v>
      </c>
      <c r="G294" t="str">
        <f>_xlfn.LET(_xlpm.custom,_xlfn.XLOOKUP(F294,Data!A:A,Data!C:C),IF(_xlpm.custom="",_xlfn.XLOOKUP(F294,Data!A:A,Data!B:B),_xlpm.custom))</f>
        <v>Power Band</v>
      </c>
      <c r="H294" t="str">
        <f>_xlfn.XLOOKUP(C294,Data!A:A,Data!E:E)</f>
        <v>General</v>
      </c>
      <c r="J294">
        <f>IF(I294="",C294,_xlfn.XLOOKUP(I294,Data!E:E,Data!A:A,""))</f>
        <v>0</v>
      </c>
      <c r="L294">
        <f t="shared" si="41"/>
        <v>0</v>
      </c>
      <c r="M294">
        <f t="shared" si="42"/>
        <v>0</v>
      </c>
      <c r="N294">
        <f t="shared" si="50"/>
        <v>0</v>
      </c>
      <c r="O294">
        <f t="shared" si="43"/>
        <v>0</v>
      </c>
      <c r="P294">
        <f t="shared" si="44"/>
        <v>0</v>
      </c>
      <c r="R294" t="str">
        <f t="shared" si="45"/>
        <v>00</v>
      </c>
    </row>
    <row r="295" spans="1:18" x14ac:dyDescent="0.4">
      <c r="A295" s="1" t="str">
        <f t="shared" si="48"/>
        <v>092</v>
      </c>
      <c r="B295">
        <f t="shared" si="49"/>
        <v>1</v>
      </c>
      <c r="C295">
        <f>VALUE(MID(Hex!$C$2,1+2*HEX2DEC(A295)+B295,1))</f>
        <v>0</v>
      </c>
      <c r="D295" s="1" t="str">
        <f t="shared" si="46"/>
        <v>125</v>
      </c>
      <c r="E295">
        <f>HEX2DEC(MID(Hex!$C$8,1+HEX2DEC(Edit!D295)*2,2))</f>
        <v>0</v>
      </c>
      <c r="F295">
        <f t="shared" si="47"/>
        <v>293</v>
      </c>
      <c r="G295" t="str">
        <f>_xlfn.LET(_xlpm.custom,_xlfn.XLOOKUP(F295,Data!A:A,Data!C:C),IF(_xlpm.custom="",_xlfn.XLOOKUP(F295,Data!A:A,Data!B:B),_xlpm.custom))</f>
        <v>Power Anklet</v>
      </c>
      <c r="H295" t="str">
        <f>_xlfn.XLOOKUP(C295,Data!A:A,Data!E:E)</f>
        <v>General</v>
      </c>
      <c r="J295">
        <f>IF(I295="",C295,_xlfn.XLOOKUP(I295,Data!E:E,Data!A:A,""))</f>
        <v>0</v>
      </c>
      <c r="L295">
        <f t="shared" si="41"/>
        <v>0</v>
      </c>
      <c r="M295">
        <f t="shared" si="42"/>
        <v>0</v>
      </c>
      <c r="N295">
        <f t="shared" si="50"/>
        <v>0</v>
      </c>
      <c r="O295">
        <f t="shared" si="43"/>
        <v>0</v>
      </c>
      <c r="P295">
        <f t="shared" si="44"/>
        <v>0</v>
      </c>
      <c r="R295" t="str">
        <f t="shared" si="45"/>
        <v>00</v>
      </c>
    </row>
    <row r="296" spans="1:18" x14ac:dyDescent="0.4">
      <c r="A296" s="1" t="str">
        <f t="shared" si="48"/>
        <v>093</v>
      </c>
      <c r="B296">
        <f t="shared" si="49"/>
        <v>0</v>
      </c>
      <c r="C296">
        <f>VALUE(MID(Hex!$C$2,1+2*HEX2DEC(A296)+B296,1))</f>
        <v>0</v>
      </c>
      <c r="D296" s="1" t="str">
        <f t="shared" si="46"/>
        <v>126</v>
      </c>
      <c r="E296">
        <f>HEX2DEC(MID(Hex!$C$8,1+HEX2DEC(Edit!D296)*2,2))</f>
        <v>0</v>
      </c>
      <c r="F296">
        <f t="shared" si="47"/>
        <v>294</v>
      </c>
      <c r="G296" t="str">
        <f>_xlfn.LET(_xlpm.custom,_xlfn.XLOOKUP(F296,Data!A:A,Data!C:C),IF(_xlpm.custom="",_xlfn.XLOOKUP(F296,Data!A:A,Data!B:B),_xlpm.custom))</f>
        <v>Power Weight</v>
      </c>
      <c r="H296" t="str">
        <f>_xlfn.XLOOKUP(C296,Data!A:A,Data!E:E)</f>
        <v>General</v>
      </c>
      <c r="J296">
        <f>IF(I296="",C296,_xlfn.XLOOKUP(I296,Data!E:E,Data!A:A,""))</f>
        <v>0</v>
      </c>
      <c r="L296">
        <f t="shared" si="41"/>
        <v>0</v>
      </c>
      <c r="M296">
        <f t="shared" si="42"/>
        <v>0</v>
      </c>
      <c r="N296">
        <f t="shared" si="50"/>
        <v>0</v>
      </c>
      <c r="O296">
        <f t="shared" si="43"/>
        <v>0</v>
      </c>
      <c r="P296">
        <f t="shared" si="44"/>
        <v>0</v>
      </c>
      <c r="R296" t="str">
        <f t="shared" si="45"/>
        <v>00</v>
      </c>
    </row>
    <row r="297" spans="1:18" x14ac:dyDescent="0.4">
      <c r="A297" s="1" t="str">
        <f t="shared" si="48"/>
        <v>093</v>
      </c>
      <c r="B297">
        <f t="shared" si="49"/>
        <v>1</v>
      </c>
      <c r="C297">
        <f>VALUE(MID(Hex!$C$2,1+2*HEX2DEC(A297)+B297,1))</f>
        <v>0</v>
      </c>
      <c r="D297" s="1" t="str">
        <f t="shared" si="46"/>
        <v>127</v>
      </c>
      <c r="E297">
        <f>HEX2DEC(MID(Hex!$C$8,1+HEX2DEC(Edit!D297)*2,2))</f>
        <v>0</v>
      </c>
      <c r="F297">
        <f t="shared" si="47"/>
        <v>295</v>
      </c>
      <c r="G297" t="str">
        <f>_xlfn.LET(_xlpm.custom,_xlfn.XLOOKUP(F297,Data!A:A,Data!C:C),IF(_xlpm.custom="",_xlfn.XLOOKUP(F297,Data!A:A,Data!B:B),_xlpm.custom))</f>
        <v>Shed Shell</v>
      </c>
      <c r="H297" t="str">
        <f>_xlfn.XLOOKUP(C297,Data!A:A,Data!E:E)</f>
        <v>General</v>
      </c>
      <c r="J297">
        <f>IF(I297="",C297,_xlfn.XLOOKUP(I297,Data!E:E,Data!A:A,""))</f>
        <v>0</v>
      </c>
      <c r="L297">
        <f t="shared" si="41"/>
        <v>0</v>
      </c>
      <c r="M297">
        <f t="shared" si="42"/>
        <v>0</v>
      </c>
      <c r="N297">
        <f t="shared" si="50"/>
        <v>0</v>
      </c>
      <c r="O297">
        <f t="shared" si="43"/>
        <v>0</v>
      </c>
      <c r="P297">
        <f t="shared" si="44"/>
        <v>0</v>
      </c>
      <c r="R297" t="str">
        <f t="shared" si="45"/>
        <v>00</v>
      </c>
    </row>
    <row r="298" spans="1:18" x14ac:dyDescent="0.4">
      <c r="A298" s="1" t="str">
        <f t="shared" si="48"/>
        <v>094</v>
      </c>
      <c r="B298">
        <f t="shared" si="49"/>
        <v>0</v>
      </c>
      <c r="C298">
        <f>VALUE(MID(Hex!$C$2,1+2*HEX2DEC(A298)+B298,1))</f>
        <v>0</v>
      </c>
      <c r="D298" s="1" t="str">
        <f t="shared" si="46"/>
        <v>128</v>
      </c>
      <c r="E298">
        <f>HEX2DEC(MID(Hex!$C$8,1+HEX2DEC(Edit!D298)*2,2))</f>
        <v>0</v>
      </c>
      <c r="F298">
        <f t="shared" si="47"/>
        <v>296</v>
      </c>
      <c r="G298" t="str">
        <f>_xlfn.LET(_xlpm.custom,_xlfn.XLOOKUP(F298,Data!A:A,Data!C:C),IF(_xlpm.custom="",_xlfn.XLOOKUP(F298,Data!A:A,Data!B:B),_xlpm.custom))</f>
        <v>Big Root</v>
      </c>
      <c r="H298" t="str">
        <f>_xlfn.XLOOKUP(C298,Data!A:A,Data!E:E)</f>
        <v>General</v>
      </c>
      <c r="J298">
        <f>IF(I298="",C298,_xlfn.XLOOKUP(I298,Data!E:E,Data!A:A,""))</f>
        <v>0</v>
      </c>
      <c r="L298">
        <f t="shared" si="41"/>
        <v>0</v>
      </c>
      <c r="M298">
        <f t="shared" si="42"/>
        <v>0</v>
      </c>
      <c r="N298">
        <f t="shared" si="50"/>
        <v>0</v>
      </c>
      <c r="O298">
        <f t="shared" si="43"/>
        <v>0</v>
      </c>
      <c r="P298">
        <f t="shared" si="44"/>
        <v>0</v>
      </c>
      <c r="R298" t="str">
        <f t="shared" si="45"/>
        <v>00</v>
      </c>
    </row>
    <row r="299" spans="1:18" x14ac:dyDescent="0.4">
      <c r="A299" s="1" t="str">
        <f t="shared" si="48"/>
        <v>094</v>
      </c>
      <c r="B299">
        <f t="shared" si="49"/>
        <v>1</v>
      </c>
      <c r="C299">
        <f>VALUE(MID(Hex!$C$2,1+2*HEX2DEC(A299)+B299,1))</f>
        <v>0</v>
      </c>
      <c r="D299" s="1" t="str">
        <f t="shared" si="46"/>
        <v>129</v>
      </c>
      <c r="E299">
        <f>HEX2DEC(MID(Hex!$C$8,1+HEX2DEC(Edit!D299)*2,2))</f>
        <v>0</v>
      </c>
      <c r="F299">
        <f t="shared" si="47"/>
        <v>297</v>
      </c>
      <c r="G299" t="str">
        <f>_xlfn.LET(_xlpm.custom,_xlfn.XLOOKUP(F299,Data!A:A,Data!C:C),IF(_xlpm.custom="",_xlfn.XLOOKUP(F299,Data!A:A,Data!B:B),_xlpm.custom))</f>
        <v>Choice Specs</v>
      </c>
      <c r="H299" t="str">
        <f>_xlfn.XLOOKUP(C299,Data!A:A,Data!E:E)</f>
        <v>General</v>
      </c>
      <c r="J299">
        <f>IF(I299="",C299,_xlfn.XLOOKUP(I299,Data!E:E,Data!A:A,""))</f>
        <v>0</v>
      </c>
      <c r="L299">
        <f t="shared" si="41"/>
        <v>0</v>
      </c>
      <c r="M299">
        <f t="shared" si="42"/>
        <v>0</v>
      </c>
      <c r="N299">
        <f t="shared" si="50"/>
        <v>0</v>
      </c>
      <c r="O299">
        <f t="shared" si="43"/>
        <v>0</v>
      </c>
      <c r="P299">
        <f t="shared" si="44"/>
        <v>0</v>
      </c>
      <c r="R299" t="str">
        <f t="shared" si="45"/>
        <v>00</v>
      </c>
    </row>
    <row r="300" spans="1:18" x14ac:dyDescent="0.4">
      <c r="A300" s="1" t="str">
        <f t="shared" si="48"/>
        <v>095</v>
      </c>
      <c r="B300">
        <f t="shared" si="49"/>
        <v>0</v>
      </c>
      <c r="C300">
        <f>VALUE(MID(Hex!$C$2,1+2*HEX2DEC(A300)+B300,1))</f>
        <v>0</v>
      </c>
      <c r="D300" s="1" t="str">
        <f t="shared" si="46"/>
        <v>12A</v>
      </c>
      <c r="E300">
        <f>HEX2DEC(MID(Hex!$C$8,1+HEX2DEC(Edit!D300)*2,2))</f>
        <v>0</v>
      </c>
      <c r="F300">
        <f t="shared" si="47"/>
        <v>298</v>
      </c>
      <c r="G300" t="str">
        <f>_xlfn.LET(_xlpm.custom,_xlfn.XLOOKUP(F300,Data!A:A,Data!C:C),IF(_xlpm.custom="",_xlfn.XLOOKUP(F300,Data!A:A,Data!B:B),_xlpm.custom))</f>
        <v>Flame Plate</v>
      </c>
      <c r="H300" t="str">
        <f>_xlfn.XLOOKUP(C300,Data!A:A,Data!E:E)</f>
        <v>General</v>
      </c>
      <c r="J300">
        <f>IF(I300="",C300,_xlfn.XLOOKUP(I300,Data!E:E,Data!A:A,""))</f>
        <v>0</v>
      </c>
      <c r="L300">
        <f t="shared" si="41"/>
        <v>0</v>
      </c>
      <c r="M300">
        <f t="shared" si="42"/>
        <v>0</v>
      </c>
      <c r="N300">
        <f t="shared" si="50"/>
        <v>0</v>
      </c>
      <c r="O300">
        <f t="shared" si="43"/>
        <v>0</v>
      </c>
      <c r="P300">
        <f t="shared" si="44"/>
        <v>0</v>
      </c>
      <c r="R300" t="str">
        <f t="shared" si="45"/>
        <v>00</v>
      </c>
    </row>
    <row r="301" spans="1:18" x14ac:dyDescent="0.4">
      <c r="A301" s="1" t="str">
        <f t="shared" si="48"/>
        <v>095</v>
      </c>
      <c r="B301">
        <f t="shared" si="49"/>
        <v>1</v>
      </c>
      <c r="C301">
        <f>VALUE(MID(Hex!$C$2,1+2*HEX2DEC(A301)+B301,1))</f>
        <v>0</v>
      </c>
      <c r="D301" s="1" t="str">
        <f t="shared" si="46"/>
        <v>12B</v>
      </c>
      <c r="E301">
        <f>HEX2DEC(MID(Hex!$C$8,1+HEX2DEC(Edit!D301)*2,2))</f>
        <v>0</v>
      </c>
      <c r="F301">
        <f t="shared" si="47"/>
        <v>299</v>
      </c>
      <c r="G301" t="str">
        <f>_xlfn.LET(_xlpm.custom,_xlfn.XLOOKUP(F301,Data!A:A,Data!C:C),IF(_xlpm.custom="",_xlfn.XLOOKUP(F301,Data!A:A,Data!B:B),_xlpm.custom))</f>
        <v>Splash Plate</v>
      </c>
      <c r="H301" t="str">
        <f>_xlfn.XLOOKUP(C301,Data!A:A,Data!E:E)</f>
        <v>General</v>
      </c>
      <c r="J301">
        <f>IF(I301="",C301,_xlfn.XLOOKUP(I301,Data!E:E,Data!A:A,""))</f>
        <v>0</v>
      </c>
      <c r="L301">
        <f t="shared" si="41"/>
        <v>0</v>
      </c>
      <c r="M301">
        <f t="shared" si="42"/>
        <v>0</v>
      </c>
      <c r="N301">
        <f t="shared" si="50"/>
        <v>0</v>
      </c>
      <c r="O301">
        <f t="shared" si="43"/>
        <v>0</v>
      </c>
      <c r="P301">
        <f t="shared" si="44"/>
        <v>0</v>
      </c>
      <c r="R301" t="str">
        <f t="shared" si="45"/>
        <v>00</v>
      </c>
    </row>
    <row r="302" spans="1:18" x14ac:dyDescent="0.4">
      <c r="A302" s="1" t="str">
        <f t="shared" si="48"/>
        <v>096</v>
      </c>
      <c r="B302">
        <f t="shared" si="49"/>
        <v>0</v>
      </c>
      <c r="C302">
        <f>VALUE(MID(Hex!$C$2,1+2*HEX2DEC(A302)+B302,1))</f>
        <v>0</v>
      </c>
      <c r="D302" s="1" t="str">
        <f t="shared" si="46"/>
        <v>12C</v>
      </c>
      <c r="E302">
        <f>HEX2DEC(MID(Hex!$C$8,1+HEX2DEC(Edit!D302)*2,2))</f>
        <v>0</v>
      </c>
      <c r="F302">
        <f t="shared" si="47"/>
        <v>300</v>
      </c>
      <c r="G302" t="str">
        <f>_xlfn.LET(_xlpm.custom,_xlfn.XLOOKUP(F302,Data!A:A,Data!C:C),IF(_xlpm.custom="",_xlfn.XLOOKUP(F302,Data!A:A,Data!B:B),_xlpm.custom))</f>
        <v>Zap Plate</v>
      </c>
      <c r="H302" t="str">
        <f>_xlfn.XLOOKUP(C302,Data!A:A,Data!E:E)</f>
        <v>General</v>
      </c>
      <c r="J302">
        <f>IF(I302="",C302,_xlfn.XLOOKUP(I302,Data!E:E,Data!A:A,""))</f>
        <v>0</v>
      </c>
      <c r="L302">
        <f t="shared" si="41"/>
        <v>0</v>
      </c>
      <c r="M302">
        <f t="shared" si="42"/>
        <v>0</v>
      </c>
      <c r="N302">
        <f t="shared" si="50"/>
        <v>0</v>
      </c>
      <c r="O302">
        <f t="shared" si="43"/>
        <v>0</v>
      </c>
      <c r="P302">
        <f t="shared" si="44"/>
        <v>0</v>
      </c>
      <c r="R302" t="str">
        <f t="shared" si="45"/>
        <v>00</v>
      </c>
    </row>
    <row r="303" spans="1:18" x14ac:dyDescent="0.4">
      <c r="A303" s="1" t="str">
        <f t="shared" si="48"/>
        <v>096</v>
      </c>
      <c r="B303">
        <f t="shared" si="49"/>
        <v>1</v>
      </c>
      <c r="C303">
        <f>VALUE(MID(Hex!$C$2,1+2*HEX2DEC(A303)+B303,1))</f>
        <v>0</v>
      </c>
      <c r="D303" s="1" t="str">
        <f t="shared" si="46"/>
        <v>12D</v>
      </c>
      <c r="E303">
        <f>HEX2DEC(MID(Hex!$C$8,1+HEX2DEC(Edit!D303)*2,2))</f>
        <v>0</v>
      </c>
      <c r="F303">
        <f t="shared" si="47"/>
        <v>301</v>
      </c>
      <c r="G303" t="str">
        <f>_xlfn.LET(_xlpm.custom,_xlfn.XLOOKUP(F303,Data!A:A,Data!C:C),IF(_xlpm.custom="",_xlfn.XLOOKUP(F303,Data!A:A,Data!B:B),_xlpm.custom))</f>
        <v>Meadow Plate</v>
      </c>
      <c r="H303" t="str">
        <f>_xlfn.XLOOKUP(C303,Data!A:A,Data!E:E)</f>
        <v>General</v>
      </c>
      <c r="J303">
        <f>IF(I303="",C303,_xlfn.XLOOKUP(I303,Data!E:E,Data!A:A,""))</f>
        <v>0</v>
      </c>
      <c r="L303">
        <f t="shared" si="41"/>
        <v>0</v>
      </c>
      <c r="M303">
        <f t="shared" si="42"/>
        <v>0</v>
      </c>
      <c r="N303">
        <f t="shared" si="50"/>
        <v>0</v>
      </c>
      <c r="O303">
        <f t="shared" si="43"/>
        <v>0</v>
      </c>
      <c r="P303">
        <f t="shared" si="44"/>
        <v>0</v>
      </c>
      <c r="R303" t="str">
        <f t="shared" si="45"/>
        <v>00</v>
      </c>
    </row>
    <row r="304" spans="1:18" x14ac:dyDescent="0.4">
      <c r="A304" s="1" t="str">
        <f t="shared" si="48"/>
        <v>097</v>
      </c>
      <c r="B304">
        <f t="shared" si="49"/>
        <v>0</v>
      </c>
      <c r="C304">
        <f>VALUE(MID(Hex!$C$2,1+2*HEX2DEC(A304)+B304,1))</f>
        <v>0</v>
      </c>
      <c r="D304" s="1" t="str">
        <f t="shared" si="46"/>
        <v>12E</v>
      </c>
      <c r="E304">
        <f>HEX2DEC(MID(Hex!$C$8,1+HEX2DEC(Edit!D304)*2,2))</f>
        <v>0</v>
      </c>
      <c r="F304">
        <f t="shared" si="47"/>
        <v>302</v>
      </c>
      <c r="G304" t="str">
        <f>_xlfn.LET(_xlpm.custom,_xlfn.XLOOKUP(F304,Data!A:A,Data!C:C),IF(_xlpm.custom="",_xlfn.XLOOKUP(F304,Data!A:A,Data!B:B),_xlpm.custom))</f>
        <v>Icicle Plate</v>
      </c>
      <c r="H304" t="str">
        <f>_xlfn.XLOOKUP(C304,Data!A:A,Data!E:E)</f>
        <v>General</v>
      </c>
      <c r="J304">
        <f>IF(I304="",C304,_xlfn.XLOOKUP(I304,Data!E:E,Data!A:A,""))</f>
        <v>0</v>
      </c>
      <c r="L304">
        <f t="shared" si="41"/>
        <v>0</v>
      </c>
      <c r="M304">
        <f t="shared" si="42"/>
        <v>0</v>
      </c>
      <c r="N304">
        <f t="shared" si="50"/>
        <v>0</v>
      </c>
      <c r="O304">
        <f t="shared" si="43"/>
        <v>0</v>
      </c>
      <c r="P304">
        <f t="shared" si="44"/>
        <v>0</v>
      </c>
      <c r="R304" t="str">
        <f t="shared" si="45"/>
        <v>00</v>
      </c>
    </row>
    <row r="305" spans="1:18" x14ac:dyDescent="0.4">
      <c r="A305" s="1" t="str">
        <f t="shared" si="48"/>
        <v>097</v>
      </c>
      <c r="B305">
        <f t="shared" si="49"/>
        <v>1</v>
      </c>
      <c r="C305">
        <f>VALUE(MID(Hex!$C$2,1+2*HEX2DEC(A305)+B305,1))</f>
        <v>0</v>
      </c>
      <c r="D305" s="1" t="str">
        <f t="shared" si="46"/>
        <v>12F</v>
      </c>
      <c r="E305">
        <f>HEX2DEC(MID(Hex!$C$8,1+HEX2DEC(Edit!D305)*2,2))</f>
        <v>0</v>
      </c>
      <c r="F305">
        <f t="shared" si="47"/>
        <v>303</v>
      </c>
      <c r="G305" t="str">
        <f>_xlfn.LET(_xlpm.custom,_xlfn.XLOOKUP(F305,Data!A:A,Data!C:C),IF(_xlpm.custom="",_xlfn.XLOOKUP(F305,Data!A:A,Data!B:B),_xlpm.custom))</f>
        <v>Fist Plate</v>
      </c>
      <c r="H305" t="str">
        <f>_xlfn.XLOOKUP(C305,Data!A:A,Data!E:E)</f>
        <v>General</v>
      </c>
      <c r="J305">
        <f>IF(I305="",C305,_xlfn.XLOOKUP(I305,Data!E:E,Data!A:A,""))</f>
        <v>0</v>
      </c>
      <c r="L305">
        <f t="shared" si="41"/>
        <v>0</v>
      </c>
      <c r="M305">
        <f t="shared" si="42"/>
        <v>0</v>
      </c>
      <c r="N305">
        <f t="shared" si="50"/>
        <v>0</v>
      </c>
      <c r="O305">
        <f t="shared" si="43"/>
        <v>0</v>
      </c>
      <c r="P305">
        <f t="shared" si="44"/>
        <v>0</v>
      </c>
      <c r="R305" t="str">
        <f t="shared" si="45"/>
        <v>00</v>
      </c>
    </row>
    <row r="306" spans="1:18" x14ac:dyDescent="0.4">
      <c r="A306" s="1" t="str">
        <f t="shared" si="48"/>
        <v>098</v>
      </c>
      <c r="B306">
        <f t="shared" si="49"/>
        <v>0</v>
      </c>
      <c r="C306">
        <f>VALUE(MID(Hex!$C$2,1+2*HEX2DEC(A306)+B306,1))</f>
        <v>0</v>
      </c>
      <c r="D306" s="1" t="str">
        <f t="shared" si="46"/>
        <v>130</v>
      </c>
      <c r="E306">
        <f>HEX2DEC(MID(Hex!$C$8,1+HEX2DEC(Edit!D306)*2,2))</f>
        <v>0</v>
      </c>
      <c r="F306">
        <f t="shared" si="47"/>
        <v>304</v>
      </c>
      <c r="G306" t="str">
        <f>_xlfn.LET(_xlpm.custom,_xlfn.XLOOKUP(F306,Data!A:A,Data!C:C),IF(_xlpm.custom="",_xlfn.XLOOKUP(F306,Data!A:A,Data!B:B),_xlpm.custom))</f>
        <v>Toxic Plate</v>
      </c>
      <c r="H306" t="str">
        <f>_xlfn.XLOOKUP(C306,Data!A:A,Data!E:E)</f>
        <v>General</v>
      </c>
      <c r="J306">
        <f>IF(I306="",C306,_xlfn.XLOOKUP(I306,Data!E:E,Data!A:A,""))</f>
        <v>0</v>
      </c>
      <c r="L306">
        <f t="shared" si="41"/>
        <v>0</v>
      </c>
      <c r="M306">
        <f t="shared" si="42"/>
        <v>0</v>
      </c>
      <c r="N306">
        <f t="shared" si="50"/>
        <v>0</v>
      </c>
      <c r="O306">
        <f t="shared" si="43"/>
        <v>0</v>
      </c>
      <c r="P306">
        <f t="shared" si="44"/>
        <v>0</v>
      </c>
      <c r="R306" t="str">
        <f t="shared" si="45"/>
        <v>00</v>
      </c>
    </row>
    <row r="307" spans="1:18" x14ac:dyDescent="0.4">
      <c r="A307" s="1" t="str">
        <f t="shared" si="48"/>
        <v>098</v>
      </c>
      <c r="B307">
        <f t="shared" si="49"/>
        <v>1</v>
      </c>
      <c r="C307">
        <f>VALUE(MID(Hex!$C$2,1+2*HEX2DEC(A307)+B307,1))</f>
        <v>0</v>
      </c>
      <c r="D307" s="1" t="str">
        <f t="shared" si="46"/>
        <v>131</v>
      </c>
      <c r="E307">
        <f>HEX2DEC(MID(Hex!$C$8,1+HEX2DEC(Edit!D307)*2,2))</f>
        <v>0</v>
      </c>
      <c r="F307">
        <f t="shared" si="47"/>
        <v>305</v>
      </c>
      <c r="G307" t="str">
        <f>_xlfn.LET(_xlpm.custom,_xlfn.XLOOKUP(F307,Data!A:A,Data!C:C),IF(_xlpm.custom="",_xlfn.XLOOKUP(F307,Data!A:A,Data!B:B),_xlpm.custom))</f>
        <v>Earth Plate</v>
      </c>
      <c r="H307" t="str">
        <f>_xlfn.XLOOKUP(C307,Data!A:A,Data!E:E)</f>
        <v>General</v>
      </c>
      <c r="J307">
        <f>IF(I307="",C307,_xlfn.XLOOKUP(I307,Data!E:E,Data!A:A,""))</f>
        <v>0</v>
      </c>
      <c r="L307">
        <f t="shared" si="41"/>
        <v>0</v>
      </c>
      <c r="M307">
        <f t="shared" si="42"/>
        <v>0</v>
      </c>
      <c r="N307">
        <f t="shared" si="50"/>
        <v>0</v>
      </c>
      <c r="O307">
        <f t="shared" si="43"/>
        <v>0</v>
      </c>
      <c r="P307">
        <f t="shared" si="44"/>
        <v>0</v>
      </c>
      <c r="R307" t="str">
        <f t="shared" si="45"/>
        <v>00</v>
      </c>
    </row>
    <row r="308" spans="1:18" x14ac:dyDescent="0.4">
      <c r="A308" s="1" t="str">
        <f t="shared" si="48"/>
        <v>099</v>
      </c>
      <c r="B308">
        <f t="shared" si="49"/>
        <v>0</v>
      </c>
      <c r="C308">
        <f>VALUE(MID(Hex!$C$2,1+2*HEX2DEC(A308)+B308,1))</f>
        <v>0</v>
      </c>
      <c r="D308" s="1" t="str">
        <f t="shared" si="46"/>
        <v>132</v>
      </c>
      <c r="E308">
        <f>HEX2DEC(MID(Hex!$C$8,1+HEX2DEC(Edit!D308)*2,2))</f>
        <v>0</v>
      </c>
      <c r="F308">
        <f t="shared" si="47"/>
        <v>306</v>
      </c>
      <c r="G308" t="str">
        <f>_xlfn.LET(_xlpm.custom,_xlfn.XLOOKUP(F308,Data!A:A,Data!C:C),IF(_xlpm.custom="",_xlfn.XLOOKUP(F308,Data!A:A,Data!B:B),_xlpm.custom))</f>
        <v>Sky Plate</v>
      </c>
      <c r="H308" t="str">
        <f>_xlfn.XLOOKUP(C308,Data!A:A,Data!E:E)</f>
        <v>General</v>
      </c>
      <c r="J308">
        <f>IF(I308="",C308,_xlfn.XLOOKUP(I308,Data!E:E,Data!A:A,""))</f>
        <v>0</v>
      </c>
      <c r="L308">
        <f t="shared" si="41"/>
        <v>0</v>
      </c>
      <c r="M308">
        <f t="shared" si="42"/>
        <v>0</v>
      </c>
      <c r="N308">
        <f t="shared" si="50"/>
        <v>0</v>
      </c>
      <c r="O308">
        <f t="shared" si="43"/>
        <v>0</v>
      </c>
      <c r="P308">
        <f t="shared" si="44"/>
        <v>0</v>
      </c>
      <c r="R308" t="str">
        <f t="shared" si="45"/>
        <v>00</v>
      </c>
    </row>
    <row r="309" spans="1:18" x14ac:dyDescent="0.4">
      <c r="A309" s="1" t="str">
        <f t="shared" si="48"/>
        <v>099</v>
      </c>
      <c r="B309">
        <f t="shared" si="49"/>
        <v>1</v>
      </c>
      <c r="C309">
        <f>VALUE(MID(Hex!$C$2,1+2*HEX2DEC(A309)+B309,1))</f>
        <v>0</v>
      </c>
      <c r="D309" s="1" t="str">
        <f t="shared" si="46"/>
        <v>133</v>
      </c>
      <c r="E309">
        <f>HEX2DEC(MID(Hex!$C$8,1+HEX2DEC(Edit!D309)*2,2))</f>
        <v>0</v>
      </c>
      <c r="F309">
        <f t="shared" si="47"/>
        <v>307</v>
      </c>
      <c r="G309" t="str">
        <f>_xlfn.LET(_xlpm.custom,_xlfn.XLOOKUP(F309,Data!A:A,Data!C:C),IF(_xlpm.custom="",_xlfn.XLOOKUP(F309,Data!A:A,Data!B:B),_xlpm.custom))</f>
        <v>Mind Plate</v>
      </c>
      <c r="H309" t="str">
        <f>_xlfn.XLOOKUP(C309,Data!A:A,Data!E:E)</f>
        <v>General</v>
      </c>
      <c r="J309">
        <f>IF(I309="",C309,_xlfn.XLOOKUP(I309,Data!E:E,Data!A:A,""))</f>
        <v>0</v>
      </c>
      <c r="L309">
        <f t="shared" si="41"/>
        <v>0</v>
      </c>
      <c r="M309">
        <f t="shared" si="42"/>
        <v>0</v>
      </c>
      <c r="N309">
        <f t="shared" si="50"/>
        <v>0</v>
      </c>
      <c r="O309">
        <f t="shared" si="43"/>
        <v>0</v>
      </c>
      <c r="P309">
        <f t="shared" si="44"/>
        <v>0</v>
      </c>
      <c r="R309" t="str">
        <f t="shared" si="45"/>
        <v>00</v>
      </c>
    </row>
    <row r="310" spans="1:18" x14ac:dyDescent="0.4">
      <c r="A310" s="1" t="str">
        <f t="shared" si="48"/>
        <v>09A</v>
      </c>
      <c r="B310">
        <f t="shared" si="49"/>
        <v>0</v>
      </c>
      <c r="C310">
        <f>VALUE(MID(Hex!$C$2,1+2*HEX2DEC(A310)+B310,1))</f>
        <v>0</v>
      </c>
      <c r="D310" s="1" t="str">
        <f t="shared" si="46"/>
        <v>134</v>
      </c>
      <c r="E310">
        <f>HEX2DEC(MID(Hex!$C$8,1+HEX2DEC(Edit!D310)*2,2))</f>
        <v>0</v>
      </c>
      <c r="F310">
        <f t="shared" si="47"/>
        <v>308</v>
      </c>
      <c r="G310" t="str">
        <f>_xlfn.LET(_xlpm.custom,_xlfn.XLOOKUP(F310,Data!A:A,Data!C:C),IF(_xlpm.custom="",_xlfn.XLOOKUP(F310,Data!A:A,Data!B:B),_xlpm.custom))</f>
        <v>Insect Plate</v>
      </c>
      <c r="H310" t="str">
        <f>_xlfn.XLOOKUP(C310,Data!A:A,Data!E:E)</f>
        <v>General</v>
      </c>
      <c r="J310">
        <f>IF(I310="",C310,_xlfn.XLOOKUP(I310,Data!E:E,Data!A:A,""))</f>
        <v>0</v>
      </c>
      <c r="L310">
        <f t="shared" si="41"/>
        <v>0</v>
      </c>
      <c r="M310">
        <f t="shared" si="42"/>
        <v>0</v>
      </c>
      <c r="N310">
        <f t="shared" si="50"/>
        <v>0</v>
      </c>
      <c r="O310">
        <f t="shared" si="43"/>
        <v>0</v>
      </c>
      <c r="P310">
        <f t="shared" si="44"/>
        <v>0</v>
      </c>
      <c r="R310" t="str">
        <f t="shared" si="45"/>
        <v>00</v>
      </c>
    </row>
    <row r="311" spans="1:18" x14ac:dyDescent="0.4">
      <c r="A311" s="1" t="str">
        <f t="shared" si="48"/>
        <v>09A</v>
      </c>
      <c r="B311">
        <f t="shared" si="49"/>
        <v>1</v>
      </c>
      <c r="C311">
        <f>VALUE(MID(Hex!$C$2,1+2*HEX2DEC(A311)+B311,1))</f>
        <v>0</v>
      </c>
      <c r="D311" s="1" t="str">
        <f t="shared" si="46"/>
        <v>135</v>
      </c>
      <c r="E311">
        <f>HEX2DEC(MID(Hex!$C$8,1+HEX2DEC(Edit!D311)*2,2))</f>
        <v>0</v>
      </c>
      <c r="F311">
        <f t="shared" si="47"/>
        <v>309</v>
      </c>
      <c r="G311" t="str">
        <f>_xlfn.LET(_xlpm.custom,_xlfn.XLOOKUP(F311,Data!A:A,Data!C:C),IF(_xlpm.custom="",_xlfn.XLOOKUP(F311,Data!A:A,Data!B:B),_xlpm.custom))</f>
        <v>Stone Plate</v>
      </c>
      <c r="H311" t="str">
        <f>_xlfn.XLOOKUP(C311,Data!A:A,Data!E:E)</f>
        <v>General</v>
      </c>
      <c r="J311">
        <f>IF(I311="",C311,_xlfn.XLOOKUP(I311,Data!E:E,Data!A:A,""))</f>
        <v>0</v>
      </c>
      <c r="L311">
        <f t="shared" si="41"/>
        <v>0</v>
      </c>
      <c r="M311">
        <f t="shared" si="42"/>
        <v>0</v>
      </c>
      <c r="N311">
        <f t="shared" si="50"/>
        <v>0</v>
      </c>
      <c r="O311">
        <f t="shared" si="43"/>
        <v>0</v>
      </c>
      <c r="P311">
        <f t="shared" si="44"/>
        <v>0</v>
      </c>
      <c r="R311" t="str">
        <f t="shared" si="45"/>
        <v>00</v>
      </c>
    </row>
    <row r="312" spans="1:18" x14ac:dyDescent="0.4">
      <c r="A312" s="1" t="str">
        <f t="shared" si="48"/>
        <v>09B</v>
      </c>
      <c r="B312">
        <f t="shared" si="49"/>
        <v>0</v>
      </c>
      <c r="C312">
        <f>VALUE(MID(Hex!$C$2,1+2*HEX2DEC(A312)+B312,1))</f>
        <v>0</v>
      </c>
      <c r="D312" s="1" t="str">
        <f t="shared" si="46"/>
        <v>136</v>
      </c>
      <c r="E312">
        <f>HEX2DEC(MID(Hex!$C$8,1+HEX2DEC(Edit!D312)*2,2))</f>
        <v>0</v>
      </c>
      <c r="F312">
        <f t="shared" si="47"/>
        <v>310</v>
      </c>
      <c r="G312" t="str">
        <f>_xlfn.LET(_xlpm.custom,_xlfn.XLOOKUP(F312,Data!A:A,Data!C:C),IF(_xlpm.custom="",_xlfn.XLOOKUP(F312,Data!A:A,Data!B:B),_xlpm.custom))</f>
        <v>Spooky Plate</v>
      </c>
      <c r="H312" t="str">
        <f>_xlfn.XLOOKUP(C312,Data!A:A,Data!E:E)</f>
        <v>General</v>
      </c>
      <c r="J312">
        <f>IF(I312="",C312,_xlfn.XLOOKUP(I312,Data!E:E,Data!A:A,""))</f>
        <v>0</v>
      </c>
      <c r="L312">
        <f t="shared" si="41"/>
        <v>0</v>
      </c>
      <c r="M312">
        <f t="shared" si="42"/>
        <v>0</v>
      </c>
      <c r="N312">
        <f t="shared" si="50"/>
        <v>0</v>
      </c>
      <c r="O312">
        <f t="shared" si="43"/>
        <v>0</v>
      </c>
      <c r="P312">
        <f t="shared" si="44"/>
        <v>0</v>
      </c>
      <c r="R312" t="str">
        <f t="shared" si="45"/>
        <v>00</v>
      </c>
    </row>
    <row r="313" spans="1:18" x14ac:dyDescent="0.4">
      <c r="A313" s="1" t="str">
        <f t="shared" si="48"/>
        <v>09B</v>
      </c>
      <c r="B313">
        <f t="shared" si="49"/>
        <v>1</v>
      </c>
      <c r="C313">
        <f>VALUE(MID(Hex!$C$2,1+2*HEX2DEC(A313)+B313,1))</f>
        <v>0</v>
      </c>
      <c r="D313" s="1" t="str">
        <f t="shared" si="46"/>
        <v>137</v>
      </c>
      <c r="E313">
        <f>HEX2DEC(MID(Hex!$C$8,1+HEX2DEC(Edit!D313)*2,2))</f>
        <v>0</v>
      </c>
      <c r="F313">
        <f t="shared" si="47"/>
        <v>311</v>
      </c>
      <c r="G313" t="str">
        <f>_xlfn.LET(_xlpm.custom,_xlfn.XLOOKUP(F313,Data!A:A,Data!C:C),IF(_xlpm.custom="",_xlfn.XLOOKUP(F313,Data!A:A,Data!B:B),_xlpm.custom))</f>
        <v>Draco Plate</v>
      </c>
      <c r="H313" t="str">
        <f>_xlfn.XLOOKUP(C313,Data!A:A,Data!E:E)</f>
        <v>General</v>
      </c>
      <c r="J313">
        <f>IF(I313="",C313,_xlfn.XLOOKUP(I313,Data!E:E,Data!A:A,""))</f>
        <v>0</v>
      </c>
      <c r="L313">
        <f t="shared" si="41"/>
        <v>0</v>
      </c>
      <c r="M313">
        <f t="shared" si="42"/>
        <v>0</v>
      </c>
      <c r="N313">
        <f t="shared" si="50"/>
        <v>0</v>
      </c>
      <c r="O313">
        <f t="shared" si="43"/>
        <v>0</v>
      </c>
      <c r="P313">
        <f t="shared" si="44"/>
        <v>0</v>
      </c>
      <c r="R313" t="str">
        <f t="shared" si="45"/>
        <v>00</v>
      </c>
    </row>
    <row r="314" spans="1:18" x14ac:dyDescent="0.4">
      <c r="A314" s="1" t="str">
        <f t="shared" si="48"/>
        <v>09C</v>
      </c>
      <c r="B314">
        <f t="shared" si="49"/>
        <v>0</v>
      </c>
      <c r="C314">
        <f>VALUE(MID(Hex!$C$2,1+2*HEX2DEC(A314)+B314,1))</f>
        <v>0</v>
      </c>
      <c r="D314" s="1" t="str">
        <f t="shared" si="46"/>
        <v>138</v>
      </c>
      <c r="E314">
        <f>HEX2DEC(MID(Hex!$C$8,1+HEX2DEC(Edit!D314)*2,2))</f>
        <v>0</v>
      </c>
      <c r="F314">
        <f t="shared" si="47"/>
        <v>312</v>
      </c>
      <c r="G314" t="str">
        <f>_xlfn.LET(_xlpm.custom,_xlfn.XLOOKUP(F314,Data!A:A,Data!C:C),IF(_xlpm.custom="",_xlfn.XLOOKUP(F314,Data!A:A,Data!B:B),_xlpm.custom))</f>
        <v>Dread Plate</v>
      </c>
      <c r="H314" t="str">
        <f>_xlfn.XLOOKUP(C314,Data!A:A,Data!E:E)</f>
        <v>General</v>
      </c>
      <c r="J314">
        <f>IF(I314="",C314,_xlfn.XLOOKUP(I314,Data!E:E,Data!A:A,""))</f>
        <v>0</v>
      </c>
      <c r="L314">
        <f t="shared" si="41"/>
        <v>0</v>
      </c>
      <c r="M314">
        <f t="shared" si="42"/>
        <v>0</v>
      </c>
      <c r="N314">
        <f t="shared" si="50"/>
        <v>0</v>
      </c>
      <c r="O314">
        <f t="shared" si="43"/>
        <v>0</v>
      </c>
      <c r="P314">
        <f t="shared" si="44"/>
        <v>0</v>
      </c>
      <c r="R314" t="str">
        <f t="shared" si="45"/>
        <v>00</v>
      </c>
    </row>
    <row r="315" spans="1:18" x14ac:dyDescent="0.4">
      <c r="A315" s="1" t="str">
        <f t="shared" si="48"/>
        <v>09C</v>
      </c>
      <c r="B315">
        <f t="shared" si="49"/>
        <v>1</v>
      </c>
      <c r="C315">
        <f>VALUE(MID(Hex!$C$2,1+2*HEX2DEC(A315)+B315,1))</f>
        <v>0</v>
      </c>
      <c r="D315" s="1" t="str">
        <f t="shared" si="46"/>
        <v>139</v>
      </c>
      <c r="E315">
        <f>HEX2DEC(MID(Hex!$C$8,1+HEX2DEC(Edit!D315)*2,2))</f>
        <v>0</v>
      </c>
      <c r="F315">
        <f t="shared" si="47"/>
        <v>313</v>
      </c>
      <c r="G315" t="str">
        <f>_xlfn.LET(_xlpm.custom,_xlfn.XLOOKUP(F315,Data!A:A,Data!C:C),IF(_xlpm.custom="",_xlfn.XLOOKUP(F315,Data!A:A,Data!B:B),_xlpm.custom))</f>
        <v>Iron Plate</v>
      </c>
      <c r="H315" t="str">
        <f>_xlfn.XLOOKUP(C315,Data!A:A,Data!E:E)</f>
        <v>General</v>
      </c>
      <c r="J315">
        <f>IF(I315="",C315,_xlfn.XLOOKUP(I315,Data!E:E,Data!A:A,""))</f>
        <v>0</v>
      </c>
      <c r="L315">
        <f t="shared" si="41"/>
        <v>0</v>
      </c>
      <c r="M315">
        <f t="shared" si="42"/>
        <v>0</v>
      </c>
      <c r="N315">
        <f t="shared" si="50"/>
        <v>0</v>
      </c>
      <c r="O315">
        <f t="shared" si="43"/>
        <v>0</v>
      </c>
      <c r="P315">
        <f t="shared" si="44"/>
        <v>0</v>
      </c>
      <c r="R315" t="str">
        <f t="shared" si="45"/>
        <v>00</v>
      </c>
    </row>
    <row r="316" spans="1:18" x14ac:dyDescent="0.4">
      <c r="A316" s="1" t="str">
        <f t="shared" si="48"/>
        <v>09D</v>
      </c>
      <c r="B316">
        <f t="shared" si="49"/>
        <v>0</v>
      </c>
      <c r="C316">
        <f>VALUE(MID(Hex!$C$2,1+2*HEX2DEC(A316)+B316,1))</f>
        <v>0</v>
      </c>
      <c r="D316" s="1" t="str">
        <f t="shared" si="46"/>
        <v>13A</v>
      </c>
      <c r="E316">
        <f>HEX2DEC(MID(Hex!$C$8,1+HEX2DEC(Edit!D316)*2,2))</f>
        <v>0</v>
      </c>
      <c r="F316">
        <f t="shared" si="47"/>
        <v>314</v>
      </c>
      <c r="G316" t="str">
        <f>_xlfn.LET(_xlpm.custom,_xlfn.XLOOKUP(F316,Data!A:A,Data!C:C),IF(_xlpm.custom="",_xlfn.XLOOKUP(F316,Data!A:A,Data!B:B),_xlpm.custom))</f>
        <v>Odd Incense</v>
      </c>
      <c r="H316" t="str">
        <f>_xlfn.XLOOKUP(C316,Data!A:A,Data!E:E)</f>
        <v>General</v>
      </c>
      <c r="J316">
        <f>IF(I316="",C316,_xlfn.XLOOKUP(I316,Data!E:E,Data!A:A,""))</f>
        <v>0</v>
      </c>
      <c r="L316">
        <f t="shared" si="41"/>
        <v>0</v>
      </c>
      <c r="M316">
        <f t="shared" si="42"/>
        <v>0</v>
      </c>
      <c r="N316">
        <f t="shared" si="50"/>
        <v>0</v>
      </c>
      <c r="O316">
        <f t="shared" si="43"/>
        <v>0</v>
      </c>
      <c r="P316">
        <f t="shared" si="44"/>
        <v>0</v>
      </c>
      <c r="R316" t="str">
        <f t="shared" si="45"/>
        <v>00</v>
      </c>
    </row>
    <row r="317" spans="1:18" x14ac:dyDescent="0.4">
      <c r="A317" s="1" t="str">
        <f t="shared" si="48"/>
        <v>09D</v>
      </c>
      <c r="B317">
        <f t="shared" si="49"/>
        <v>1</v>
      </c>
      <c r="C317">
        <f>VALUE(MID(Hex!$C$2,1+2*HEX2DEC(A317)+B317,1))</f>
        <v>0</v>
      </c>
      <c r="D317" s="1" t="str">
        <f t="shared" si="46"/>
        <v>13B</v>
      </c>
      <c r="E317">
        <f>HEX2DEC(MID(Hex!$C$8,1+HEX2DEC(Edit!D317)*2,2))</f>
        <v>0</v>
      </c>
      <c r="F317">
        <f t="shared" si="47"/>
        <v>315</v>
      </c>
      <c r="G317" t="str">
        <f>_xlfn.LET(_xlpm.custom,_xlfn.XLOOKUP(F317,Data!A:A,Data!C:C),IF(_xlpm.custom="",_xlfn.XLOOKUP(F317,Data!A:A,Data!B:B),_xlpm.custom))</f>
        <v>Rock Incense</v>
      </c>
      <c r="H317" t="str">
        <f>_xlfn.XLOOKUP(C317,Data!A:A,Data!E:E)</f>
        <v>General</v>
      </c>
      <c r="J317">
        <f>IF(I317="",C317,_xlfn.XLOOKUP(I317,Data!E:E,Data!A:A,""))</f>
        <v>0</v>
      </c>
      <c r="L317">
        <f t="shared" si="41"/>
        <v>0</v>
      </c>
      <c r="M317">
        <f t="shared" si="42"/>
        <v>0</v>
      </c>
      <c r="N317">
        <f t="shared" si="50"/>
        <v>0</v>
      </c>
      <c r="O317">
        <f t="shared" si="43"/>
        <v>0</v>
      </c>
      <c r="P317">
        <f t="shared" si="44"/>
        <v>0</v>
      </c>
      <c r="R317" t="str">
        <f t="shared" si="45"/>
        <v>00</v>
      </c>
    </row>
    <row r="318" spans="1:18" x14ac:dyDescent="0.4">
      <c r="A318" s="1" t="str">
        <f t="shared" si="48"/>
        <v>09E</v>
      </c>
      <c r="B318">
        <f t="shared" si="49"/>
        <v>0</v>
      </c>
      <c r="C318">
        <f>VALUE(MID(Hex!$C$2,1+2*HEX2DEC(A318)+B318,1))</f>
        <v>0</v>
      </c>
      <c r="D318" s="1" t="str">
        <f t="shared" si="46"/>
        <v>13C</v>
      </c>
      <c r="E318">
        <f>HEX2DEC(MID(Hex!$C$8,1+HEX2DEC(Edit!D318)*2,2))</f>
        <v>0</v>
      </c>
      <c r="F318">
        <f t="shared" si="47"/>
        <v>316</v>
      </c>
      <c r="G318" t="str">
        <f>_xlfn.LET(_xlpm.custom,_xlfn.XLOOKUP(F318,Data!A:A,Data!C:C),IF(_xlpm.custom="",_xlfn.XLOOKUP(F318,Data!A:A,Data!B:B),_xlpm.custom))</f>
        <v>Full Incense</v>
      </c>
      <c r="H318" t="str">
        <f>_xlfn.XLOOKUP(C318,Data!A:A,Data!E:E)</f>
        <v>General</v>
      </c>
      <c r="J318">
        <f>IF(I318="",C318,_xlfn.XLOOKUP(I318,Data!E:E,Data!A:A,""))</f>
        <v>0</v>
      </c>
      <c r="L318">
        <f t="shared" si="41"/>
        <v>0</v>
      </c>
      <c r="M318">
        <f t="shared" si="42"/>
        <v>0</v>
      </c>
      <c r="N318">
        <f t="shared" si="50"/>
        <v>0</v>
      </c>
      <c r="O318">
        <f t="shared" si="43"/>
        <v>0</v>
      </c>
      <c r="P318">
        <f t="shared" si="44"/>
        <v>0</v>
      </c>
      <c r="R318" t="str">
        <f t="shared" si="45"/>
        <v>00</v>
      </c>
    </row>
    <row r="319" spans="1:18" x14ac:dyDescent="0.4">
      <c r="A319" s="1" t="str">
        <f t="shared" si="48"/>
        <v>09E</v>
      </c>
      <c r="B319">
        <f t="shared" si="49"/>
        <v>1</v>
      </c>
      <c r="C319">
        <f>VALUE(MID(Hex!$C$2,1+2*HEX2DEC(A319)+B319,1))</f>
        <v>0</v>
      </c>
      <c r="D319" s="1" t="str">
        <f t="shared" si="46"/>
        <v>13D</v>
      </c>
      <c r="E319">
        <f>HEX2DEC(MID(Hex!$C$8,1+HEX2DEC(Edit!D319)*2,2))</f>
        <v>0</v>
      </c>
      <c r="F319">
        <f t="shared" si="47"/>
        <v>317</v>
      </c>
      <c r="G319" t="str">
        <f>_xlfn.LET(_xlpm.custom,_xlfn.XLOOKUP(F319,Data!A:A,Data!C:C),IF(_xlpm.custom="",_xlfn.XLOOKUP(F319,Data!A:A,Data!B:B),_xlpm.custom))</f>
        <v>Wave Incense</v>
      </c>
      <c r="H319" t="str">
        <f>_xlfn.XLOOKUP(C319,Data!A:A,Data!E:E)</f>
        <v>General</v>
      </c>
      <c r="J319">
        <f>IF(I319="",C319,_xlfn.XLOOKUP(I319,Data!E:E,Data!A:A,""))</f>
        <v>0</v>
      </c>
      <c r="L319">
        <f t="shared" si="41"/>
        <v>0</v>
      </c>
      <c r="M319">
        <f t="shared" si="42"/>
        <v>0</v>
      </c>
      <c r="N319">
        <f t="shared" si="50"/>
        <v>0</v>
      </c>
      <c r="O319">
        <f t="shared" si="43"/>
        <v>0</v>
      </c>
      <c r="P319">
        <f t="shared" si="44"/>
        <v>0</v>
      </c>
      <c r="R319" t="str">
        <f t="shared" si="45"/>
        <v>00</v>
      </c>
    </row>
    <row r="320" spans="1:18" x14ac:dyDescent="0.4">
      <c r="A320" s="1" t="str">
        <f t="shared" si="48"/>
        <v>09F</v>
      </c>
      <c r="B320">
        <f t="shared" si="49"/>
        <v>0</v>
      </c>
      <c r="C320">
        <f>VALUE(MID(Hex!$C$2,1+2*HEX2DEC(A320)+B320,1))</f>
        <v>0</v>
      </c>
      <c r="D320" s="1" t="str">
        <f t="shared" si="46"/>
        <v>13E</v>
      </c>
      <c r="E320">
        <f>HEX2DEC(MID(Hex!$C$8,1+HEX2DEC(Edit!D320)*2,2))</f>
        <v>0</v>
      </c>
      <c r="F320">
        <f t="shared" si="47"/>
        <v>318</v>
      </c>
      <c r="G320" t="str">
        <f>_xlfn.LET(_xlpm.custom,_xlfn.XLOOKUP(F320,Data!A:A,Data!C:C),IF(_xlpm.custom="",_xlfn.XLOOKUP(F320,Data!A:A,Data!B:B),_xlpm.custom))</f>
        <v>Rose Incense</v>
      </c>
      <c r="H320" t="str">
        <f>_xlfn.XLOOKUP(C320,Data!A:A,Data!E:E)</f>
        <v>General</v>
      </c>
      <c r="J320">
        <f>IF(I320="",C320,_xlfn.XLOOKUP(I320,Data!E:E,Data!A:A,""))</f>
        <v>0</v>
      </c>
      <c r="L320">
        <f t="shared" si="41"/>
        <v>0</v>
      </c>
      <c r="M320">
        <f t="shared" si="42"/>
        <v>0</v>
      </c>
      <c r="N320">
        <f t="shared" si="50"/>
        <v>0</v>
      </c>
      <c r="O320">
        <f t="shared" si="43"/>
        <v>0</v>
      </c>
      <c r="P320">
        <f t="shared" si="44"/>
        <v>0</v>
      </c>
      <c r="R320" t="str">
        <f t="shared" si="45"/>
        <v>00</v>
      </c>
    </row>
    <row r="321" spans="1:18" x14ac:dyDescent="0.4">
      <c r="A321" s="1" t="str">
        <f t="shared" si="48"/>
        <v>09F</v>
      </c>
      <c r="B321">
        <f t="shared" si="49"/>
        <v>1</v>
      </c>
      <c r="C321">
        <f>VALUE(MID(Hex!$C$2,1+2*HEX2DEC(A321)+B321,1))</f>
        <v>0</v>
      </c>
      <c r="D321" s="1" t="str">
        <f t="shared" si="46"/>
        <v>13F</v>
      </c>
      <c r="E321">
        <f>HEX2DEC(MID(Hex!$C$8,1+HEX2DEC(Edit!D321)*2,2))</f>
        <v>0</v>
      </c>
      <c r="F321">
        <f t="shared" si="47"/>
        <v>319</v>
      </c>
      <c r="G321" t="str">
        <f>_xlfn.LET(_xlpm.custom,_xlfn.XLOOKUP(F321,Data!A:A,Data!C:C),IF(_xlpm.custom="",_xlfn.XLOOKUP(F321,Data!A:A,Data!B:B),_xlpm.custom))</f>
        <v>Luck Incense</v>
      </c>
      <c r="H321" t="str">
        <f>_xlfn.XLOOKUP(C321,Data!A:A,Data!E:E)</f>
        <v>General</v>
      </c>
      <c r="J321">
        <f>IF(I321="",C321,_xlfn.XLOOKUP(I321,Data!E:E,Data!A:A,""))</f>
        <v>0</v>
      </c>
      <c r="L321">
        <f t="shared" si="41"/>
        <v>0</v>
      </c>
      <c r="M321">
        <f t="shared" si="42"/>
        <v>0</v>
      </c>
      <c r="N321">
        <f t="shared" si="50"/>
        <v>0</v>
      </c>
      <c r="O321">
        <f t="shared" si="43"/>
        <v>0</v>
      </c>
      <c r="P321">
        <f t="shared" si="44"/>
        <v>0</v>
      </c>
      <c r="R321" t="str">
        <f t="shared" si="45"/>
        <v>00</v>
      </c>
    </row>
    <row r="322" spans="1:18" x14ac:dyDescent="0.4">
      <c r="A322" s="1" t="str">
        <f t="shared" si="48"/>
        <v>0A0</v>
      </c>
      <c r="B322">
        <f t="shared" si="49"/>
        <v>0</v>
      </c>
      <c r="C322">
        <f>VALUE(MID(Hex!$C$2,1+2*HEX2DEC(A322)+B322,1))</f>
        <v>0</v>
      </c>
      <c r="D322" s="1" t="str">
        <f t="shared" si="46"/>
        <v>140</v>
      </c>
      <c r="E322">
        <f>HEX2DEC(MID(Hex!$C$8,1+HEX2DEC(Edit!D322)*2,2))</f>
        <v>0</v>
      </c>
      <c r="F322">
        <f t="shared" si="47"/>
        <v>320</v>
      </c>
      <c r="G322" t="str">
        <f>_xlfn.LET(_xlpm.custom,_xlfn.XLOOKUP(F322,Data!A:A,Data!C:C),IF(_xlpm.custom="",_xlfn.XLOOKUP(F322,Data!A:A,Data!B:B),_xlpm.custom))</f>
        <v>Pure Incense</v>
      </c>
      <c r="H322" t="str">
        <f>_xlfn.XLOOKUP(C322,Data!A:A,Data!E:E)</f>
        <v>General</v>
      </c>
      <c r="J322">
        <f>IF(I322="",C322,_xlfn.XLOOKUP(I322,Data!E:E,Data!A:A,""))</f>
        <v>0</v>
      </c>
      <c r="L322">
        <f t="shared" si="41"/>
        <v>0</v>
      </c>
      <c r="M322">
        <f t="shared" si="42"/>
        <v>0</v>
      </c>
      <c r="N322">
        <f t="shared" si="50"/>
        <v>0</v>
      </c>
      <c r="O322">
        <f t="shared" si="43"/>
        <v>0</v>
      </c>
      <c r="P322">
        <f t="shared" si="44"/>
        <v>0</v>
      </c>
      <c r="R322" t="str">
        <f t="shared" si="45"/>
        <v>00</v>
      </c>
    </row>
    <row r="323" spans="1:18" x14ac:dyDescent="0.4">
      <c r="A323" s="1" t="str">
        <f t="shared" si="48"/>
        <v>0A0</v>
      </c>
      <c r="B323">
        <f t="shared" si="49"/>
        <v>1</v>
      </c>
      <c r="C323">
        <f>VALUE(MID(Hex!$C$2,1+2*HEX2DEC(A323)+B323,1))</f>
        <v>0</v>
      </c>
      <c r="D323" s="1" t="str">
        <f t="shared" si="46"/>
        <v>141</v>
      </c>
      <c r="E323">
        <f>HEX2DEC(MID(Hex!$C$8,1+HEX2DEC(Edit!D323)*2,2))</f>
        <v>0</v>
      </c>
      <c r="F323">
        <f t="shared" si="47"/>
        <v>321</v>
      </c>
      <c r="G323" t="str">
        <f>_xlfn.LET(_xlpm.custom,_xlfn.XLOOKUP(F323,Data!A:A,Data!C:C),IF(_xlpm.custom="",_xlfn.XLOOKUP(F323,Data!A:A,Data!B:B),_xlpm.custom))</f>
        <v>Protector</v>
      </c>
      <c r="H323" t="str">
        <f>_xlfn.XLOOKUP(C323,Data!A:A,Data!E:E)</f>
        <v>General</v>
      </c>
      <c r="J323">
        <f>IF(I323="",C323,_xlfn.XLOOKUP(I323,Data!E:E,Data!A:A,""))</f>
        <v>0</v>
      </c>
      <c r="L323">
        <f t="shared" ref="L323:L386" si="51">_xlfn.BITAND(E323,1)</f>
        <v>0</v>
      </c>
      <c r="M323">
        <f t="shared" ref="M323:M386" si="52">_xlfn.BITAND($E323,2)</f>
        <v>0</v>
      </c>
      <c r="N323">
        <f t="shared" si="50"/>
        <v>0</v>
      </c>
      <c r="O323">
        <f t="shared" ref="O323:O386" si="53">_xlfn.BITAND($E323,8)</f>
        <v>0</v>
      </c>
      <c r="P323">
        <f t="shared" ref="P323:P386" si="54">_xlfn.BITAND($E323,16)</f>
        <v>0</v>
      </c>
      <c r="R323" t="str">
        <f t="shared" ref="R323:R386" si="55">DEC2HEX(SUM(L323:P323),2)</f>
        <v>00</v>
      </c>
    </row>
    <row r="324" spans="1:18" x14ac:dyDescent="0.4">
      <c r="A324" s="1" t="str">
        <f t="shared" si="48"/>
        <v>0A1</v>
      </c>
      <c r="B324">
        <f t="shared" si="49"/>
        <v>0</v>
      </c>
      <c r="C324">
        <f>VALUE(MID(Hex!$C$2,1+2*HEX2DEC(A324)+B324,1))</f>
        <v>0</v>
      </c>
      <c r="D324" s="1" t="str">
        <f t="shared" ref="D324:D387" si="56">DEC2HEX(1+HEX2DEC(D323),3)</f>
        <v>142</v>
      </c>
      <c r="E324">
        <f>HEX2DEC(MID(Hex!$C$8,1+HEX2DEC(Edit!D324)*2,2))</f>
        <v>0</v>
      </c>
      <c r="F324">
        <f t="shared" ref="F324:F387" si="57">F323+1</f>
        <v>322</v>
      </c>
      <c r="G324" t="str">
        <f>_xlfn.LET(_xlpm.custom,_xlfn.XLOOKUP(F324,Data!A:A,Data!C:C),IF(_xlpm.custom="",_xlfn.XLOOKUP(F324,Data!A:A,Data!B:B),_xlpm.custom))</f>
        <v>Electirizer</v>
      </c>
      <c r="H324" t="str">
        <f>_xlfn.XLOOKUP(C324,Data!A:A,Data!E:E)</f>
        <v>General</v>
      </c>
      <c r="J324">
        <f>IF(I324="",C324,_xlfn.XLOOKUP(I324,Data!E:E,Data!A:A,""))</f>
        <v>0</v>
      </c>
      <c r="L324">
        <f t="shared" si="51"/>
        <v>0</v>
      </c>
      <c r="M324">
        <f t="shared" si="52"/>
        <v>0</v>
      </c>
      <c r="N324">
        <f t="shared" si="50"/>
        <v>0</v>
      </c>
      <c r="O324">
        <f t="shared" si="53"/>
        <v>0</v>
      </c>
      <c r="P324">
        <f t="shared" si="54"/>
        <v>0</v>
      </c>
      <c r="R324" t="str">
        <f t="shared" si="55"/>
        <v>00</v>
      </c>
    </row>
    <row r="325" spans="1:18" x14ac:dyDescent="0.4">
      <c r="A325" s="1" t="str">
        <f t="shared" ref="A325:A388" si="58">DEC2HEX(1+HEX2DEC(A323),3)</f>
        <v>0A1</v>
      </c>
      <c r="B325">
        <f t="shared" ref="B325:B388" si="59">B323</f>
        <v>1</v>
      </c>
      <c r="C325">
        <f>VALUE(MID(Hex!$C$2,1+2*HEX2DEC(A325)+B325,1))</f>
        <v>0</v>
      </c>
      <c r="D325" s="1" t="str">
        <f t="shared" si="56"/>
        <v>143</v>
      </c>
      <c r="E325">
        <f>HEX2DEC(MID(Hex!$C$8,1+HEX2DEC(Edit!D325)*2,2))</f>
        <v>0</v>
      </c>
      <c r="F325">
        <f t="shared" si="57"/>
        <v>323</v>
      </c>
      <c r="G325" t="str">
        <f>_xlfn.LET(_xlpm.custom,_xlfn.XLOOKUP(F325,Data!A:A,Data!C:C),IF(_xlpm.custom="",_xlfn.XLOOKUP(F325,Data!A:A,Data!B:B),_xlpm.custom))</f>
        <v>Magmarizer</v>
      </c>
      <c r="H325" t="str">
        <f>_xlfn.XLOOKUP(C325,Data!A:A,Data!E:E)</f>
        <v>General</v>
      </c>
      <c r="J325">
        <f>IF(I325="",C325,_xlfn.XLOOKUP(I325,Data!E:E,Data!A:A,""))</f>
        <v>0</v>
      </c>
      <c r="L325">
        <f t="shared" si="51"/>
        <v>0</v>
      </c>
      <c r="M325">
        <f t="shared" si="52"/>
        <v>0</v>
      </c>
      <c r="N325">
        <f t="shared" si="50"/>
        <v>0</v>
      </c>
      <c r="O325">
        <f t="shared" si="53"/>
        <v>0</v>
      </c>
      <c r="P325">
        <f t="shared" si="54"/>
        <v>0</v>
      </c>
      <c r="R325" t="str">
        <f t="shared" si="55"/>
        <v>00</v>
      </c>
    </row>
    <row r="326" spans="1:18" x14ac:dyDescent="0.4">
      <c r="A326" s="1" t="str">
        <f t="shared" si="58"/>
        <v>0A2</v>
      </c>
      <c r="B326">
        <f t="shared" si="59"/>
        <v>0</v>
      </c>
      <c r="C326">
        <f>VALUE(MID(Hex!$C$2,1+2*HEX2DEC(A326)+B326,1))</f>
        <v>0</v>
      </c>
      <c r="D326" s="1" t="str">
        <f t="shared" si="56"/>
        <v>144</v>
      </c>
      <c r="E326">
        <f>HEX2DEC(MID(Hex!$C$8,1+HEX2DEC(Edit!D326)*2,2))</f>
        <v>0</v>
      </c>
      <c r="F326">
        <f t="shared" si="57"/>
        <v>324</v>
      </c>
      <c r="G326" t="str">
        <f>_xlfn.LET(_xlpm.custom,_xlfn.XLOOKUP(F326,Data!A:A,Data!C:C),IF(_xlpm.custom="",_xlfn.XLOOKUP(F326,Data!A:A,Data!B:B),_xlpm.custom))</f>
        <v>Dubious Disc</v>
      </c>
      <c r="H326" t="str">
        <f>_xlfn.XLOOKUP(C326,Data!A:A,Data!E:E)</f>
        <v>General</v>
      </c>
      <c r="J326">
        <f>IF(I326="",C326,_xlfn.XLOOKUP(I326,Data!E:E,Data!A:A,""))</f>
        <v>0</v>
      </c>
      <c r="L326">
        <f t="shared" si="51"/>
        <v>0</v>
      </c>
      <c r="M326">
        <f t="shared" si="52"/>
        <v>0</v>
      </c>
      <c r="N326">
        <f t="shared" si="50"/>
        <v>0</v>
      </c>
      <c r="O326">
        <f t="shared" si="53"/>
        <v>0</v>
      </c>
      <c r="P326">
        <f t="shared" si="54"/>
        <v>0</v>
      </c>
      <c r="R326" t="str">
        <f t="shared" si="55"/>
        <v>00</v>
      </c>
    </row>
    <row r="327" spans="1:18" x14ac:dyDescent="0.4">
      <c r="A327" s="1" t="str">
        <f t="shared" si="58"/>
        <v>0A2</v>
      </c>
      <c r="B327">
        <f t="shared" si="59"/>
        <v>1</v>
      </c>
      <c r="C327">
        <f>VALUE(MID(Hex!$C$2,1+2*HEX2DEC(A327)+B327,1))</f>
        <v>0</v>
      </c>
      <c r="D327" s="1" t="str">
        <f t="shared" si="56"/>
        <v>145</v>
      </c>
      <c r="E327">
        <f>HEX2DEC(MID(Hex!$C$8,1+HEX2DEC(Edit!D327)*2,2))</f>
        <v>0</v>
      </c>
      <c r="F327">
        <f t="shared" si="57"/>
        <v>325</v>
      </c>
      <c r="G327" t="str">
        <f>_xlfn.LET(_xlpm.custom,_xlfn.XLOOKUP(F327,Data!A:A,Data!C:C),IF(_xlpm.custom="",_xlfn.XLOOKUP(F327,Data!A:A,Data!B:B),_xlpm.custom))</f>
        <v>Reaper Cloth</v>
      </c>
      <c r="H327" t="str">
        <f>_xlfn.XLOOKUP(C327,Data!A:A,Data!E:E)</f>
        <v>General</v>
      </c>
      <c r="J327">
        <f>IF(I327="",C327,_xlfn.XLOOKUP(I327,Data!E:E,Data!A:A,""))</f>
        <v>0</v>
      </c>
      <c r="L327">
        <f t="shared" si="51"/>
        <v>0</v>
      </c>
      <c r="M327">
        <f t="shared" si="52"/>
        <v>0</v>
      </c>
      <c r="N327">
        <f t="shared" si="50"/>
        <v>0</v>
      </c>
      <c r="O327">
        <f t="shared" si="53"/>
        <v>0</v>
      </c>
      <c r="P327">
        <f t="shared" si="54"/>
        <v>0</v>
      </c>
      <c r="R327" t="str">
        <f t="shared" si="55"/>
        <v>00</v>
      </c>
    </row>
    <row r="328" spans="1:18" x14ac:dyDescent="0.4">
      <c r="A328" s="1" t="str">
        <f t="shared" si="58"/>
        <v>0A3</v>
      </c>
      <c r="B328">
        <f t="shared" si="59"/>
        <v>0</v>
      </c>
      <c r="C328">
        <f>VALUE(MID(Hex!$C$2,1+2*HEX2DEC(A328)+B328,1))</f>
        <v>0</v>
      </c>
      <c r="D328" s="1" t="str">
        <f t="shared" si="56"/>
        <v>146</v>
      </c>
      <c r="E328">
        <f>HEX2DEC(MID(Hex!$C$8,1+HEX2DEC(Edit!D328)*2,2))</f>
        <v>0</v>
      </c>
      <c r="F328">
        <f t="shared" si="57"/>
        <v>326</v>
      </c>
      <c r="G328" t="str">
        <f>_xlfn.LET(_xlpm.custom,_xlfn.XLOOKUP(F328,Data!A:A,Data!C:C),IF(_xlpm.custom="",_xlfn.XLOOKUP(F328,Data!A:A,Data!B:B),_xlpm.custom))</f>
        <v>Razor Claw</v>
      </c>
      <c r="H328" t="str">
        <f>_xlfn.XLOOKUP(C328,Data!A:A,Data!E:E)</f>
        <v>General</v>
      </c>
      <c r="J328">
        <f>IF(I328="",C328,_xlfn.XLOOKUP(I328,Data!E:E,Data!A:A,""))</f>
        <v>0</v>
      </c>
      <c r="L328">
        <f t="shared" si="51"/>
        <v>0</v>
      </c>
      <c r="M328">
        <f t="shared" si="52"/>
        <v>0</v>
      </c>
      <c r="N328">
        <f t="shared" si="50"/>
        <v>0</v>
      </c>
      <c r="O328">
        <f t="shared" si="53"/>
        <v>0</v>
      </c>
      <c r="P328">
        <f t="shared" si="54"/>
        <v>0</v>
      </c>
      <c r="R328" t="str">
        <f t="shared" si="55"/>
        <v>00</v>
      </c>
    </row>
    <row r="329" spans="1:18" x14ac:dyDescent="0.4">
      <c r="A329" s="1" t="str">
        <f t="shared" si="58"/>
        <v>0A3</v>
      </c>
      <c r="B329">
        <f t="shared" si="59"/>
        <v>1</v>
      </c>
      <c r="C329">
        <f>VALUE(MID(Hex!$C$2,1+2*HEX2DEC(A329)+B329,1))</f>
        <v>0</v>
      </c>
      <c r="D329" s="1" t="str">
        <f t="shared" si="56"/>
        <v>147</v>
      </c>
      <c r="E329">
        <f>HEX2DEC(MID(Hex!$C$8,1+HEX2DEC(Edit!D329)*2,2))</f>
        <v>0</v>
      </c>
      <c r="F329">
        <f t="shared" si="57"/>
        <v>327</v>
      </c>
      <c r="G329" t="str">
        <f>_xlfn.LET(_xlpm.custom,_xlfn.XLOOKUP(F329,Data!A:A,Data!C:C),IF(_xlpm.custom="",_xlfn.XLOOKUP(F329,Data!A:A,Data!B:B),_xlpm.custom))</f>
        <v>Razor Fang</v>
      </c>
      <c r="H329" t="str">
        <f>_xlfn.XLOOKUP(C329,Data!A:A,Data!E:E)</f>
        <v>General</v>
      </c>
      <c r="J329">
        <f>IF(I329="",C329,_xlfn.XLOOKUP(I329,Data!E:E,Data!A:A,""))</f>
        <v>0</v>
      </c>
      <c r="L329">
        <f t="shared" si="51"/>
        <v>0</v>
      </c>
      <c r="M329">
        <f t="shared" si="52"/>
        <v>0</v>
      </c>
      <c r="N329">
        <f t="shared" si="50"/>
        <v>0</v>
      </c>
      <c r="O329">
        <f t="shared" si="53"/>
        <v>0</v>
      </c>
      <c r="P329">
        <f t="shared" si="54"/>
        <v>0</v>
      </c>
      <c r="R329" t="str">
        <f t="shared" si="55"/>
        <v>00</v>
      </c>
    </row>
    <row r="330" spans="1:18" x14ac:dyDescent="0.4">
      <c r="A330" s="1" t="str">
        <f t="shared" si="58"/>
        <v>0A4</v>
      </c>
      <c r="B330">
        <f t="shared" si="59"/>
        <v>0</v>
      </c>
      <c r="C330">
        <f>VALUE(MID(Hex!$C$2,1+2*HEX2DEC(A330)+B330,1))</f>
        <v>2</v>
      </c>
      <c r="D330" s="1" t="str">
        <f t="shared" si="56"/>
        <v>148</v>
      </c>
      <c r="E330">
        <f>HEX2DEC(MID(Hex!$C$8,1+HEX2DEC(Edit!D330)*2,2))</f>
        <v>0</v>
      </c>
      <c r="F330">
        <f t="shared" si="57"/>
        <v>328</v>
      </c>
      <c r="G330" t="str">
        <f>_xlfn.LET(_xlpm.custom,_xlfn.XLOOKUP(F330,Data!A:A,Data!C:C),IF(_xlpm.custom="",_xlfn.XLOOKUP(F330,Data!A:A,Data!B:B),_xlpm.custom))</f>
        <v>TM001</v>
      </c>
      <c r="H330" t="str">
        <f>_xlfn.XLOOKUP(C330,Data!A:A,Data!E:E)</f>
        <v>TM/HM</v>
      </c>
      <c r="J330">
        <f>IF(I330="",C330,_xlfn.XLOOKUP(I330,Data!E:E,Data!A:A,""))</f>
        <v>2</v>
      </c>
      <c r="L330">
        <f t="shared" si="51"/>
        <v>0</v>
      </c>
      <c r="M330">
        <f t="shared" si="52"/>
        <v>0</v>
      </c>
      <c r="N330">
        <f t="shared" si="50"/>
        <v>0</v>
      </c>
      <c r="O330">
        <f t="shared" si="53"/>
        <v>0</v>
      </c>
      <c r="P330">
        <f t="shared" si="54"/>
        <v>0</v>
      </c>
      <c r="R330" t="str">
        <f t="shared" si="55"/>
        <v>00</v>
      </c>
    </row>
    <row r="331" spans="1:18" x14ac:dyDescent="0.4">
      <c r="A331" s="1" t="str">
        <f t="shared" si="58"/>
        <v>0A4</v>
      </c>
      <c r="B331">
        <f t="shared" si="59"/>
        <v>1</v>
      </c>
      <c r="C331">
        <f>VALUE(MID(Hex!$C$2,1+2*HEX2DEC(A331)+B331,1))</f>
        <v>2</v>
      </c>
      <c r="D331" s="1" t="str">
        <f t="shared" si="56"/>
        <v>149</v>
      </c>
      <c r="E331">
        <f>HEX2DEC(MID(Hex!$C$8,1+HEX2DEC(Edit!D331)*2,2))</f>
        <v>0</v>
      </c>
      <c r="F331">
        <f t="shared" si="57"/>
        <v>329</v>
      </c>
      <c r="G331" t="str">
        <f>_xlfn.LET(_xlpm.custom,_xlfn.XLOOKUP(F331,Data!A:A,Data!C:C),IF(_xlpm.custom="",_xlfn.XLOOKUP(F331,Data!A:A,Data!B:B),_xlpm.custom))</f>
        <v>TM002</v>
      </c>
      <c r="H331" t="str">
        <f>_xlfn.XLOOKUP(C331,Data!A:A,Data!E:E)</f>
        <v>TM/HM</v>
      </c>
      <c r="J331">
        <f>IF(I331="",C331,_xlfn.XLOOKUP(I331,Data!E:E,Data!A:A,""))</f>
        <v>2</v>
      </c>
      <c r="L331">
        <f t="shared" si="51"/>
        <v>0</v>
      </c>
      <c r="M331">
        <f t="shared" si="52"/>
        <v>0</v>
      </c>
      <c r="N331">
        <f t="shared" si="50"/>
        <v>0</v>
      </c>
      <c r="O331">
        <f t="shared" si="53"/>
        <v>0</v>
      </c>
      <c r="P331">
        <f t="shared" si="54"/>
        <v>0</v>
      </c>
      <c r="R331" t="str">
        <f t="shared" si="55"/>
        <v>00</v>
      </c>
    </row>
    <row r="332" spans="1:18" x14ac:dyDescent="0.4">
      <c r="A332" s="1" t="str">
        <f t="shared" si="58"/>
        <v>0A5</v>
      </c>
      <c r="B332">
        <f t="shared" si="59"/>
        <v>0</v>
      </c>
      <c r="C332">
        <f>VALUE(MID(Hex!$C$2,1+2*HEX2DEC(A332)+B332,1))</f>
        <v>2</v>
      </c>
      <c r="D332" s="1" t="str">
        <f t="shared" si="56"/>
        <v>14A</v>
      </c>
      <c r="E332">
        <f>HEX2DEC(MID(Hex!$C$8,1+HEX2DEC(Edit!D332)*2,2))</f>
        <v>0</v>
      </c>
      <c r="F332">
        <f t="shared" si="57"/>
        <v>330</v>
      </c>
      <c r="G332" t="str">
        <f>_xlfn.LET(_xlpm.custom,_xlfn.XLOOKUP(F332,Data!A:A,Data!C:C),IF(_xlpm.custom="",_xlfn.XLOOKUP(F332,Data!A:A,Data!B:B),_xlpm.custom))</f>
        <v>TM003</v>
      </c>
      <c r="H332" t="str">
        <f>_xlfn.XLOOKUP(C332,Data!A:A,Data!E:E)</f>
        <v>TM/HM</v>
      </c>
      <c r="J332">
        <f>IF(I332="",C332,_xlfn.XLOOKUP(I332,Data!E:E,Data!A:A,""))</f>
        <v>2</v>
      </c>
      <c r="L332">
        <f t="shared" si="51"/>
        <v>0</v>
      </c>
      <c r="M332">
        <f t="shared" si="52"/>
        <v>0</v>
      </c>
      <c r="N332">
        <f t="shared" si="50"/>
        <v>0</v>
      </c>
      <c r="O332">
        <f t="shared" si="53"/>
        <v>0</v>
      </c>
      <c r="P332">
        <f t="shared" si="54"/>
        <v>0</v>
      </c>
      <c r="R332" t="str">
        <f t="shared" si="55"/>
        <v>00</v>
      </c>
    </row>
    <row r="333" spans="1:18" x14ac:dyDescent="0.4">
      <c r="A333" s="1" t="str">
        <f t="shared" si="58"/>
        <v>0A5</v>
      </c>
      <c r="B333">
        <f t="shared" si="59"/>
        <v>1</v>
      </c>
      <c r="C333">
        <f>VALUE(MID(Hex!$C$2,1+2*HEX2DEC(A333)+B333,1))</f>
        <v>2</v>
      </c>
      <c r="D333" s="1" t="str">
        <f t="shared" si="56"/>
        <v>14B</v>
      </c>
      <c r="E333">
        <f>HEX2DEC(MID(Hex!$C$8,1+HEX2DEC(Edit!D333)*2,2))</f>
        <v>0</v>
      </c>
      <c r="F333">
        <f t="shared" si="57"/>
        <v>331</v>
      </c>
      <c r="G333" t="str">
        <f>_xlfn.LET(_xlpm.custom,_xlfn.XLOOKUP(F333,Data!A:A,Data!C:C),IF(_xlpm.custom="",_xlfn.XLOOKUP(F333,Data!A:A,Data!B:B),_xlpm.custom))</f>
        <v>TM004</v>
      </c>
      <c r="H333" t="str">
        <f>_xlfn.XLOOKUP(C333,Data!A:A,Data!E:E)</f>
        <v>TM/HM</v>
      </c>
      <c r="J333">
        <f>IF(I333="",C333,_xlfn.XLOOKUP(I333,Data!E:E,Data!A:A,""))</f>
        <v>2</v>
      </c>
      <c r="L333">
        <f t="shared" si="51"/>
        <v>0</v>
      </c>
      <c r="M333">
        <f t="shared" si="52"/>
        <v>0</v>
      </c>
      <c r="N333">
        <f t="shared" si="50"/>
        <v>0</v>
      </c>
      <c r="O333">
        <f t="shared" si="53"/>
        <v>0</v>
      </c>
      <c r="P333">
        <f t="shared" si="54"/>
        <v>0</v>
      </c>
      <c r="R333" t="str">
        <f t="shared" si="55"/>
        <v>00</v>
      </c>
    </row>
    <row r="334" spans="1:18" x14ac:dyDescent="0.4">
      <c r="A334" s="1" t="str">
        <f t="shared" si="58"/>
        <v>0A6</v>
      </c>
      <c r="B334">
        <f t="shared" si="59"/>
        <v>0</v>
      </c>
      <c r="C334">
        <f>VALUE(MID(Hex!$C$2,1+2*HEX2DEC(A334)+B334,1))</f>
        <v>2</v>
      </c>
      <c r="D334" s="1" t="str">
        <f t="shared" si="56"/>
        <v>14C</v>
      </c>
      <c r="E334">
        <f>HEX2DEC(MID(Hex!$C$8,1+HEX2DEC(Edit!D334)*2,2))</f>
        <v>0</v>
      </c>
      <c r="F334">
        <f t="shared" si="57"/>
        <v>332</v>
      </c>
      <c r="G334" t="str">
        <f>_xlfn.LET(_xlpm.custom,_xlfn.XLOOKUP(F334,Data!A:A,Data!C:C),IF(_xlpm.custom="",_xlfn.XLOOKUP(F334,Data!A:A,Data!B:B),_xlpm.custom))</f>
        <v>TM005</v>
      </c>
      <c r="H334" t="str">
        <f>_xlfn.XLOOKUP(C334,Data!A:A,Data!E:E)</f>
        <v>TM/HM</v>
      </c>
      <c r="J334">
        <f>IF(I334="",C334,_xlfn.XLOOKUP(I334,Data!E:E,Data!A:A,""))</f>
        <v>2</v>
      </c>
      <c r="L334">
        <f t="shared" si="51"/>
        <v>0</v>
      </c>
      <c r="M334">
        <f t="shared" si="52"/>
        <v>0</v>
      </c>
      <c r="N334">
        <f t="shared" si="50"/>
        <v>0</v>
      </c>
      <c r="O334">
        <f t="shared" si="53"/>
        <v>0</v>
      </c>
      <c r="P334">
        <f t="shared" si="54"/>
        <v>0</v>
      </c>
      <c r="R334" t="str">
        <f t="shared" si="55"/>
        <v>00</v>
      </c>
    </row>
    <row r="335" spans="1:18" x14ac:dyDescent="0.4">
      <c r="A335" s="1" t="str">
        <f t="shared" si="58"/>
        <v>0A6</v>
      </c>
      <c r="B335">
        <f t="shared" si="59"/>
        <v>1</v>
      </c>
      <c r="C335">
        <f>VALUE(MID(Hex!$C$2,1+2*HEX2DEC(A335)+B335,1))</f>
        <v>2</v>
      </c>
      <c r="D335" s="1" t="str">
        <f t="shared" si="56"/>
        <v>14D</v>
      </c>
      <c r="E335">
        <f>HEX2DEC(MID(Hex!$C$8,1+HEX2DEC(Edit!D335)*2,2))</f>
        <v>0</v>
      </c>
      <c r="F335">
        <f t="shared" si="57"/>
        <v>333</v>
      </c>
      <c r="G335" t="str">
        <f>_xlfn.LET(_xlpm.custom,_xlfn.XLOOKUP(F335,Data!A:A,Data!C:C),IF(_xlpm.custom="",_xlfn.XLOOKUP(F335,Data!A:A,Data!B:B),_xlpm.custom))</f>
        <v>TM006</v>
      </c>
      <c r="H335" t="str">
        <f>_xlfn.XLOOKUP(C335,Data!A:A,Data!E:E)</f>
        <v>TM/HM</v>
      </c>
      <c r="J335">
        <f>IF(I335="",C335,_xlfn.XLOOKUP(I335,Data!E:E,Data!A:A,""))</f>
        <v>2</v>
      </c>
      <c r="L335">
        <f t="shared" si="51"/>
        <v>0</v>
      </c>
      <c r="M335">
        <f t="shared" si="52"/>
        <v>0</v>
      </c>
      <c r="N335">
        <f t="shared" si="50"/>
        <v>0</v>
      </c>
      <c r="O335">
        <f t="shared" si="53"/>
        <v>0</v>
      </c>
      <c r="P335">
        <f t="shared" si="54"/>
        <v>0</v>
      </c>
      <c r="R335" t="str">
        <f t="shared" si="55"/>
        <v>00</v>
      </c>
    </row>
    <row r="336" spans="1:18" x14ac:dyDescent="0.4">
      <c r="A336" s="1" t="str">
        <f t="shared" si="58"/>
        <v>0A7</v>
      </c>
      <c r="B336">
        <f t="shared" si="59"/>
        <v>0</v>
      </c>
      <c r="C336">
        <f>VALUE(MID(Hex!$C$2,1+2*HEX2DEC(A336)+B336,1))</f>
        <v>2</v>
      </c>
      <c r="D336" s="1" t="str">
        <f t="shared" si="56"/>
        <v>14E</v>
      </c>
      <c r="E336">
        <f>HEX2DEC(MID(Hex!$C$8,1+HEX2DEC(Edit!D336)*2,2))</f>
        <v>0</v>
      </c>
      <c r="F336">
        <f t="shared" si="57"/>
        <v>334</v>
      </c>
      <c r="G336" t="str">
        <f>_xlfn.LET(_xlpm.custom,_xlfn.XLOOKUP(F336,Data!A:A,Data!C:C),IF(_xlpm.custom="",_xlfn.XLOOKUP(F336,Data!A:A,Data!B:B),_xlpm.custom))</f>
        <v>TM007</v>
      </c>
      <c r="H336" t="str">
        <f>_xlfn.XLOOKUP(C336,Data!A:A,Data!E:E)</f>
        <v>TM/HM</v>
      </c>
      <c r="J336">
        <f>IF(I336="",C336,_xlfn.XLOOKUP(I336,Data!E:E,Data!A:A,""))</f>
        <v>2</v>
      </c>
      <c r="L336">
        <f t="shared" si="51"/>
        <v>0</v>
      </c>
      <c r="M336">
        <f t="shared" si="52"/>
        <v>0</v>
      </c>
      <c r="N336">
        <f t="shared" si="50"/>
        <v>0</v>
      </c>
      <c r="O336">
        <f t="shared" si="53"/>
        <v>0</v>
      </c>
      <c r="P336">
        <f t="shared" si="54"/>
        <v>0</v>
      </c>
      <c r="R336" t="str">
        <f t="shared" si="55"/>
        <v>00</v>
      </c>
    </row>
    <row r="337" spans="1:18" x14ac:dyDescent="0.4">
      <c r="A337" s="1" t="str">
        <f t="shared" si="58"/>
        <v>0A7</v>
      </c>
      <c r="B337">
        <f t="shared" si="59"/>
        <v>1</v>
      </c>
      <c r="C337">
        <f>VALUE(MID(Hex!$C$2,1+2*HEX2DEC(A337)+B337,1))</f>
        <v>2</v>
      </c>
      <c r="D337" s="1" t="str">
        <f t="shared" si="56"/>
        <v>14F</v>
      </c>
      <c r="E337">
        <f>HEX2DEC(MID(Hex!$C$8,1+HEX2DEC(Edit!D337)*2,2))</f>
        <v>0</v>
      </c>
      <c r="F337">
        <f t="shared" si="57"/>
        <v>335</v>
      </c>
      <c r="G337" t="str">
        <f>_xlfn.LET(_xlpm.custom,_xlfn.XLOOKUP(F337,Data!A:A,Data!C:C),IF(_xlpm.custom="",_xlfn.XLOOKUP(F337,Data!A:A,Data!B:B),_xlpm.custom))</f>
        <v>TM008</v>
      </c>
      <c r="H337" t="str">
        <f>_xlfn.XLOOKUP(C337,Data!A:A,Data!E:E)</f>
        <v>TM/HM</v>
      </c>
      <c r="J337">
        <f>IF(I337="",C337,_xlfn.XLOOKUP(I337,Data!E:E,Data!A:A,""))</f>
        <v>2</v>
      </c>
      <c r="L337">
        <f t="shared" si="51"/>
        <v>0</v>
      </c>
      <c r="M337">
        <f t="shared" si="52"/>
        <v>0</v>
      </c>
      <c r="N337">
        <f t="shared" si="50"/>
        <v>0</v>
      </c>
      <c r="O337">
        <f t="shared" si="53"/>
        <v>0</v>
      </c>
      <c r="P337">
        <f t="shared" si="54"/>
        <v>0</v>
      </c>
      <c r="R337" t="str">
        <f t="shared" si="55"/>
        <v>00</v>
      </c>
    </row>
    <row r="338" spans="1:18" x14ac:dyDescent="0.4">
      <c r="A338" s="1" t="str">
        <f t="shared" si="58"/>
        <v>0A8</v>
      </c>
      <c r="B338">
        <f t="shared" si="59"/>
        <v>0</v>
      </c>
      <c r="C338">
        <f>VALUE(MID(Hex!$C$2,1+2*HEX2DEC(A338)+B338,1))</f>
        <v>2</v>
      </c>
      <c r="D338" s="1" t="str">
        <f t="shared" si="56"/>
        <v>150</v>
      </c>
      <c r="E338">
        <f>HEX2DEC(MID(Hex!$C$8,1+HEX2DEC(Edit!D338)*2,2))</f>
        <v>0</v>
      </c>
      <c r="F338">
        <f t="shared" si="57"/>
        <v>336</v>
      </c>
      <c r="G338" t="str">
        <f>_xlfn.LET(_xlpm.custom,_xlfn.XLOOKUP(F338,Data!A:A,Data!C:C),IF(_xlpm.custom="",_xlfn.XLOOKUP(F338,Data!A:A,Data!B:B),_xlpm.custom))</f>
        <v>TM009</v>
      </c>
      <c r="H338" t="str">
        <f>_xlfn.XLOOKUP(C338,Data!A:A,Data!E:E)</f>
        <v>TM/HM</v>
      </c>
      <c r="J338">
        <f>IF(I338="",C338,_xlfn.XLOOKUP(I338,Data!E:E,Data!A:A,""))</f>
        <v>2</v>
      </c>
      <c r="L338">
        <f t="shared" si="51"/>
        <v>0</v>
      </c>
      <c r="M338">
        <f t="shared" si="52"/>
        <v>0</v>
      </c>
      <c r="N338">
        <f t="shared" si="50"/>
        <v>0</v>
      </c>
      <c r="O338">
        <f t="shared" si="53"/>
        <v>0</v>
      </c>
      <c r="P338">
        <f t="shared" si="54"/>
        <v>0</v>
      </c>
      <c r="R338" t="str">
        <f t="shared" si="55"/>
        <v>00</v>
      </c>
    </row>
    <row r="339" spans="1:18" x14ac:dyDescent="0.4">
      <c r="A339" s="1" t="str">
        <f t="shared" si="58"/>
        <v>0A8</v>
      </c>
      <c r="B339">
        <f t="shared" si="59"/>
        <v>1</v>
      </c>
      <c r="C339">
        <f>VALUE(MID(Hex!$C$2,1+2*HEX2DEC(A339)+B339,1))</f>
        <v>2</v>
      </c>
      <c r="D339" s="1" t="str">
        <f t="shared" si="56"/>
        <v>151</v>
      </c>
      <c r="E339">
        <f>HEX2DEC(MID(Hex!$C$8,1+HEX2DEC(Edit!D339)*2,2))</f>
        <v>0</v>
      </c>
      <c r="F339">
        <f t="shared" si="57"/>
        <v>337</v>
      </c>
      <c r="G339" t="str">
        <f>_xlfn.LET(_xlpm.custom,_xlfn.XLOOKUP(F339,Data!A:A,Data!C:C),IF(_xlpm.custom="",_xlfn.XLOOKUP(F339,Data!A:A,Data!B:B),_xlpm.custom))</f>
        <v>TM010</v>
      </c>
      <c r="H339" t="str">
        <f>_xlfn.XLOOKUP(C339,Data!A:A,Data!E:E)</f>
        <v>TM/HM</v>
      </c>
      <c r="J339">
        <f>IF(I339="",C339,_xlfn.XLOOKUP(I339,Data!E:E,Data!A:A,""))</f>
        <v>2</v>
      </c>
      <c r="L339">
        <f t="shared" si="51"/>
        <v>0</v>
      </c>
      <c r="M339">
        <f t="shared" si="52"/>
        <v>0</v>
      </c>
      <c r="N339">
        <f t="shared" si="50"/>
        <v>0</v>
      </c>
      <c r="O339">
        <f t="shared" si="53"/>
        <v>0</v>
      </c>
      <c r="P339">
        <f t="shared" si="54"/>
        <v>0</v>
      </c>
      <c r="R339" t="str">
        <f t="shared" si="55"/>
        <v>00</v>
      </c>
    </row>
    <row r="340" spans="1:18" x14ac:dyDescent="0.4">
      <c r="A340" s="1" t="str">
        <f t="shared" si="58"/>
        <v>0A9</v>
      </c>
      <c r="B340">
        <f t="shared" si="59"/>
        <v>0</v>
      </c>
      <c r="C340">
        <f>VALUE(MID(Hex!$C$2,1+2*HEX2DEC(A340)+B340,1))</f>
        <v>2</v>
      </c>
      <c r="D340" s="1" t="str">
        <f t="shared" si="56"/>
        <v>152</v>
      </c>
      <c r="E340">
        <f>HEX2DEC(MID(Hex!$C$8,1+HEX2DEC(Edit!D340)*2,2))</f>
        <v>0</v>
      </c>
      <c r="F340">
        <f t="shared" si="57"/>
        <v>338</v>
      </c>
      <c r="G340" t="str">
        <f>_xlfn.LET(_xlpm.custom,_xlfn.XLOOKUP(F340,Data!A:A,Data!C:C),IF(_xlpm.custom="",_xlfn.XLOOKUP(F340,Data!A:A,Data!B:B),_xlpm.custom))</f>
        <v>TM011</v>
      </c>
      <c r="H340" t="str">
        <f>_xlfn.XLOOKUP(C340,Data!A:A,Data!E:E)</f>
        <v>TM/HM</v>
      </c>
      <c r="J340">
        <f>IF(I340="",C340,_xlfn.XLOOKUP(I340,Data!E:E,Data!A:A,""))</f>
        <v>2</v>
      </c>
      <c r="L340">
        <f t="shared" si="51"/>
        <v>0</v>
      </c>
      <c r="M340">
        <f t="shared" si="52"/>
        <v>0</v>
      </c>
      <c r="N340">
        <f t="shared" si="50"/>
        <v>0</v>
      </c>
      <c r="O340">
        <f t="shared" si="53"/>
        <v>0</v>
      </c>
      <c r="P340">
        <f t="shared" si="54"/>
        <v>0</v>
      </c>
      <c r="R340" t="str">
        <f t="shared" si="55"/>
        <v>00</v>
      </c>
    </row>
    <row r="341" spans="1:18" x14ac:dyDescent="0.4">
      <c r="A341" s="1" t="str">
        <f t="shared" si="58"/>
        <v>0A9</v>
      </c>
      <c r="B341">
        <f t="shared" si="59"/>
        <v>1</v>
      </c>
      <c r="C341">
        <f>VALUE(MID(Hex!$C$2,1+2*HEX2DEC(A341)+B341,1))</f>
        <v>2</v>
      </c>
      <c r="D341" s="1" t="str">
        <f t="shared" si="56"/>
        <v>153</v>
      </c>
      <c r="E341">
        <f>HEX2DEC(MID(Hex!$C$8,1+HEX2DEC(Edit!D341)*2,2))</f>
        <v>0</v>
      </c>
      <c r="F341">
        <f t="shared" si="57"/>
        <v>339</v>
      </c>
      <c r="G341" t="str">
        <f>_xlfn.LET(_xlpm.custom,_xlfn.XLOOKUP(F341,Data!A:A,Data!C:C),IF(_xlpm.custom="",_xlfn.XLOOKUP(F341,Data!A:A,Data!B:B),_xlpm.custom))</f>
        <v>TM012</v>
      </c>
      <c r="H341" t="str">
        <f>_xlfn.XLOOKUP(C341,Data!A:A,Data!E:E)</f>
        <v>TM/HM</v>
      </c>
      <c r="J341">
        <f>IF(I341="",C341,_xlfn.XLOOKUP(I341,Data!E:E,Data!A:A,""))</f>
        <v>2</v>
      </c>
      <c r="L341">
        <f t="shared" si="51"/>
        <v>0</v>
      </c>
      <c r="M341">
        <f t="shared" si="52"/>
        <v>0</v>
      </c>
      <c r="N341">
        <f t="shared" ref="N341:N404" si="60">_xlfn.BITAND($E341,4)</f>
        <v>0</v>
      </c>
      <c r="O341">
        <f t="shared" si="53"/>
        <v>0</v>
      </c>
      <c r="P341">
        <f t="shared" si="54"/>
        <v>0</v>
      </c>
      <c r="R341" t="str">
        <f t="shared" si="55"/>
        <v>00</v>
      </c>
    </row>
    <row r="342" spans="1:18" x14ac:dyDescent="0.4">
      <c r="A342" s="1" t="str">
        <f t="shared" si="58"/>
        <v>0AA</v>
      </c>
      <c r="B342">
        <f t="shared" si="59"/>
        <v>0</v>
      </c>
      <c r="C342">
        <f>VALUE(MID(Hex!$C$2,1+2*HEX2DEC(A342)+B342,1))</f>
        <v>2</v>
      </c>
      <c r="D342" s="1" t="str">
        <f t="shared" si="56"/>
        <v>154</v>
      </c>
      <c r="E342">
        <f>HEX2DEC(MID(Hex!$C$8,1+HEX2DEC(Edit!D342)*2,2))</f>
        <v>0</v>
      </c>
      <c r="F342">
        <f t="shared" si="57"/>
        <v>340</v>
      </c>
      <c r="G342" t="str">
        <f>_xlfn.LET(_xlpm.custom,_xlfn.XLOOKUP(F342,Data!A:A,Data!C:C),IF(_xlpm.custom="",_xlfn.XLOOKUP(F342,Data!A:A,Data!B:B),_xlpm.custom))</f>
        <v>TM013</v>
      </c>
      <c r="H342" t="str">
        <f>_xlfn.XLOOKUP(C342,Data!A:A,Data!E:E)</f>
        <v>TM/HM</v>
      </c>
      <c r="J342">
        <f>IF(I342="",C342,_xlfn.XLOOKUP(I342,Data!E:E,Data!A:A,""))</f>
        <v>2</v>
      </c>
      <c r="L342">
        <f t="shared" si="51"/>
        <v>0</v>
      </c>
      <c r="M342">
        <f t="shared" si="52"/>
        <v>0</v>
      </c>
      <c r="N342">
        <f t="shared" si="60"/>
        <v>0</v>
      </c>
      <c r="O342">
        <f t="shared" si="53"/>
        <v>0</v>
      </c>
      <c r="P342">
        <f t="shared" si="54"/>
        <v>0</v>
      </c>
      <c r="R342" t="str">
        <f t="shared" si="55"/>
        <v>00</v>
      </c>
    </row>
    <row r="343" spans="1:18" x14ac:dyDescent="0.4">
      <c r="A343" s="1" t="str">
        <f t="shared" si="58"/>
        <v>0AA</v>
      </c>
      <c r="B343">
        <f t="shared" si="59"/>
        <v>1</v>
      </c>
      <c r="C343">
        <f>VALUE(MID(Hex!$C$2,1+2*HEX2DEC(A343)+B343,1))</f>
        <v>2</v>
      </c>
      <c r="D343" s="1" t="str">
        <f t="shared" si="56"/>
        <v>155</v>
      </c>
      <c r="E343">
        <f>HEX2DEC(MID(Hex!$C$8,1+HEX2DEC(Edit!D343)*2,2))</f>
        <v>0</v>
      </c>
      <c r="F343">
        <f t="shared" si="57"/>
        <v>341</v>
      </c>
      <c r="G343" t="str">
        <f>_xlfn.LET(_xlpm.custom,_xlfn.XLOOKUP(F343,Data!A:A,Data!C:C),IF(_xlpm.custom="",_xlfn.XLOOKUP(F343,Data!A:A,Data!B:B),_xlpm.custom))</f>
        <v>TM014</v>
      </c>
      <c r="H343" t="str">
        <f>_xlfn.XLOOKUP(C343,Data!A:A,Data!E:E)</f>
        <v>TM/HM</v>
      </c>
      <c r="J343">
        <f>IF(I343="",C343,_xlfn.XLOOKUP(I343,Data!E:E,Data!A:A,""))</f>
        <v>2</v>
      </c>
      <c r="L343">
        <f t="shared" si="51"/>
        <v>0</v>
      </c>
      <c r="M343">
        <f t="shared" si="52"/>
        <v>0</v>
      </c>
      <c r="N343">
        <f t="shared" si="60"/>
        <v>0</v>
      </c>
      <c r="O343">
        <f t="shared" si="53"/>
        <v>0</v>
      </c>
      <c r="P343">
        <f t="shared" si="54"/>
        <v>0</v>
      </c>
      <c r="R343" t="str">
        <f t="shared" si="55"/>
        <v>00</v>
      </c>
    </row>
    <row r="344" spans="1:18" x14ac:dyDescent="0.4">
      <c r="A344" s="1" t="str">
        <f t="shared" si="58"/>
        <v>0AB</v>
      </c>
      <c r="B344">
        <f t="shared" si="59"/>
        <v>0</v>
      </c>
      <c r="C344">
        <f>VALUE(MID(Hex!$C$2,1+2*HEX2DEC(A344)+B344,1))</f>
        <v>2</v>
      </c>
      <c r="D344" s="1" t="str">
        <f t="shared" si="56"/>
        <v>156</v>
      </c>
      <c r="E344">
        <f>HEX2DEC(MID(Hex!$C$8,1+HEX2DEC(Edit!D344)*2,2))</f>
        <v>0</v>
      </c>
      <c r="F344">
        <f t="shared" si="57"/>
        <v>342</v>
      </c>
      <c r="G344" t="str">
        <f>_xlfn.LET(_xlpm.custom,_xlfn.XLOOKUP(F344,Data!A:A,Data!C:C),IF(_xlpm.custom="",_xlfn.XLOOKUP(F344,Data!A:A,Data!B:B),_xlpm.custom))</f>
        <v>TM015</v>
      </c>
      <c r="H344" t="str">
        <f>_xlfn.XLOOKUP(C344,Data!A:A,Data!E:E)</f>
        <v>TM/HM</v>
      </c>
      <c r="J344">
        <f>IF(I344="",C344,_xlfn.XLOOKUP(I344,Data!E:E,Data!A:A,""))</f>
        <v>2</v>
      </c>
      <c r="L344">
        <f t="shared" si="51"/>
        <v>0</v>
      </c>
      <c r="M344">
        <f t="shared" si="52"/>
        <v>0</v>
      </c>
      <c r="N344">
        <f t="shared" si="60"/>
        <v>0</v>
      </c>
      <c r="O344">
        <f t="shared" si="53"/>
        <v>0</v>
      </c>
      <c r="P344">
        <f t="shared" si="54"/>
        <v>0</v>
      </c>
      <c r="R344" t="str">
        <f t="shared" si="55"/>
        <v>00</v>
      </c>
    </row>
    <row r="345" spans="1:18" x14ac:dyDescent="0.4">
      <c r="A345" s="1" t="str">
        <f t="shared" si="58"/>
        <v>0AB</v>
      </c>
      <c r="B345">
        <f t="shared" si="59"/>
        <v>1</v>
      </c>
      <c r="C345">
        <f>VALUE(MID(Hex!$C$2,1+2*HEX2DEC(A345)+B345,1))</f>
        <v>2</v>
      </c>
      <c r="D345" s="1" t="str">
        <f t="shared" si="56"/>
        <v>157</v>
      </c>
      <c r="E345">
        <f>HEX2DEC(MID(Hex!$C$8,1+HEX2DEC(Edit!D345)*2,2))</f>
        <v>0</v>
      </c>
      <c r="F345">
        <f t="shared" si="57"/>
        <v>343</v>
      </c>
      <c r="G345" t="str">
        <f>_xlfn.LET(_xlpm.custom,_xlfn.XLOOKUP(F345,Data!A:A,Data!C:C),IF(_xlpm.custom="",_xlfn.XLOOKUP(F345,Data!A:A,Data!B:B),_xlpm.custom))</f>
        <v>TM016</v>
      </c>
      <c r="H345" t="str">
        <f>_xlfn.XLOOKUP(C345,Data!A:A,Data!E:E)</f>
        <v>TM/HM</v>
      </c>
      <c r="J345">
        <f>IF(I345="",C345,_xlfn.XLOOKUP(I345,Data!E:E,Data!A:A,""))</f>
        <v>2</v>
      </c>
      <c r="L345">
        <f t="shared" si="51"/>
        <v>0</v>
      </c>
      <c r="M345">
        <f t="shared" si="52"/>
        <v>0</v>
      </c>
      <c r="N345">
        <f t="shared" si="60"/>
        <v>0</v>
      </c>
      <c r="O345">
        <f t="shared" si="53"/>
        <v>0</v>
      </c>
      <c r="P345">
        <f t="shared" si="54"/>
        <v>0</v>
      </c>
      <c r="R345" t="str">
        <f t="shared" si="55"/>
        <v>00</v>
      </c>
    </row>
    <row r="346" spans="1:18" x14ac:dyDescent="0.4">
      <c r="A346" s="1" t="str">
        <f t="shared" si="58"/>
        <v>0AC</v>
      </c>
      <c r="B346">
        <f t="shared" si="59"/>
        <v>0</v>
      </c>
      <c r="C346">
        <f>VALUE(MID(Hex!$C$2,1+2*HEX2DEC(A346)+B346,1))</f>
        <v>2</v>
      </c>
      <c r="D346" s="1" t="str">
        <f t="shared" si="56"/>
        <v>158</v>
      </c>
      <c r="E346">
        <f>HEX2DEC(MID(Hex!$C$8,1+HEX2DEC(Edit!D346)*2,2))</f>
        <v>0</v>
      </c>
      <c r="F346">
        <f t="shared" si="57"/>
        <v>344</v>
      </c>
      <c r="G346" t="str">
        <f>_xlfn.LET(_xlpm.custom,_xlfn.XLOOKUP(F346,Data!A:A,Data!C:C),IF(_xlpm.custom="",_xlfn.XLOOKUP(F346,Data!A:A,Data!B:B),_xlpm.custom))</f>
        <v>TM017</v>
      </c>
      <c r="H346" t="str">
        <f>_xlfn.XLOOKUP(C346,Data!A:A,Data!E:E)</f>
        <v>TM/HM</v>
      </c>
      <c r="J346">
        <f>IF(I346="",C346,_xlfn.XLOOKUP(I346,Data!E:E,Data!A:A,""))</f>
        <v>2</v>
      </c>
      <c r="L346">
        <f t="shared" si="51"/>
        <v>0</v>
      </c>
      <c r="M346">
        <f t="shared" si="52"/>
        <v>0</v>
      </c>
      <c r="N346">
        <f t="shared" si="60"/>
        <v>0</v>
      </c>
      <c r="O346">
        <f t="shared" si="53"/>
        <v>0</v>
      </c>
      <c r="P346">
        <f t="shared" si="54"/>
        <v>0</v>
      </c>
      <c r="R346" t="str">
        <f t="shared" si="55"/>
        <v>00</v>
      </c>
    </row>
    <row r="347" spans="1:18" x14ac:dyDescent="0.4">
      <c r="A347" s="1" t="str">
        <f t="shared" si="58"/>
        <v>0AC</v>
      </c>
      <c r="B347">
        <f t="shared" si="59"/>
        <v>1</v>
      </c>
      <c r="C347">
        <f>VALUE(MID(Hex!$C$2,1+2*HEX2DEC(A347)+B347,1))</f>
        <v>2</v>
      </c>
      <c r="D347" s="1" t="str">
        <f t="shared" si="56"/>
        <v>159</v>
      </c>
      <c r="E347">
        <f>HEX2DEC(MID(Hex!$C$8,1+HEX2DEC(Edit!D347)*2,2))</f>
        <v>0</v>
      </c>
      <c r="F347">
        <f t="shared" si="57"/>
        <v>345</v>
      </c>
      <c r="G347" t="str">
        <f>_xlfn.LET(_xlpm.custom,_xlfn.XLOOKUP(F347,Data!A:A,Data!C:C),IF(_xlpm.custom="",_xlfn.XLOOKUP(F347,Data!A:A,Data!B:B),_xlpm.custom))</f>
        <v>TM018</v>
      </c>
      <c r="H347" t="str">
        <f>_xlfn.XLOOKUP(C347,Data!A:A,Data!E:E)</f>
        <v>TM/HM</v>
      </c>
      <c r="J347">
        <f>IF(I347="",C347,_xlfn.XLOOKUP(I347,Data!E:E,Data!A:A,""))</f>
        <v>2</v>
      </c>
      <c r="L347">
        <f t="shared" si="51"/>
        <v>0</v>
      </c>
      <c r="M347">
        <f t="shared" si="52"/>
        <v>0</v>
      </c>
      <c r="N347">
        <f t="shared" si="60"/>
        <v>0</v>
      </c>
      <c r="O347">
        <f t="shared" si="53"/>
        <v>0</v>
      </c>
      <c r="P347">
        <f t="shared" si="54"/>
        <v>0</v>
      </c>
      <c r="R347" t="str">
        <f t="shared" si="55"/>
        <v>00</v>
      </c>
    </row>
    <row r="348" spans="1:18" x14ac:dyDescent="0.4">
      <c r="A348" s="1" t="str">
        <f t="shared" si="58"/>
        <v>0AD</v>
      </c>
      <c r="B348">
        <f t="shared" si="59"/>
        <v>0</v>
      </c>
      <c r="C348">
        <f>VALUE(MID(Hex!$C$2,1+2*HEX2DEC(A348)+B348,1))</f>
        <v>2</v>
      </c>
      <c r="D348" s="1" t="str">
        <f t="shared" si="56"/>
        <v>15A</v>
      </c>
      <c r="E348">
        <f>HEX2DEC(MID(Hex!$C$8,1+HEX2DEC(Edit!D348)*2,2))</f>
        <v>0</v>
      </c>
      <c r="F348">
        <f t="shared" si="57"/>
        <v>346</v>
      </c>
      <c r="G348" t="str">
        <f>_xlfn.LET(_xlpm.custom,_xlfn.XLOOKUP(F348,Data!A:A,Data!C:C),IF(_xlpm.custom="",_xlfn.XLOOKUP(F348,Data!A:A,Data!B:B),_xlpm.custom))</f>
        <v>TM019</v>
      </c>
      <c r="H348" t="str">
        <f>_xlfn.XLOOKUP(C348,Data!A:A,Data!E:E)</f>
        <v>TM/HM</v>
      </c>
      <c r="J348">
        <f>IF(I348="",C348,_xlfn.XLOOKUP(I348,Data!E:E,Data!A:A,""))</f>
        <v>2</v>
      </c>
      <c r="L348">
        <f t="shared" si="51"/>
        <v>0</v>
      </c>
      <c r="M348">
        <f t="shared" si="52"/>
        <v>0</v>
      </c>
      <c r="N348">
        <f t="shared" si="60"/>
        <v>0</v>
      </c>
      <c r="O348">
        <f t="shared" si="53"/>
        <v>0</v>
      </c>
      <c r="P348">
        <f t="shared" si="54"/>
        <v>0</v>
      </c>
      <c r="R348" t="str">
        <f t="shared" si="55"/>
        <v>00</v>
      </c>
    </row>
    <row r="349" spans="1:18" x14ac:dyDescent="0.4">
      <c r="A349" s="1" t="str">
        <f t="shared" si="58"/>
        <v>0AD</v>
      </c>
      <c r="B349">
        <f t="shared" si="59"/>
        <v>1</v>
      </c>
      <c r="C349">
        <f>VALUE(MID(Hex!$C$2,1+2*HEX2DEC(A349)+B349,1))</f>
        <v>2</v>
      </c>
      <c r="D349" s="1" t="str">
        <f t="shared" si="56"/>
        <v>15B</v>
      </c>
      <c r="E349">
        <f>HEX2DEC(MID(Hex!$C$8,1+HEX2DEC(Edit!D349)*2,2))</f>
        <v>0</v>
      </c>
      <c r="F349">
        <f t="shared" si="57"/>
        <v>347</v>
      </c>
      <c r="G349" t="str">
        <f>_xlfn.LET(_xlpm.custom,_xlfn.XLOOKUP(F349,Data!A:A,Data!C:C),IF(_xlpm.custom="",_xlfn.XLOOKUP(F349,Data!A:A,Data!B:B),_xlpm.custom))</f>
        <v>TM020</v>
      </c>
      <c r="H349" t="str">
        <f>_xlfn.XLOOKUP(C349,Data!A:A,Data!E:E)</f>
        <v>TM/HM</v>
      </c>
      <c r="J349">
        <f>IF(I349="",C349,_xlfn.XLOOKUP(I349,Data!E:E,Data!A:A,""))</f>
        <v>2</v>
      </c>
      <c r="L349">
        <f t="shared" si="51"/>
        <v>0</v>
      </c>
      <c r="M349">
        <f t="shared" si="52"/>
        <v>0</v>
      </c>
      <c r="N349">
        <f t="shared" si="60"/>
        <v>0</v>
      </c>
      <c r="O349">
        <f t="shared" si="53"/>
        <v>0</v>
      </c>
      <c r="P349">
        <f t="shared" si="54"/>
        <v>0</v>
      </c>
      <c r="R349" t="str">
        <f t="shared" si="55"/>
        <v>00</v>
      </c>
    </row>
    <row r="350" spans="1:18" x14ac:dyDescent="0.4">
      <c r="A350" s="1" t="str">
        <f t="shared" si="58"/>
        <v>0AE</v>
      </c>
      <c r="B350">
        <f t="shared" si="59"/>
        <v>0</v>
      </c>
      <c r="C350">
        <f>VALUE(MID(Hex!$C$2,1+2*HEX2DEC(A350)+B350,1))</f>
        <v>2</v>
      </c>
      <c r="D350" s="1" t="str">
        <f t="shared" si="56"/>
        <v>15C</v>
      </c>
      <c r="E350">
        <f>HEX2DEC(MID(Hex!$C$8,1+HEX2DEC(Edit!D350)*2,2))</f>
        <v>0</v>
      </c>
      <c r="F350">
        <f t="shared" si="57"/>
        <v>348</v>
      </c>
      <c r="G350" t="str">
        <f>_xlfn.LET(_xlpm.custom,_xlfn.XLOOKUP(F350,Data!A:A,Data!C:C),IF(_xlpm.custom="",_xlfn.XLOOKUP(F350,Data!A:A,Data!B:B),_xlpm.custom))</f>
        <v>TM021</v>
      </c>
      <c r="H350" t="str">
        <f>_xlfn.XLOOKUP(C350,Data!A:A,Data!E:E)</f>
        <v>TM/HM</v>
      </c>
      <c r="J350">
        <f>IF(I350="",C350,_xlfn.XLOOKUP(I350,Data!E:E,Data!A:A,""))</f>
        <v>2</v>
      </c>
      <c r="L350">
        <f t="shared" si="51"/>
        <v>0</v>
      </c>
      <c r="M350">
        <f t="shared" si="52"/>
        <v>0</v>
      </c>
      <c r="N350">
        <f t="shared" si="60"/>
        <v>0</v>
      </c>
      <c r="O350">
        <f t="shared" si="53"/>
        <v>0</v>
      </c>
      <c r="P350">
        <f t="shared" si="54"/>
        <v>0</v>
      </c>
      <c r="R350" t="str">
        <f t="shared" si="55"/>
        <v>00</v>
      </c>
    </row>
    <row r="351" spans="1:18" x14ac:dyDescent="0.4">
      <c r="A351" s="1" t="str">
        <f t="shared" si="58"/>
        <v>0AE</v>
      </c>
      <c r="B351">
        <f t="shared" si="59"/>
        <v>1</v>
      </c>
      <c r="C351">
        <f>VALUE(MID(Hex!$C$2,1+2*HEX2DEC(A351)+B351,1))</f>
        <v>2</v>
      </c>
      <c r="D351" s="1" t="str">
        <f t="shared" si="56"/>
        <v>15D</v>
      </c>
      <c r="E351">
        <f>HEX2DEC(MID(Hex!$C$8,1+HEX2DEC(Edit!D351)*2,2))</f>
        <v>0</v>
      </c>
      <c r="F351">
        <f t="shared" si="57"/>
        <v>349</v>
      </c>
      <c r="G351" t="str">
        <f>_xlfn.LET(_xlpm.custom,_xlfn.XLOOKUP(F351,Data!A:A,Data!C:C),IF(_xlpm.custom="",_xlfn.XLOOKUP(F351,Data!A:A,Data!B:B),_xlpm.custom))</f>
        <v>TM022</v>
      </c>
      <c r="H351" t="str">
        <f>_xlfn.XLOOKUP(C351,Data!A:A,Data!E:E)</f>
        <v>TM/HM</v>
      </c>
      <c r="J351">
        <f>IF(I351="",C351,_xlfn.XLOOKUP(I351,Data!E:E,Data!A:A,""))</f>
        <v>2</v>
      </c>
      <c r="L351">
        <f t="shared" si="51"/>
        <v>0</v>
      </c>
      <c r="M351">
        <f t="shared" si="52"/>
        <v>0</v>
      </c>
      <c r="N351">
        <f t="shared" si="60"/>
        <v>0</v>
      </c>
      <c r="O351">
        <f t="shared" si="53"/>
        <v>0</v>
      </c>
      <c r="P351">
        <f t="shared" si="54"/>
        <v>0</v>
      </c>
      <c r="R351" t="str">
        <f t="shared" si="55"/>
        <v>00</v>
      </c>
    </row>
    <row r="352" spans="1:18" x14ac:dyDescent="0.4">
      <c r="A352" s="1" t="str">
        <f t="shared" si="58"/>
        <v>0AF</v>
      </c>
      <c r="B352">
        <f t="shared" si="59"/>
        <v>0</v>
      </c>
      <c r="C352">
        <f>VALUE(MID(Hex!$C$2,1+2*HEX2DEC(A352)+B352,1))</f>
        <v>2</v>
      </c>
      <c r="D352" s="1" t="str">
        <f t="shared" si="56"/>
        <v>15E</v>
      </c>
      <c r="E352">
        <f>HEX2DEC(MID(Hex!$C$8,1+HEX2DEC(Edit!D352)*2,2))</f>
        <v>0</v>
      </c>
      <c r="F352">
        <f t="shared" si="57"/>
        <v>350</v>
      </c>
      <c r="G352" t="str">
        <f>_xlfn.LET(_xlpm.custom,_xlfn.XLOOKUP(F352,Data!A:A,Data!C:C),IF(_xlpm.custom="",_xlfn.XLOOKUP(F352,Data!A:A,Data!B:B),_xlpm.custom))</f>
        <v>TM023</v>
      </c>
      <c r="H352" t="str">
        <f>_xlfn.XLOOKUP(C352,Data!A:A,Data!E:E)</f>
        <v>TM/HM</v>
      </c>
      <c r="J352">
        <f>IF(I352="",C352,_xlfn.XLOOKUP(I352,Data!E:E,Data!A:A,""))</f>
        <v>2</v>
      </c>
      <c r="L352">
        <f t="shared" si="51"/>
        <v>0</v>
      </c>
      <c r="M352">
        <f t="shared" si="52"/>
        <v>0</v>
      </c>
      <c r="N352">
        <f t="shared" si="60"/>
        <v>0</v>
      </c>
      <c r="O352">
        <f t="shared" si="53"/>
        <v>0</v>
      </c>
      <c r="P352">
        <f t="shared" si="54"/>
        <v>0</v>
      </c>
      <c r="R352" t="str">
        <f t="shared" si="55"/>
        <v>00</v>
      </c>
    </row>
    <row r="353" spans="1:18" x14ac:dyDescent="0.4">
      <c r="A353" s="1" t="str">
        <f t="shared" si="58"/>
        <v>0AF</v>
      </c>
      <c r="B353">
        <f t="shared" si="59"/>
        <v>1</v>
      </c>
      <c r="C353">
        <f>VALUE(MID(Hex!$C$2,1+2*HEX2DEC(A353)+B353,1))</f>
        <v>2</v>
      </c>
      <c r="D353" s="1" t="str">
        <f t="shared" si="56"/>
        <v>15F</v>
      </c>
      <c r="E353">
        <f>HEX2DEC(MID(Hex!$C$8,1+HEX2DEC(Edit!D353)*2,2))</f>
        <v>0</v>
      </c>
      <c r="F353">
        <f t="shared" si="57"/>
        <v>351</v>
      </c>
      <c r="G353" t="str">
        <f>_xlfn.LET(_xlpm.custom,_xlfn.XLOOKUP(F353,Data!A:A,Data!C:C),IF(_xlpm.custom="",_xlfn.XLOOKUP(F353,Data!A:A,Data!B:B),_xlpm.custom))</f>
        <v>TM024</v>
      </c>
      <c r="H353" t="str">
        <f>_xlfn.XLOOKUP(C353,Data!A:A,Data!E:E)</f>
        <v>TM/HM</v>
      </c>
      <c r="J353">
        <f>IF(I353="",C353,_xlfn.XLOOKUP(I353,Data!E:E,Data!A:A,""))</f>
        <v>2</v>
      </c>
      <c r="L353">
        <f t="shared" si="51"/>
        <v>0</v>
      </c>
      <c r="M353">
        <f t="shared" si="52"/>
        <v>0</v>
      </c>
      <c r="N353">
        <f t="shared" si="60"/>
        <v>0</v>
      </c>
      <c r="O353">
        <f t="shared" si="53"/>
        <v>0</v>
      </c>
      <c r="P353">
        <f t="shared" si="54"/>
        <v>0</v>
      </c>
      <c r="R353" t="str">
        <f t="shared" si="55"/>
        <v>00</v>
      </c>
    </row>
    <row r="354" spans="1:18" x14ac:dyDescent="0.4">
      <c r="A354" s="1" t="str">
        <f t="shared" si="58"/>
        <v>0B0</v>
      </c>
      <c r="B354">
        <f t="shared" si="59"/>
        <v>0</v>
      </c>
      <c r="C354">
        <f>VALUE(MID(Hex!$C$2,1+2*HEX2DEC(A354)+B354,1))</f>
        <v>2</v>
      </c>
      <c r="D354" s="1" t="str">
        <f t="shared" si="56"/>
        <v>160</v>
      </c>
      <c r="E354">
        <f>HEX2DEC(MID(Hex!$C$8,1+HEX2DEC(Edit!D354)*2,2))</f>
        <v>0</v>
      </c>
      <c r="F354">
        <f t="shared" si="57"/>
        <v>352</v>
      </c>
      <c r="G354" t="str">
        <f>_xlfn.LET(_xlpm.custom,_xlfn.XLOOKUP(F354,Data!A:A,Data!C:C),IF(_xlpm.custom="",_xlfn.XLOOKUP(F354,Data!A:A,Data!B:B),_xlpm.custom))</f>
        <v>TM025</v>
      </c>
      <c r="H354" t="str">
        <f>_xlfn.XLOOKUP(C354,Data!A:A,Data!E:E)</f>
        <v>TM/HM</v>
      </c>
      <c r="J354">
        <f>IF(I354="",C354,_xlfn.XLOOKUP(I354,Data!E:E,Data!A:A,""))</f>
        <v>2</v>
      </c>
      <c r="L354">
        <f t="shared" si="51"/>
        <v>0</v>
      </c>
      <c r="M354">
        <f t="shared" si="52"/>
        <v>0</v>
      </c>
      <c r="N354">
        <f t="shared" si="60"/>
        <v>0</v>
      </c>
      <c r="O354">
        <f t="shared" si="53"/>
        <v>0</v>
      </c>
      <c r="P354">
        <f t="shared" si="54"/>
        <v>0</v>
      </c>
      <c r="R354" t="str">
        <f t="shared" si="55"/>
        <v>00</v>
      </c>
    </row>
    <row r="355" spans="1:18" x14ac:dyDescent="0.4">
      <c r="A355" s="1" t="str">
        <f t="shared" si="58"/>
        <v>0B0</v>
      </c>
      <c r="B355">
        <f t="shared" si="59"/>
        <v>1</v>
      </c>
      <c r="C355">
        <f>VALUE(MID(Hex!$C$2,1+2*HEX2DEC(A355)+B355,1))</f>
        <v>2</v>
      </c>
      <c r="D355" s="1" t="str">
        <f t="shared" si="56"/>
        <v>161</v>
      </c>
      <c r="E355">
        <f>HEX2DEC(MID(Hex!$C$8,1+HEX2DEC(Edit!D355)*2,2))</f>
        <v>0</v>
      </c>
      <c r="F355">
        <f t="shared" si="57"/>
        <v>353</v>
      </c>
      <c r="G355" t="str">
        <f>_xlfn.LET(_xlpm.custom,_xlfn.XLOOKUP(F355,Data!A:A,Data!C:C),IF(_xlpm.custom="",_xlfn.XLOOKUP(F355,Data!A:A,Data!B:B),_xlpm.custom))</f>
        <v>TM026</v>
      </c>
      <c r="H355" t="str">
        <f>_xlfn.XLOOKUP(C355,Data!A:A,Data!E:E)</f>
        <v>TM/HM</v>
      </c>
      <c r="J355">
        <f>IF(I355="",C355,_xlfn.XLOOKUP(I355,Data!E:E,Data!A:A,""))</f>
        <v>2</v>
      </c>
      <c r="L355">
        <f t="shared" si="51"/>
        <v>0</v>
      </c>
      <c r="M355">
        <f t="shared" si="52"/>
        <v>0</v>
      </c>
      <c r="N355">
        <f t="shared" si="60"/>
        <v>0</v>
      </c>
      <c r="O355">
        <f t="shared" si="53"/>
        <v>0</v>
      </c>
      <c r="P355">
        <f t="shared" si="54"/>
        <v>0</v>
      </c>
      <c r="R355" t="str">
        <f t="shared" si="55"/>
        <v>00</v>
      </c>
    </row>
    <row r="356" spans="1:18" x14ac:dyDescent="0.4">
      <c r="A356" s="1" t="str">
        <f t="shared" si="58"/>
        <v>0B1</v>
      </c>
      <c r="B356">
        <f t="shared" si="59"/>
        <v>0</v>
      </c>
      <c r="C356">
        <f>VALUE(MID(Hex!$C$2,1+2*HEX2DEC(A356)+B356,1))</f>
        <v>2</v>
      </c>
      <c r="D356" s="1" t="str">
        <f t="shared" si="56"/>
        <v>162</v>
      </c>
      <c r="E356">
        <f>HEX2DEC(MID(Hex!$C$8,1+HEX2DEC(Edit!D356)*2,2))</f>
        <v>0</v>
      </c>
      <c r="F356">
        <f t="shared" si="57"/>
        <v>354</v>
      </c>
      <c r="G356" t="str">
        <f>_xlfn.LET(_xlpm.custom,_xlfn.XLOOKUP(F356,Data!A:A,Data!C:C),IF(_xlpm.custom="",_xlfn.XLOOKUP(F356,Data!A:A,Data!B:B),_xlpm.custom))</f>
        <v>TM027</v>
      </c>
      <c r="H356" t="str">
        <f>_xlfn.XLOOKUP(C356,Data!A:A,Data!E:E)</f>
        <v>TM/HM</v>
      </c>
      <c r="J356">
        <f>IF(I356="",C356,_xlfn.XLOOKUP(I356,Data!E:E,Data!A:A,""))</f>
        <v>2</v>
      </c>
      <c r="L356">
        <f t="shared" si="51"/>
        <v>0</v>
      </c>
      <c r="M356">
        <f t="shared" si="52"/>
        <v>0</v>
      </c>
      <c r="N356">
        <f t="shared" si="60"/>
        <v>0</v>
      </c>
      <c r="O356">
        <f t="shared" si="53"/>
        <v>0</v>
      </c>
      <c r="P356">
        <f t="shared" si="54"/>
        <v>0</v>
      </c>
      <c r="R356" t="str">
        <f t="shared" si="55"/>
        <v>00</v>
      </c>
    </row>
    <row r="357" spans="1:18" x14ac:dyDescent="0.4">
      <c r="A357" s="1" t="str">
        <f t="shared" si="58"/>
        <v>0B1</v>
      </c>
      <c r="B357">
        <f t="shared" si="59"/>
        <v>1</v>
      </c>
      <c r="C357">
        <f>VALUE(MID(Hex!$C$2,1+2*HEX2DEC(A357)+B357,1))</f>
        <v>2</v>
      </c>
      <c r="D357" s="1" t="str">
        <f t="shared" si="56"/>
        <v>163</v>
      </c>
      <c r="E357">
        <f>HEX2DEC(MID(Hex!$C$8,1+HEX2DEC(Edit!D357)*2,2))</f>
        <v>0</v>
      </c>
      <c r="F357">
        <f t="shared" si="57"/>
        <v>355</v>
      </c>
      <c r="G357" t="str">
        <f>_xlfn.LET(_xlpm.custom,_xlfn.XLOOKUP(F357,Data!A:A,Data!C:C),IF(_xlpm.custom="",_xlfn.XLOOKUP(F357,Data!A:A,Data!B:B),_xlpm.custom))</f>
        <v>TM028</v>
      </c>
      <c r="H357" t="str">
        <f>_xlfn.XLOOKUP(C357,Data!A:A,Data!E:E)</f>
        <v>TM/HM</v>
      </c>
      <c r="J357">
        <f>IF(I357="",C357,_xlfn.XLOOKUP(I357,Data!E:E,Data!A:A,""))</f>
        <v>2</v>
      </c>
      <c r="L357">
        <f t="shared" si="51"/>
        <v>0</v>
      </c>
      <c r="M357">
        <f t="shared" si="52"/>
        <v>0</v>
      </c>
      <c r="N357">
        <f t="shared" si="60"/>
        <v>0</v>
      </c>
      <c r="O357">
        <f t="shared" si="53"/>
        <v>0</v>
      </c>
      <c r="P357">
        <f t="shared" si="54"/>
        <v>0</v>
      </c>
      <c r="R357" t="str">
        <f t="shared" si="55"/>
        <v>00</v>
      </c>
    </row>
    <row r="358" spans="1:18" x14ac:dyDescent="0.4">
      <c r="A358" s="1" t="str">
        <f t="shared" si="58"/>
        <v>0B2</v>
      </c>
      <c r="B358">
        <f t="shared" si="59"/>
        <v>0</v>
      </c>
      <c r="C358">
        <f>VALUE(MID(Hex!$C$2,1+2*HEX2DEC(A358)+B358,1))</f>
        <v>2</v>
      </c>
      <c r="D358" s="1" t="str">
        <f t="shared" si="56"/>
        <v>164</v>
      </c>
      <c r="E358">
        <f>HEX2DEC(MID(Hex!$C$8,1+HEX2DEC(Edit!D358)*2,2))</f>
        <v>0</v>
      </c>
      <c r="F358">
        <f t="shared" si="57"/>
        <v>356</v>
      </c>
      <c r="G358" t="str">
        <f>_xlfn.LET(_xlpm.custom,_xlfn.XLOOKUP(F358,Data!A:A,Data!C:C),IF(_xlpm.custom="",_xlfn.XLOOKUP(F358,Data!A:A,Data!B:B),_xlpm.custom))</f>
        <v>TM029</v>
      </c>
      <c r="H358" t="str">
        <f>_xlfn.XLOOKUP(C358,Data!A:A,Data!E:E)</f>
        <v>TM/HM</v>
      </c>
      <c r="J358">
        <f>IF(I358="",C358,_xlfn.XLOOKUP(I358,Data!E:E,Data!A:A,""))</f>
        <v>2</v>
      </c>
      <c r="L358">
        <f t="shared" si="51"/>
        <v>0</v>
      </c>
      <c r="M358">
        <f t="shared" si="52"/>
        <v>0</v>
      </c>
      <c r="N358">
        <f t="shared" si="60"/>
        <v>0</v>
      </c>
      <c r="O358">
        <f t="shared" si="53"/>
        <v>0</v>
      </c>
      <c r="P358">
        <f t="shared" si="54"/>
        <v>0</v>
      </c>
      <c r="R358" t="str">
        <f t="shared" si="55"/>
        <v>00</v>
      </c>
    </row>
    <row r="359" spans="1:18" x14ac:dyDescent="0.4">
      <c r="A359" s="1" t="str">
        <f t="shared" si="58"/>
        <v>0B2</v>
      </c>
      <c r="B359">
        <f t="shared" si="59"/>
        <v>1</v>
      </c>
      <c r="C359">
        <f>VALUE(MID(Hex!$C$2,1+2*HEX2DEC(A359)+B359,1))</f>
        <v>2</v>
      </c>
      <c r="D359" s="1" t="str">
        <f t="shared" si="56"/>
        <v>165</v>
      </c>
      <c r="E359">
        <f>HEX2DEC(MID(Hex!$C$8,1+HEX2DEC(Edit!D359)*2,2))</f>
        <v>0</v>
      </c>
      <c r="F359">
        <f t="shared" si="57"/>
        <v>357</v>
      </c>
      <c r="G359" t="str">
        <f>_xlfn.LET(_xlpm.custom,_xlfn.XLOOKUP(F359,Data!A:A,Data!C:C),IF(_xlpm.custom="",_xlfn.XLOOKUP(F359,Data!A:A,Data!B:B),_xlpm.custom))</f>
        <v>TM030</v>
      </c>
      <c r="H359" t="str">
        <f>_xlfn.XLOOKUP(C359,Data!A:A,Data!E:E)</f>
        <v>TM/HM</v>
      </c>
      <c r="J359">
        <f>IF(I359="",C359,_xlfn.XLOOKUP(I359,Data!E:E,Data!A:A,""))</f>
        <v>2</v>
      </c>
      <c r="L359">
        <f t="shared" si="51"/>
        <v>0</v>
      </c>
      <c r="M359">
        <f t="shared" si="52"/>
        <v>0</v>
      </c>
      <c r="N359">
        <f t="shared" si="60"/>
        <v>0</v>
      </c>
      <c r="O359">
        <f t="shared" si="53"/>
        <v>0</v>
      </c>
      <c r="P359">
        <f t="shared" si="54"/>
        <v>0</v>
      </c>
      <c r="R359" t="str">
        <f t="shared" si="55"/>
        <v>00</v>
      </c>
    </row>
    <row r="360" spans="1:18" x14ac:dyDescent="0.4">
      <c r="A360" s="1" t="str">
        <f t="shared" si="58"/>
        <v>0B3</v>
      </c>
      <c r="B360">
        <f t="shared" si="59"/>
        <v>0</v>
      </c>
      <c r="C360">
        <f>VALUE(MID(Hex!$C$2,1+2*HEX2DEC(A360)+B360,1))</f>
        <v>2</v>
      </c>
      <c r="D360" s="1" t="str">
        <f t="shared" si="56"/>
        <v>166</v>
      </c>
      <c r="E360">
        <f>HEX2DEC(MID(Hex!$C$8,1+HEX2DEC(Edit!D360)*2,2))</f>
        <v>0</v>
      </c>
      <c r="F360">
        <f t="shared" si="57"/>
        <v>358</v>
      </c>
      <c r="G360" t="str">
        <f>_xlfn.LET(_xlpm.custom,_xlfn.XLOOKUP(F360,Data!A:A,Data!C:C),IF(_xlpm.custom="",_xlfn.XLOOKUP(F360,Data!A:A,Data!B:B),_xlpm.custom))</f>
        <v>TM031</v>
      </c>
      <c r="H360" t="str">
        <f>_xlfn.XLOOKUP(C360,Data!A:A,Data!E:E)</f>
        <v>TM/HM</v>
      </c>
      <c r="J360">
        <f>IF(I360="",C360,_xlfn.XLOOKUP(I360,Data!E:E,Data!A:A,""))</f>
        <v>2</v>
      </c>
      <c r="L360">
        <f t="shared" si="51"/>
        <v>0</v>
      </c>
      <c r="M360">
        <f t="shared" si="52"/>
        <v>0</v>
      </c>
      <c r="N360">
        <f t="shared" si="60"/>
        <v>0</v>
      </c>
      <c r="O360">
        <f t="shared" si="53"/>
        <v>0</v>
      </c>
      <c r="P360">
        <f t="shared" si="54"/>
        <v>0</v>
      </c>
      <c r="R360" t="str">
        <f t="shared" si="55"/>
        <v>00</v>
      </c>
    </row>
    <row r="361" spans="1:18" x14ac:dyDescent="0.4">
      <c r="A361" s="1" t="str">
        <f t="shared" si="58"/>
        <v>0B3</v>
      </c>
      <c r="B361">
        <f t="shared" si="59"/>
        <v>1</v>
      </c>
      <c r="C361">
        <f>VALUE(MID(Hex!$C$2,1+2*HEX2DEC(A361)+B361,1))</f>
        <v>2</v>
      </c>
      <c r="D361" s="1" t="str">
        <f t="shared" si="56"/>
        <v>167</v>
      </c>
      <c r="E361">
        <f>HEX2DEC(MID(Hex!$C$8,1+HEX2DEC(Edit!D361)*2,2))</f>
        <v>0</v>
      </c>
      <c r="F361">
        <f t="shared" si="57"/>
        <v>359</v>
      </c>
      <c r="G361" t="str">
        <f>_xlfn.LET(_xlpm.custom,_xlfn.XLOOKUP(F361,Data!A:A,Data!C:C),IF(_xlpm.custom="",_xlfn.XLOOKUP(F361,Data!A:A,Data!B:B),_xlpm.custom))</f>
        <v>TM032</v>
      </c>
      <c r="H361" t="str">
        <f>_xlfn.XLOOKUP(C361,Data!A:A,Data!E:E)</f>
        <v>TM/HM</v>
      </c>
      <c r="J361">
        <f>IF(I361="",C361,_xlfn.XLOOKUP(I361,Data!E:E,Data!A:A,""))</f>
        <v>2</v>
      </c>
      <c r="L361">
        <f t="shared" si="51"/>
        <v>0</v>
      </c>
      <c r="M361">
        <f t="shared" si="52"/>
        <v>0</v>
      </c>
      <c r="N361">
        <f t="shared" si="60"/>
        <v>0</v>
      </c>
      <c r="O361">
        <f t="shared" si="53"/>
        <v>0</v>
      </c>
      <c r="P361">
        <f t="shared" si="54"/>
        <v>0</v>
      </c>
      <c r="R361" t="str">
        <f t="shared" si="55"/>
        <v>00</v>
      </c>
    </row>
    <row r="362" spans="1:18" x14ac:dyDescent="0.4">
      <c r="A362" s="1" t="str">
        <f t="shared" si="58"/>
        <v>0B4</v>
      </c>
      <c r="B362">
        <f t="shared" si="59"/>
        <v>0</v>
      </c>
      <c r="C362">
        <f>VALUE(MID(Hex!$C$2,1+2*HEX2DEC(A362)+B362,1))</f>
        <v>2</v>
      </c>
      <c r="D362" s="1" t="str">
        <f t="shared" si="56"/>
        <v>168</v>
      </c>
      <c r="E362">
        <f>HEX2DEC(MID(Hex!$C$8,1+HEX2DEC(Edit!D362)*2,2))</f>
        <v>0</v>
      </c>
      <c r="F362">
        <f t="shared" si="57"/>
        <v>360</v>
      </c>
      <c r="G362" t="str">
        <f>_xlfn.LET(_xlpm.custom,_xlfn.XLOOKUP(F362,Data!A:A,Data!C:C),IF(_xlpm.custom="",_xlfn.XLOOKUP(F362,Data!A:A,Data!B:B),_xlpm.custom))</f>
        <v>TM033</v>
      </c>
      <c r="H362" t="str">
        <f>_xlfn.XLOOKUP(C362,Data!A:A,Data!E:E)</f>
        <v>TM/HM</v>
      </c>
      <c r="J362">
        <f>IF(I362="",C362,_xlfn.XLOOKUP(I362,Data!E:E,Data!A:A,""))</f>
        <v>2</v>
      </c>
      <c r="L362">
        <f t="shared" si="51"/>
        <v>0</v>
      </c>
      <c r="M362">
        <f t="shared" si="52"/>
        <v>0</v>
      </c>
      <c r="N362">
        <f t="shared" si="60"/>
        <v>0</v>
      </c>
      <c r="O362">
        <f t="shared" si="53"/>
        <v>0</v>
      </c>
      <c r="P362">
        <f t="shared" si="54"/>
        <v>0</v>
      </c>
      <c r="R362" t="str">
        <f t="shared" si="55"/>
        <v>00</v>
      </c>
    </row>
    <row r="363" spans="1:18" x14ac:dyDescent="0.4">
      <c r="A363" s="1" t="str">
        <f t="shared" si="58"/>
        <v>0B4</v>
      </c>
      <c r="B363">
        <f t="shared" si="59"/>
        <v>1</v>
      </c>
      <c r="C363">
        <f>VALUE(MID(Hex!$C$2,1+2*HEX2DEC(A363)+B363,1))</f>
        <v>2</v>
      </c>
      <c r="D363" s="1" t="str">
        <f t="shared" si="56"/>
        <v>169</v>
      </c>
      <c r="E363">
        <f>HEX2DEC(MID(Hex!$C$8,1+HEX2DEC(Edit!D363)*2,2))</f>
        <v>0</v>
      </c>
      <c r="F363">
        <f t="shared" si="57"/>
        <v>361</v>
      </c>
      <c r="G363" t="str">
        <f>_xlfn.LET(_xlpm.custom,_xlfn.XLOOKUP(F363,Data!A:A,Data!C:C),IF(_xlpm.custom="",_xlfn.XLOOKUP(F363,Data!A:A,Data!B:B),_xlpm.custom))</f>
        <v>TM034</v>
      </c>
      <c r="H363" t="str">
        <f>_xlfn.XLOOKUP(C363,Data!A:A,Data!E:E)</f>
        <v>TM/HM</v>
      </c>
      <c r="J363">
        <f>IF(I363="",C363,_xlfn.XLOOKUP(I363,Data!E:E,Data!A:A,""))</f>
        <v>2</v>
      </c>
      <c r="L363">
        <f t="shared" si="51"/>
        <v>0</v>
      </c>
      <c r="M363">
        <f t="shared" si="52"/>
        <v>0</v>
      </c>
      <c r="N363">
        <f t="shared" si="60"/>
        <v>0</v>
      </c>
      <c r="O363">
        <f t="shared" si="53"/>
        <v>0</v>
      </c>
      <c r="P363">
        <f t="shared" si="54"/>
        <v>0</v>
      </c>
      <c r="R363" t="str">
        <f t="shared" si="55"/>
        <v>00</v>
      </c>
    </row>
    <row r="364" spans="1:18" x14ac:dyDescent="0.4">
      <c r="A364" s="1" t="str">
        <f t="shared" si="58"/>
        <v>0B5</v>
      </c>
      <c r="B364">
        <f t="shared" si="59"/>
        <v>0</v>
      </c>
      <c r="C364">
        <f>VALUE(MID(Hex!$C$2,1+2*HEX2DEC(A364)+B364,1))</f>
        <v>2</v>
      </c>
      <c r="D364" s="1" t="str">
        <f t="shared" si="56"/>
        <v>16A</v>
      </c>
      <c r="E364">
        <f>HEX2DEC(MID(Hex!$C$8,1+HEX2DEC(Edit!D364)*2,2))</f>
        <v>0</v>
      </c>
      <c r="F364">
        <f t="shared" si="57"/>
        <v>362</v>
      </c>
      <c r="G364" t="str">
        <f>_xlfn.LET(_xlpm.custom,_xlfn.XLOOKUP(F364,Data!A:A,Data!C:C),IF(_xlpm.custom="",_xlfn.XLOOKUP(F364,Data!A:A,Data!B:B),_xlpm.custom))</f>
        <v>TM035</v>
      </c>
      <c r="H364" t="str">
        <f>_xlfn.XLOOKUP(C364,Data!A:A,Data!E:E)</f>
        <v>TM/HM</v>
      </c>
      <c r="J364">
        <f>IF(I364="",C364,_xlfn.XLOOKUP(I364,Data!E:E,Data!A:A,""))</f>
        <v>2</v>
      </c>
      <c r="L364">
        <f t="shared" si="51"/>
        <v>0</v>
      </c>
      <c r="M364">
        <f t="shared" si="52"/>
        <v>0</v>
      </c>
      <c r="N364">
        <f t="shared" si="60"/>
        <v>0</v>
      </c>
      <c r="O364">
        <f t="shared" si="53"/>
        <v>0</v>
      </c>
      <c r="P364">
        <f t="shared" si="54"/>
        <v>0</v>
      </c>
      <c r="R364" t="str">
        <f t="shared" si="55"/>
        <v>00</v>
      </c>
    </row>
    <row r="365" spans="1:18" x14ac:dyDescent="0.4">
      <c r="A365" s="1" t="str">
        <f t="shared" si="58"/>
        <v>0B5</v>
      </c>
      <c r="B365">
        <f t="shared" si="59"/>
        <v>1</v>
      </c>
      <c r="C365">
        <f>VALUE(MID(Hex!$C$2,1+2*HEX2DEC(A365)+B365,1))</f>
        <v>2</v>
      </c>
      <c r="D365" s="1" t="str">
        <f t="shared" si="56"/>
        <v>16B</v>
      </c>
      <c r="E365">
        <f>HEX2DEC(MID(Hex!$C$8,1+HEX2DEC(Edit!D365)*2,2))</f>
        <v>0</v>
      </c>
      <c r="F365">
        <f t="shared" si="57"/>
        <v>363</v>
      </c>
      <c r="G365" t="str">
        <f>_xlfn.LET(_xlpm.custom,_xlfn.XLOOKUP(F365,Data!A:A,Data!C:C),IF(_xlpm.custom="",_xlfn.XLOOKUP(F365,Data!A:A,Data!B:B),_xlpm.custom))</f>
        <v>TM036</v>
      </c>
      <c r="H365" t="str">
        <f>_xlfn.XLOOKUP(C365,Data!A:A,Data!E:E)</f>
        <v>TM/HM</v>
      </c>
      <c r="J365">
        <f>IF(I365="",C365,_xlfn.XLOOKUP(I365,Data!E:E,Data!A:A,""))</f>
        <v>2</v>
      </c>
      <c r="L365">
        <f t="shared" si="51"/>
        <v>0</v>
      </c>
      <c r="M365">
        <f t="shared" si="52"/>
        <v>0</v>
      </c>
      <c r="N365">
        <f t="shared" si="60"/>
        <v>0</v>
      </c>
      <c r="O365">
        <f t="shared" si="53"/>
        <v>0</v>
      </c>
      <c r="P365">
        <f t="shared" si="54"/>
        <v>0</v>
      </c>
      <c r="R365" t="str">
        <f t="shared" si="55"/>
        <v>00</v>
      </c>
    </row>
    <row r="366" spans="1:18" x14ac:dyDescent="0.4">
      <c r="A366" s="1" t="str">
        <f t="shared" si="58"/>
        <v>0B6</v>
      </c>
      <c r="B366">
        <f t="shared" si="59"/>
        <v>0</v>
      </c>
      <c r="C366">
        <f>VALUE(MID(Hex!$C$2,1+2*HEX2DEC(A366)+B366,1))</f>
        <v>2</v>
      </c>
      <c r="D366" s="1" t="str">
        <f t="shared" si="56"/>
        <v>16C</v>
      </c>
      <c r="E366">
        <f>HEX2DEC(MID(Hex!$C$8,1+HEX2DEC(Edit!D366)*2,2))</f>
        <v>0</v>
      </c>
      <c r="F366">
        <f t="shared" si="57"/>
        <v>364</v>
      </c>
      <c r="G366" t="str">
        <f>_xlfn.LET(_xlpm.custom,_xlfn.XLOOKUP(F366,Data!A:A,Data!C:C),IF(_xlpm.custom="",_xlfn.XLOOKUP(F366,Data!A:A,Data!B:B),_xlpm.custom))</f>
        <v>TM037</v>
      </c>
      <c r="H366" t="str">
        <f>_xlfn.XLOOKUP(C366,Data!A:A,Data!E:E)</f>
        <v>TM/HM</v>
      </c>
      <c r="J366">
        <f>IF(I366="",C366,_xlfn.XLOOKUP(I366,Data!E:E,Data!A:A,""))</f>
        <v>2</v>
      </c>
      <c r="L366">
        <f t="shared" si="51"/>
        <v>0</v>
      </c>
      <c r="M366">
        <f t="shared" si="52"/>
        <v>0</v>
      </c>
      <c r="N366">
        <f t="shared" si="60"/>
        <v>0</v>
      </c>
      <c r="O366">
        <f t="shared" si="53"/>
        <v>0</v>
      </c>
      <c r="P366">
        <f t="shared" si="54"/>
        <v>0</v>
      </c>
      <c r="R366" t="str">
        <f t="shared" si="55"/>
        <v>00</v>
      </c>
    </row>
    <row r="367" spans="1:18" x14ac:dyDescent="0.4">
      <c r="A367" s="1" t="str">
        <f t="shared" si="58"/>
        <v>0B6</v>
      </c>
      <c r="B367">
        <f t="shared" si="59"/>
        <v>1</v>
      </c>
      <c r="C367">
        <f>VALUE(MID(Hex!$C$2,1+2*HEX2DEC(A367)+B367,1))</f>
        <v>2</v>
      </c>
      <c r="D367" s="1" t="str">
        <f t="shared" si="56"/>
        <v>16D</v>
      </c>
      <c r="E367">
        <f>HEX2DEC(MID(Hex!$C$8,1+HEX2DEC(Edit!D367)*2,2))</f>
        <v>0</v>
      </c>
      <c r="F367">
        <f t="shared" si="57"/>
        <v>365</v>
      </c>
      <c r="G367" t="str">
        <f>_xlfn.LET(_xlpm.custom,_xlfn.XLOOKUP(F367,Data!A:A,Data!C:C),IF(_xlpm.custom="",_xlfn.XLOOKUP(F367,Data!A:A,Data!B:B),_xlpm.custom))</f>
        <v>TM038</v>
      </c>
      <c r="H367" t="str">
        <f>_xlfn.XLOOKUP(C367,Data!A:A,Data!E:E)</f>
        <v>TM/HM</v>
      </c>
      <c r="J367">
        <f>IF(I367="",C367,_xlfn.XLOOKUP(I367,Data!E:E,Data!A:A,""))</f>
        <v>2</v>
      </c>
      <c r="L367">
        <f t="shared" si="51"/>
        <v>0</v>
      </c>
      <c r="M367">
        <f t="shared" si="52"/>
        <v>0</v>
      </c>
      <c r="N367">
        <f t="shared" si="60"/>
        <v>0</v>
      </c>
      <c r="O367">
        <f t="shared" si="53"/>
        <v>0</v>
      </c>
      <c r="P367">
        <f t="shared" si="54"/>
        <v>0</v>
      </c>
      <c r="R367" t="str">
        <f t="shared" si="55"/>
        <v>00</v>
      </c>
    </row>
    <row r="368" spans="1:18" x14ac:dyDescent="0.4">
      <c r="A368" s="1" t="str">
        <f t="shared" si="58"/>
        <v>0B7</v>
      </c>
      <c r="B368">
        <f t="shared" si="59"/>
        <v>0</v>
      </c>
      <c r="C368">
        <f>VALUE(MID(Hex!$C$2,1+2*HEX2DEC(A368)+B368,1))</f>
        <v>2</v>
      </c>
      <c r="D368" s="1" t="str">
        <f t="shared" si="56"/>
        <v>16E</v>
      </c>
      <c r="E368">
        <f>HEX2DEC(MID(Hex!$C$8,1+HEX2DEC(Edit!D368)*2,2))</f>
        <v>0</v>
      </c>
      <c r="F368">
        <f t="shared" si="57"/>
        <v>366</v>
      </c>
      <c r="G368" t="str">
        <f>_xlfn.LET(_xlpm.custom,_xlfn.XLOOKUP(F368,Data!A:A,Data!C:C),IF(_xlpm.custom="",_xlfn.XLOOKUP(F368,Data!A:A,Data!B:B),_xlpm.custom))</f>
        <v>TM039</v>
      </c>
      <c r="H368" t="str">
        <f>_xlfn.XLOOKUP(C368,Data!A:A,Data!E:E)</f>
        <v>TM/HM</v>
      </c>
      <c r="J368">
        <f>IF(I368="",C368,_xlfn.XLOOKUP(I368,Data!E:E,Data!A:A,""))</f>
        <v>2</v>
      </c>
      <c r="L368">
        <f t="shared" si="51"/>
        <v>0</v>
      </c>
      <c r="M368">
        <f t="shared" si="52"/>
        <v>0</v>
      </c>
      <c r="N368">
        <f t="shared" si="60"/>
        <v>0</v>
      </c>
      <c r="O368">
        <f t="shared" si="53"/>
        <v>0</v>
      </c>
      <c r="P368">
        <f t="shared" si="54"/>
        <v>0</v>
      </c>
      <c r="R368" t="str">
        <f t="shared" si="55"/>
        <v>00</v>
      </c>
    </row>
    <row r="369" spans="1:18" x14ac:dyDescent="0.4">
      <c r="A369" s="1" t="str">
        <f t="shared" si="58"/>
        <v>0B7</v>
      </c>
      <c r="B369">
        <f t="shared" si="59"/>
        <v>1</v>
      </c>
      <c r="C369">
        <f>VALUE(MID(Hex!$C$2,1+2*HEX2DEC(A369)+B369,1))</f>
        <v>2</v>
      </c>
      <c r="D369" s="1" t="str">
        <f t="shared" si="56"/>
        <v>16F</v>
      </c>
      <c r="E369">
        <f>HEX2DEC(MID(Hex!$C$8,1+HEX2DEC(Edit!D369)*2,2))</f>
        <v>0</v>
      </c>
      <c r="F369">
        <f t="shared" si="57"/>
        <v>367</v>
      </c>
      <c r="G369" t="str">
        <f>_xlfn.LET(_xlpm.custom,_xlfn.XLOOKUP(F369,Data!A:A,Data!C:C),IF(_xlpm.custom="",_xlfn.XLOOKUP(F369,Data!A:A,Data!B:B),_xlpm.custom))</f>
        <v>TM040</v>
      </c>
      <c r="H369" t="str">
        <f>_xlfn.XLOOKUP(C369,Data!A:A,Data!E:E)</f>
        <v>TM/HM</v>
      </c>
      <c r="J369">
        <f>IF(I369="",C369,_xlfn.XLOOKUP(I369,Data!E:E,Data!A:A,""))</f>
        <v>2</v>
      </c>
      <c r="L369">
        <f t="shared" si="51"/>
        <v>0</v>
      </c>
      <c r="M369">
        <f t="shared" si="52"/>
        <v>0</v>
      </c>
      <c r="N369">
        <f t="shared" si="60"/>
        <v>0</v>
      </c>
      <c r="O369">
        <f t="shared" si="53"/>
        <v>0</v>
      </c>
      <c r="P369">
        <f t="shared" si="54"/>
        <v>0</v>
      </c>
      <c r="R369" t="str">
        <f t="shared" si="55"/>
        <v>00</v>
      </c>
    </row>
    <row r="370" spans="1:18" x14ac:dyDescent="0.4">
      <c r="A370" s="1" t="str">
        <f t="shared" si="58"/>
        <v>0B8</v>
      </c>
      <c r="B370">
        <f t="shared" si="59"/>
        <v>0</v>
      </c>
      <c r="C370">
        <f>VALUE(MID(Hex!$C$2,1+2*HEX2DEC(A370)+B370,1))</f>
        <v>2</v>
      </c>
      <c r="D370" s="1" t="str">
        <f t="shared" si="56"/>
        <v>170</v>
      </c>
      <c r="E370">
        <f>HEX2DEC(MID(Hex!$C$8,1+HEX2DEC(Edit!D370)*2,2))</f>
        <v>0</v>
      </c>
      <c r="F370">
        <f t="shared" si="57"/>
        <v>368</v>
      </c>
      <c r="G370" t="str">
        <f>_xlfn.LET(_xlpm.custom,_xlfn.XLOOKUP(F370,Data!A:A,Data!C:C),IF(_xlpm.custom="",_xlfn.XLOOKUP(F370,Data!A:A,Data!B:B),_xlpm.custom))</f>
        <v>TM041</v>
      </c>
      <c r="H370" t="str">
        <f>_xlfn.XLOOKUP(C370,Data!A:A,Data!E:E)</f>
        <v>TM/HM</v>
      </c>
      <c r="J370">
        <f>IF(I370="",C370,_xlfn.XLOOKUP(I370,Data!E:E,Data!A:A,""))</f>
        <v>2</v>
      </c>
      <c r="L370">
        <f t="shared" si="51"/>
        <v>0</v>
      </c>
      <c r="M370">
        <f t="shared" si="52"/>
        <v>0</v>
      </c>
      <c r="N370">
        <f t="shared" si="60"/>
        <v>0</v>
      </c>
      <c r="O370">
        <f t="shared" si="53"/>
        <v>0</v>
      </c>
      <c r="P370">
        <f t="shared" si="54"/>
        <v>0</v>
      </c>
      <c r="R370" t="str">
        <f t="shared" si="55"/>
        <v>00</v>
      </c>
    </row>
    <row r="371" spans="1:18" x14ac:dyDescent="0.4">
      <c r="A371" s="1" t="str">
        <f t="shared" si="58"/>
        <v>0B8</v>
      </c>
      <c r="B371">
        <f t="shared" si="59"/>
        <v>1</v>
      </c>
      <c r="C371">
        <f>VALUE(MID(Hex!$C$2,1+2*HEX2DEC(A371)+B371,1))</f>
        <v>2</v>
      </c>
      <c r="D371" s="1" t="str">
        <f t="shared" si="56"/>
        <v>171</v>
      </c>
      <c r="E371">
        <f>HEX2DEC(MID(Hex!$C$8,1+HEX2DEC(Edit!D371)*2,2))</f>
        <v>0</v>
      </c>
      <c r="F371">
        <f t="shared" si="57"/>
        <v>369</v>
      </c>
      <c r="G371" t="str">
        <f>_xlfn.LET(_xlpm.custom,_xlfn.XLOOKUP(F371,Data!A:A,Data!C:C),IF(_xlpm.custom="",_xlfn.XLOOKUP(F371,Data!A:A,Data!B:B),_xlpm.custom))</f>
        <v>TM042</v>
      </c>
      <c r="H371" t="str">
        <f>_xlfn.XLOOKUP(C371,Data!A:A,Data!E:E)</f>
        <v>TM/HM</v>
      </c>
      <c r="J371">
        <f>IF(I371="",C371,_xlfn.XLOOKUP(I371,Data!E:E,Data!A:A,""))</f>
        <v>2</v>
      </c>
      <c r="L371">
        <f t="shared" si="51"/>
        <v>0</v>
      </c>
      <c r="M371">
        <f t="shared" si="52"/>
        <v>0</v>
      </c>
      <c r="N371">
        <f t="shared" si="60"/>
        <v>0</v>
      </c>
      <c r="O371">
        <f t="shared" si="53"/>
        <v>0</v>
      </c>
      <c r="P371">
        <f t="shared" si="54"/>
        <v>0</v>
      </c>
      <c r="R371" t="str">
        <f t="shared" si="55"/>
        <v>00</v>
      </c>
    </row>
    <row r="372" spans="1:18" x14ac:dyDescent="0.4">
      <c r="A372" s="1" t="str">
        <f t="shared" si="58"/>
        <v>0B9</v>
      </c>
      <c r="B372">
        <f t="shared" si="59"/>
        <v>0</v>
      </c>
      <c r="C372">
        <f>VALUE(MID(Hex!$C$2,1+2*HEX2DEC(A372)+B372,1))</f>
        <v>2</v>
      </c>
      <c r="D372" s="1" t="str">
        <f t="shared" si="56"/>
        <v>172</v>
      </c>
      <c r="E372">
        <f>HEX2DEC(MID(Hex!$C$8,1+HEX2DEC(Edit!D372)*2,2))</f>
        <v>0</v>
      </c>
      <c r="F372">
        <f t="shared" si="57"/>
        <v>370</v>
      </c>
      <c r="G372" t="str">
        <f>_xlfn.LET(_xlpm.custom,_xlfn.XLOOKUP(F372,Data!A:A,Data!C:C),IF(_xlpm.custom="",_xlfn.XLOOKUP(F372,Data!A:A,Data!B:B),_xlpm.custom))</f>
        <v>TM043</v>
      </c>
      <c r="H372" t="str">
        <f>_xlfn.XLOOKUP(C372,Data!A:A,Data!E:E)</f>
        <v>TM/HM</v>
      </c>
      <c r="J372">
        <f>IF(I372="",C372,_xlfn.XLOOKUP(I372,Data!E:E,Data!A:A,""))</f>
        <v>2</v>
      </c>
      <c r="L372">
        <f t="shared" si="51"/>
        <v>0</v>
      </c>
      <c r="M372">
        <f t="shared" si="52"/>
        <v>0</v>
      </c>
      <c r="N372">
        <f t="shared" si="60"/>
        <v>0</v>
      </c>
      <c r="O372">
        <f t="shared" si="53"/>
        <v>0</v>
      </c>
      <c r="P372">
        <f t="shared" si="54"/>
        <v>0</v>
      </c>
      <c r="R372" t="str">
        <f t="shared" si="55"/>
        <v>00</v>
      </c>
    </row>
    <row r="373" spans="1:18" x14ac:dyDescent="0.4">
      <c r="A373" s="1" t="str">
        <f t="shared" si="58"/>
        <v>0B9</v>
      </c>
      <c r="B373">
        <f t="shared" si="59"/>
        <v>1</v>
      </c>
      <c r="C373">
        <f>VALUE(MID(Hex!$C$2,1+2*HEX2DEC(A373)+B373,1))</f>
        <v>2</v>
      </c>
      <c r="D373" s="1" t="str">
        <f t="shared" si="56"/>
        <v>173</v>
      </c>
      <c r="E373">
        <f>HEX2DEC(MID(Hex!$C$8,1+HEX2DEC(Edit!D373)*2,2))</f>
        <v>0</v>
      </c>
      <c r="F373">
        <f t="shared" si="57"/>
        <v>371</v>
      </c>
      <c r="G373" t="str">
        <f>_xlfn.LET(_xlpm.custom,_xlfn.XLOOKUP(F373,Data!A:A,Data!C:C),IF(_xlpm.custom="",_xlfn.XLOOKUP(F373,Data!A:A,Data!B:B),_xlpm.custom))</f>
        <v>TM044</v>
      </c>
      <c r="H373" t="str">
        <f>_xlfn.XLOOKUP(C373,Data!A:A,Data!E:E)</f>
        <v>TM/HM</v>
      </c>
      <c r="J373">
        <f>IF(I373="",C373,_xlfn.XLOOKUP(I373,Data!E:E,Data!A:A,""))</f>
        <v>2</v>
      </c>
      <c r="L373">
        <f t="shared" si="51"/>
        <v>0</v>
      </c>
      <c r="M373">
        <f t="shared" si="52"/>
        <v>0</v>
      </c>
      <c r="N373">
        <f t="shared" si="60"/>
        <v>0</v>
      </c>
      <c r="O373">
        <f t="shared" si="53"/>
        <v>0</v>
      </c>
      <c r="P373">
        <f t="shared" si="54"/>
        <v>0</v>
      </c>
      <c r="R373" t="str">
        <f t="shared" si="55"/>
        <v>00</v>
      </c>
    </row>
    <row r="374" spans="1:18" x14ac:dyDescent="0.4">
      <c r="A374" s="1" t="str">
        <f t="shared" si="58"/>
        <v>0BA</v>
      </c>
      <c r="B374">
        <f t="shared" si="59"/>
        <v>0</v>
      </c>
      <c r="C374">
        <f>VALUE(MID(Hex!$C$2,1+2*HEX2DEC(A374)+B374,1))</f>
        <v>2</v>
      </c>
      <c r="D374" s="1" t="str">
        <f t="shared" si="56"/>
        <v>174</v>
      </c>
      <c r="E374">
        <f>HEX2DEC(MID(Hex!$C$8,1+HEX2DEC(Edit!D374)*2,2))</f>
        <v>0</v>
      </c>
      <c r="F374">
        <f t="shared" si="57"/>
        <v>372</v>
      </c>
      <c r="G374" t="str">
        <f>_xlfn.LET(_xlpm.custom,_xlfn.XLOOKUP(F374,Data!A:A,Data!C:C),IF(_xlpm.custom="",_xlfn.XLOOKUP(F374,Data!A:A,Data!B:B),_xlpm.custom))</f>
        <v>TM045</v>
      </c>
      <c r="H374" t="str">
        <f>_xlfn.XLOOKUP(C374,Data!A:A,Data!E:E)</f>
        <v>TM/HM</v>
      </c>
      <c r="J374">
        <f>IF(I374="",C374,_xlfn.XLOOKUP(I374,Data!E:E,Data!A:A,""))</f>
        <v>2</v>
      </c>
      <c r="L374">
        <f t="shared" si="51"/>
        <v>0</v>
      </c>
      <c r="M374">
        <f t="shared" si="52"/>
        <v>0</v>
      </c>
      <c r="N374">
        <f t="shared" si="60"/>
        <v>0</v>
      </c>
      <c r="O374">
        <f t="shared" si="53"/>
        <v>0</v>
      </c>
      <c r="P374">
        <f t="shared" si="54"/>
        <v>0</v>
      </c>
      <c r="R374" t="str">
        <f t="shared" si="55"/>
        <v>00</v>
      </c>
    </row>
    <row r="375" spans="1:18" x14ac:dyDescent="0.4">
      <c r="A375" s="1" t="str">
        <f t="shared" si="58"/>
        <v>0BA</v>
      </c>
      <c r="B375">
        <f t="shared" si="59"/>
        <v>1</v>
      </c>
      <c r="C375">
        <f>VALUE(MID(Hex!$C$2,1+2*HEX2DEC(A375)+B375,1))</f>
        <v>2</v>
      </c>
      <c r="D375" s="1" t="str">
        <f t="shared" si="56"/>
        <v>175</v>
      </c>
      <c r="E375">
        <f>HEX2DEC(MID(Hex!$C$8,1+HEX2DEC(Edit!D375)*2,2))</f>
        <v>0</v>
      </c>
      <c r="F375">
        <f t="shared" si="57"/>
        <v>373</v>
      </c>
      <c r="G375" t="str">
        <f>_xlfn.LET(_xlpm.custom,_xlfn.XLOOKUP(F375,Data!A:A,Data!C:C),IF(_xlpm.custom="",_xlfn.XLOOKUP(F375,Data!A:A,Data!B:B),_xlpm.custom))</f>
        <v>TM046</v>
      </c>
      <c r="H375" t="str">
        <f>_xlfn.XLOOKUP(C375,Data!A:A,Data!E:E)</f>
        <v>TM/HM</v>
      </c>
      <c r="J375">
        <f>IF(I375="",C375,_xlfn.XLOOKUP(I375,Data!E:E,Data!A:A,""))</f>
        <v>2</v>
      </c>
      <c r="L375">
        <f t="shared" si="51"/>
        <v>0</v>
      </c>
      <c r="M375">
        <f t="shared" si="52"/>
        <v>0</v>
      </c>
      <c r="N375">
        <f t="shared" si="60"/>
        <v>0</v>
      </c>
      <c r="O375">
        <f t="shared" si="53"/>
        <v>0</v>
      </c>
      <c r="P375">
        <f t="shared" si="54"/>
        <v>0</v>
      </c>
      <c r="R375" t="str">
        <f t="shared" si="55"/>
        <v>00</v>
      </c>
    </row>
    <row r="376" spans="1:18" x14ac:dyDescent="0.4">
      <c r="A376" s="1" t="str">
        <f t="shared" si="58"/>
        <v>0BB</v>
      </c>
      <c r="B376">
        <f t="shared" si="59"/>
        <v>0</v>
      </c>
      <c r="C376">
        <f>VALUE(MID(Hex!$C$2,1+2*HEX2DEC(A376)+B376,1))</f>
        <v>2</v>
      </c>
      <c r="D376" s="1" t="str">
        <f t="shared" si="56"/>
        <v>176</v>
      </c>
      <c r="E376">
        <f>HEX2DEC(MID(Hex!$C$8,1+HEX2DEC(Edit!D376)*2,2))</f>
        <v>0</v>
      </c>
      <c r="F376">
        <f t="shared" si="57"/>
        <v>374</v>
      </c>
      <c r="G376" t="str">
        <f>_xlfn.LET(_xlpm.custom,_xlfn.XLOOKUP(F376,Data!A:A,Data!C:C),IF(_xlpm.custom="",_xlfn.XLOOKUP(F376,Data!A:A,Data!B:B),_xlpm.custom))</f>
        <v>TM047</v>
      </c>
      <c r="H376" t="str">
        <f>_xlfn.XLOOKUP(C376,Data!A:A,Data!E:E)</f>
        <v>TM/HM</v>
      </c>
      <c r="J376">
        <f>IF(I376="",C376,_xlfn.XLOOKUP(I376,Data!E:E,Data!A:A,""))</f>
        <v>2</v>
      </c>
      <c r="L376">
        <f t="shared" si="51"/>
        <v>0</v>
      </c>
      <c r="M376">
        <f t="shared" si="52"/>
        <v>0</v>
      </c>
      <c r="N376">
        <f t="shared" si="60"/>
        <v>0</v>
      </c>
      <c r="O376">
        <f t="shared" si="53"/>
        <v>0</v>
      </c>
      <c r="P376">
        <f t="shared" si="54"/>
        <v>0</v>
      </c>
      <c r="R376" t="str">
        <f t="shared" si="55"/>
        <v>00</v>
      </c>
    </row>
    <row r="377" spans="1:18" x14ac:dyDescent="0.4">
      <c r="A377" s="1" t="str">
        <f t="shared" si="58"/>
        <v>0BB</v>
      </c>
      <c r="B377">
        <f t="shared" si="59"/>
        <v>1</v>
      </c>
      <c r="C377">
        <f>VALUE(MID(Hex!$C$2,1+2*HEX2DEC(A377)+B377,1))</f>
        <v>2</v>
      </c>
      <c r="D377" s="1" t="str">
        <f t="shared" si="56"/>
        <v>177</v>
      </c>
      <c r="E377">
        <f>HEX2DEC(MID(Hex!$C$8,1+HEX2DEC(Edit!D377)*2,2))</f>
        <v>0</v>
      </c>
      <c r="F377">
        <f t="shared" si="57"/>
        <v>375</v>
      </c>
      <c r="G377" t="str">
        <f>_xlfn.LET(_xlpm.custom,_xlfn.XLOOKUP(F377,Data!A:A,Data!C:C),IF(_xlpm.custom="",_xlfn.XLOOKUP(F377,Data!A:A,Data!B:B),_xlpm.custom))</f>
        <v>TM048</v>
      </c>
      <c r="H377" t="str">
        <f>_xlfn.XLOOKUP(C377,Data!A:A,Data!E:E)</f>
        <v>TM/HM</v>
      </c>
      <c r="J377">
        <f>IF(I377="",C377,_xlfn.XLOOKUP(I377,Data!E:E,Data!A:A,""))</f>
        <v>2</v>
      </c>
      <c r="L377">
        <f t="shared" si="51"/>
        <v>0</v>
      </c>
      <c r="M377">
        <f t="shared" si="52"/>
        <v>0</v>
      </c>
      <c r="N377">
        <f t="shared" si="60"/>
        <v>0</v>
      </c>
      <c r="O377">
        <f t="shared" si="53"/>
        <v>0</v>
      </c>
      <c r="P377">
        <f t="shared" si="54"/>
        <v>0</v>
      </c>
      <c r="R377" t="str">
        <f t="shared" si="55"/>
        <v>00</v>
      </c>
    </row>
    <row r="378" spans="1:18" x14ac:dyDescent="0.4">
      <c r="A378" s="1" t="str">
        <f t="shared" si="58"/>
        <v>0BC</v>
      </c>
      <c r="B378">
        <f t="shared" si="59"/>
        <v>0</v>
      </c>
      <c r="C378">
        <f>VALUE(MID(Hex!$C$2,1+2*HEX2DEC(A378)+B378,1))</f>
        <v>2</v>
      </c>
      <c r="D378" s="1" t="str">
        <f t="shared" si="56"/>
        <v>178</v>
      </c>
      <c r="E378">
        <f>HEX2DEC(MID(Hex!$C$8,1+HEX2DEC(Edit!D378)*2,2))</f>
        <v>0</v>
      </c>
      <c r="F378">
        <f t="shared" si="57"/>
        <v>376</v>
      </c>
      <c r="G378" t="str">
        <f>_xlfn.LET(_xlpm.custom,_xlfn.XLOOKUP(F378,Data!A:A,Data!C:C),IF(_xlpm.custom="",_xlfn.XLOOKUP(F378,Data!A:A,Data!B:B),_xlpm.custom))</f>
        <v>TM049</v>
      </c>
      <c r="H378" t="str">
        <f>_xlfn.XLOOKUP(C378,Data!A:A,Data!E:E)</f>
        <v>TM/HM</v>
      </c>
      <c r="J378">
        <f>IF(I378="",C378,_xlfn.XLOOKUP(I378,Data!E:E,Data!A:A,""))</f>
        <v>2</v>
      </c>
      <c r="L378">
        <f t="shared" si="51"/>
        <v>0</v>
      </c>
      <c r="M378">
        <f t="shared" si="52"/>
        <v>0</v>
      </c>
      <c r="N378">
        <f t="shared" si="60"/>
        <v>0</v>
      </c>
      <c r="O378">
        <f t="shared" si="53"/>
        <v>0</v>
      </c>
      <c r="P378">
        <f t="shared" si="54"/>
        <v>0</v>
      </c>
      <c r="R378" t="str">
        <f t="shared" si="55"/>
        <v>00</v>
      </c>
    </row>
    <row r="379" spans="1:18" x14ac:dyDescent="0.4">
      <c r="A379" s="1" t="str">
        <f t="shared" si="58"/>
        <v>0BC</v>
      </c>
      <c r="B379">
        <f t="shared" si="59"/>
        <v>1</v>
      </c>
      <c r="C379">
        <f>VALUE(MID(Hex!$C$2,1+2*HEX2DEC(A379)+B379,1))</f>
        <v>2</v>
      </c>
      <c r="D379" s="1" t="str">
        <f t="shared" si="56"/>
        <v>179</v>
      </c>
      <c r="E379">
        <f>HEX2DEC(MID(Hex!$C$8,1+HEX2DEC(Edit!D379)*2,2))</f>
        <v>0</v>
      </c>
      <c r="F379">
        <f t="shared" si="57"/>
        <v>377</v>
      </c>
      <c r="G379" t="str">
        <f>_xlfn.LET(_xlpm.custom,_xlfn.XLOOKUP(F379,Data!A:A,Data!C:C),IF(_xlpm.custom="",_xlfn.XLOOKUP(F379,Data!A:A,Data!B:B),_xlpm.custom))</f>
        <v>TM050</v>
      </c>
      <c r="H379" t="str">
        <f>_xlfn.XLOOKUP(C379,Data!A:A,Data!E:E)</f>
        <v>TM/HM</v>
      </c>
      <c r="J379">
        <f>IF(I379="",C379,_xlfn.XLOOKUP(I379,Data!E:E,Data!A:A,""))</f>
        <v>2</v>
      </c>
      <c r="L379">
        <f t="shared" si="51"/>
        <v>0</v>
      </c>
      <c r="M379">
        <f t="shared" si="52"/>
        <v>0</v>
      </c>
      <c r="N379">
        <f t="shared" si="60"/>
        <v>0</v>
      </c>
      <c r="O379">
        <f t="shared" si="53"/>
        <v>0</v>
      </c>
      <c r="P379">
        <f t="shared" si="54"/>
        <v>0</v>
      </c>
      <c r="R379" t="str">
        <f t="shared" si="55"/>
        <v>00</v>
      </c>
    </row>
    <row r="380" spans="1:18" x14ac:dyDescent="0.4">
      <c r="A380" s="1" t="str">
        <f t="shared" si="58"/>
        <v>0BD</v>
      </c>
      <c r="B380">
        <f t="shared" si="59"/>
        <v>0</v>
      </c>
      <c r="C380">
        <f>VALUE(MID(Hex!$C$2,1+2*HEX2DEC(A380)+B380,1))</f>
        <v>2</v>
      </c>
      <c r="D380" s="1" t="str">
        <f t="shared" si="56"/>
        <v>17A</v>
      </c>
      <c r="E380">
        <f>HEX2DEC(MID(Hex!$C$8,1+HEX2DEC(Edit!D380)*2,2))</f>
        <v>0</v>
      </c>
      <c r="F380">
        <f t="shared" si="57"/>
        <v>378</v>
      </c>
      <c r="G380" t="str">
        <f>_xlfn.LET(_xlpm.custom,_xlfn.XLOOKUP(F380,Data!A:A,Data!C:C),IF(_xlpm.custom="",_xlfn.XLOOKUP(F380,Data!A:A,Data!B:B),_xlpm.custom))</f>
        <v>TM051</v>
      </c>
      <c r="H380" t="str">
        <f>_xlfn.XLOOKUP(C380,Data!A:A,Data!E:E)</f>
        <v>TM/HM</v>
      </c>
      <c r="J380">
        <f>IF(I380="",C380,_xlfn.XLOOKUP(I380,Data!E:E,Data!A:A,""))</f>
        <v>2</v>
      </c>
      <c r="L380">
        <f t="shared" si="51"/>
        <v>0</v>
      </c>
      <c r="M380">
        <f t="shared" si="52"/>
        <v>0</v>
      </c>
      <c r="N380">
        <f t="shared" si="60"/>
        <v>0</v>
      </c>
      <c r="O380">
        <f t="shared" si="53"/>
        <v>0</v>
      </c>
      <c r="P380">
        <f t="shared" si="54"/>
        <v>0</v>
      </c>
      <c r="R380" t="str">
        <f t="shared" si="55"/>
        <v>00</v>
      </c>
    </row>
    <row r="381" spans="1:18" x14ac:dyDescent="0.4">
      <c r="A381" s="1" t="str">
        <f t="shared" si="58"/>
        <v>0BD</v>
      </c>
      <c r="B381">
        <f t="shared" si="59"/>
        <v>1</v>
      </c>
      <c r="C381">
        <f>VALUE(MID(Hex!$C$2,1+2*HEX2DEC(A381)+B381,1))</f>
        <v>2</v>
      </c>
      <c r="D381" s="1" t="str">
        <f t="shared" si="56"/>
        <v>17B</v>
      </c>
      <c r="E381">
        <f>HEX2DEC(MID(Hex!$C$8,1+HEX2DEC(Edit!D381)*2,2))</f>
        <v>0</v>
      </c>
      <c r="F381">
        <f t="shared" si="57"/>
        <v>379</v>
      </c>
      <c r="G381" t="str">
        <f>_xlfn.LET(_xlpm.custom,_xlfn.XLOOKUP(F381,Data!A:A,Data!C:C),IF(_xlpm.custom="",_xlfn.XLOOKUP(F381,Data!A:A,Data!B:B),_xlpm.custom))</f>
        <v>TM052</v>
      </c>
      <c r="H381" t="str">
        <f>_xlfn.XLOOKUP(C381,Data!A:A,Data!E:E)</f>
        <v>TM/HM</v>
      </c>
      <c r="J381">
        <f>IF(I381="",C381,_xlfn.XLOOKUP(I381,Data!E:E,Data!A:A,""))</f>
        <v>2</v>
      </c>
      <c r="L381">
        <f t="shared" si="51"/>
        <v>0</v>
      </c>
      <c r="M381">
        <f t="shared" si="52"/>
        <v>0</v>
      </c>
      <c r="N381">
        <f t="shared" si="60"/>
        <v>0</v>
      </c>
      <c r="O381">
        <f t="shared" si="53"/>
        <v>0</v>
      </c>
      <c r="P381">
        <f t="shared" si="54"/>
        <v>0</v>
      </c>
      <c r="R381" t="str">
        <f t="shared" si="55"/>
        <v>00</v>
      </c>
    </row>
    <row r="382" spans="1:18" x14ac:dyDescent="0.4">
      <c r="A382" s="1" t="str">
        <f t="shared" si="58"/>
        <v>0BE</v>
      </c>
      <c r="B382">
        <f t="shared" si="59"/>
        <v>0</v>
      </c>
      <c r="C382">
        <f>VALUE(MID(Hex!$C$2,1+2*HEX2DEC(A382)+B382,1))</f>
        <v>2</v>
      </c>
      <c r="D382" s="1" t="str">
        <f t="shared" si="56"/>
        <v>17C</v>
      </c>
      <c r="E382">
        <f>HEX2DEC(MID(Hex!$C$8,1+HEX2DEC(Edit!D382)*2,2))</f>
        <v>0</v>
      </c>
      <c r="F382">
        <f t="shared" si="57"/>
        <v>380</v>
      </c>
      <c r="G382" t="str">
        <f>_xlfn.LET(_xlpm.custom,_xlfn.XLOOKUP(F382,Data!A:A,Data!C:C),IF(_xlpm.custom="",_xlfn.XLOOKUP(F382,Data!A:A,Data!B:B),_xlpm.custom))</f>
        <v>TM053</v>
      </c>
      <c r="H382" t="str">
        <f>_xlfn.XLOOKUP(C382,Data!A:A,Data!E:E)</f>
        <v>TM/HM</v>
      </c>
      <c r="J382">
        <f>IF(I382="",C382,_xlfn.XLOOKUP(I382,Data!E:E,Data!A:A,""))</f>
        <v>2</v>
      </c>
      <c r="L382">
        <f t="shared" si="51"/>
        <v>0</v>
      </c>
      <c r="M382">
        <f t="shared" si="52"/>
        <v>0</v>
      </c>
      <c r="N382">
        <f t="shared" si="60"/>
        <v>0</v>
      </c>
      <c r="O382">
        <f t="shared" si="53"/>
        <v>0</v>
      </c>
      <c r="P382">
        <f t="shared" si="54"/>
        <v>0</v>
      </c>
      <c r="R382" t="str">
        <f t="shared" si="55"/>
        <v>00</v>
      </c>
    </row>
    <row r="383" spans="1:18" x14ac:dyDescent="0.4">
      <c r="A383" s="1" t="str">
        <f t="shared" si="58"/>
        <v>0BE</v>
      </c>
      <c r="B383">
        <f t="shared" si="59"/>
        <v>1</v>
      </c>
      <c r="C383">
        <f>VALUE(MID(Hex!$C$2,1+2*HEX2DEC(A383)+B383,1))</f>
        <v>2</v>
      </c>
      <c r="D383" s="1" t="str">
        <f t="shared" si="56"/>
        <v>17D</v>
      </c>
      <c r="E383">
        <f>HEX2DEC(MID(Hex!$C$8,1+HEX2DEC(Edit!D383)*2,2))</f>
        <v>0</v>
      </c>
      <c r="F383">
        <f t="shared" si="57"/>
        <v>381</v>
      </c>
      <c r="G383" t="str">
        <f>_xlfn.LET(_xlpm.custom,_xlfn.XLOOKUP(F383,Data!A:A,Data!C:C),IF(_xlpm.custom="",_xlfn.XLOOKUP(F383,Data!A:A,Data!B:B),_xlpm.custom))</f>
        <v>TM054</v>
      </c>
      <c r="H383" t="str">
        <f>_xlfn.XLOOKUP(C383,Data!A:A,Data!E:E)</f>
        <v>TM/HM</v>
      </c>
      <c r="J383">
        <f>IF(I383="",C383,_xlfn.XLOOKUP(I383,Data!E:E,Data!A:A,""))</f>
        <v>2</v>
      </c>
      <c r="L383">
        <f t="shared" si="51"/>
        <v>0</v>
      </c>
      <c r="M383">
        <f t="shared" si="52"/>
        <v>0</v>
      </c>
      <c r="N383">
        <f t="shared" si="60"/>
        <v>0</v>
      </c>
      <c r="O383">
        <f t="shared" si="53"/>
        <v>0</v>
      </c>
      <c r="P383">
        <f t="shared" si="54"/>
        <v>0</v>
      </c>
      <c r="R383" t="str">
        <f t="shared" si="55"/>
        <v>00</v>
      </c>
    </row>
    <row r="384" spans="1:18" x14ac:dyDescent="0.4">
      <c r="A384" s="1" t="str">
        <f t="shared" si="58"/>
        <v>0BF</v>
      </c>
      <c r="B384">
        <f t="shared" si="59"/>
        <v>0</v>
      </c>
      <c r="C384">
        <f>VALUE(MID(Hex!$C$2,1+2*HEX2DEC(A384)+B384,1))</f>
        <v>2</v>
      </c>
      <c r="D384" s="1" t="str">
        <f t="shared" si="56"/>
        <v>17E</v>
      </c>
      <c r="E384">
        <f>HEX2DEC(MID(Hex!$C$8,1+HEX2DEC(Edit!D384)*2,2))</f>
        <v>0</v>
      </c>
      <c r="F384">
        <f t="shared" si="57"/>
        <v>382</v>
      </c>
      <c r="G384" t="str">
        <f>_xlfn.LET(_xlpm.custom,_xlfn.XLOOKUP(F384,Data!A:A,Data!C:C),IF(_xlpm.custom="",_xlfn.XLOOKUP(F384,Data!A:A,Data!B:B),_xlpm.custom))</f>
        <v>TM055</v>
      </c>
      <c r="H384" t="str">
        <f>_xlfn.XLOOKUP(C384,Data!A:A,Data!E:E)</f>
        <v>TM/HM</v>
      </c>
      <c r="J384">
        <f>IF(I384="",C384,_xlfn.XLOOKUP(I384,Data!E:E,Data!A:A,""))</f>
        <v>2</v>
      </c>
      <c r="L384">
        <f t="shared" si="51"/>
        <v>0</v>
      </c>
      <c r="M384">
        <f t="shared" si="52"/>
        <v>0</v>
      </c>
      <c r="N384">
        <f t="shared" si="60"/>
        <v>0</v>
      </c>
      <c r="O384">
        <f t="shared" si="53"/>
        <v>0</v>
      </c>
      <c r="P384">
        <f t="shared" si="54"/>
        <v>0</v>
      </c>
      <c r="R384" t="str">
        <f t="shared" si="55"/>
        <v>00</v>
      </c>
    </row>
    <row r="385" spans="1:18" x14ac:dyDescent="0.4">
      <c r="A385" s="1" t="str">
        <f t="shared" si="58"/>
        <v>0BF</v>
      </c>
      <c r="B385">
        <f t="shared" si="59"/>
        <v>1</v>
      </c>
      <c r="C385">
        <f>VALUE(MID(Hex!$C$2,1+2*HEX2DEC(A385)+B385,1))</f>
        <v>2</v>
      </c>
      <c r="D385" s="1" t="str">
        <f t="shared" si="56"/>
        <v>17F</v>
      </c>
      <c r="E385">
        <f>HEX2DEC(MID(Hex!$C$8,1+HEX2DEC(Edit!D385)*2,2))</f>
        <v>0</v>
      </c>
      <c r="F385">
        <f t="shared" si="57"/>
        <v>383</v>
      </c>
      <c r="G385" t="str">
        <f>_xlfn.LET(_xlpm.custom,_xlfn.XLOOKUP(F385,Data!A:A,Data!C:C),IF(_xlpm.custom="",_xlfn.XLOOKUP(F385,Data!A:A,Data!B:B),_xlpm.custom))</f>
        <v>TM056</v>
      </c>
      <c r="H385" t="str">
        <f>_xlfn.XLOOKUP(C385,Data!A:A,Data!E:E)</f>
        <v>TM/HM</v>
      </c>
      <c r="J385">
        <f>IF(I385="",C385,_xlfn.XLOOKUP(I385,Data!E:E,Data!A:A,""))</f>
        <v>2</v>
      </c>
      <c r="L385">
        <f t="shared" si="51"/>
        <v>0</v>
      </c>
      <c r="M385">
        <f t="shared" si="52"/>
        <v>0</v>
      </c>
      <c r="N385">
        <f t="shared" si="60"/>
        <v>0</v>
      </c>
      <c r="O385">
        <f t="shared" si="53"/>
        <v>0</v>
      </c>
      <c r="P385">
        <f t="shared" si="54"/>
        <v>0</v>
      </c>
      <c r="R385" t="str">
        <f t="shared" si="55"/>
        <v>00</v>
      </c>
    </row>
    <row r="386" spans="1:18" x14ac:dyDescent="0.4">
      <c r="A386" s="1" t="str">
        <f t="shared" si="58"/>
        <v>0C0</v>
      </c>
      <c r="B386">
        <f t="shared" si="59"/>
        <v>0</v>
      </c>
      <c r="C386">
        <f>VALUE(MID(Hex!$C$2,1+2*HEX2DEC(A386)+B386,1))</f>
        <v>2</v>
      </c>
      <c r="D386" s="1" t="str">
        <f t="shared" si="56"/>
        <v>180</v>
      </c>
      <c r="E386">
        <f>HEX2DEC(MID(Hex!$C$8,1+HEX2DEC(Edit!D386)*2,2))</f>
        <v>0</v>
      </c>
      <c r="F386">
        <f t="shared" si="57"/>
        <v>384</v>
      </c>
      <c r="G386" t="str">
        <f>_xlfn.LET(_xlpm.custom,_xlfn.XLOOKUP(F386,Data!A:A,Data!C:C),IF(_xlpm.custom="",_xlfn.XLOOKUP(F386,Data!A:A,Data!B:B),_xlpm.custom))</f>
        <v>TM057</v>
      </c>
      <c r="H386" t="str">
        <f>_xlfn.XLOOKUP(C386,Data!A:A,Data!E:E)</f>
        <v>TM/HM</v>
      </c>
      <c r="J386">
        <f>IF(I386="",C386,_xlfn.XLOOKUP(I386,Data!E:E,Data!A:A,""))</f>
        <v>2</v>
      </c>
      <c r="L386">
        <f t="shared" si="51"/>
        <v>0</v>
      </c>
      <c r="M386">
        <f t="shared" si="52"/>
        <v>0</v>
      </c>
      <c r="N386">
        <f t="shared" si="60"/>
        <v>0</v>
      </c>
      <c r="O386">
        <f t="shared" si="53"/>
        <v>0</v>
      </c>
      <c r="P386">
        <f t="shared" si="54"/>
        <v>0</v>
      </c>
      <c r="R386" t="str">
        <f t="shared" si="55"/>
        <v>00</v>
      </c>
    </row>
    <row r="387" spans="1:18" x14ac:dyDescent="0.4">
      <c r="A387" s="1" t="str">
        <f t="shared" si="58"/>
        <v>0C0</v>
      </c>
      <c r="B387">
        <f t="shared" si="59"/>
        <v>1</v>
      </c>
      <c r="C387">
        <f>VALUE(MID(Hex!$C$2,1+2*HEX2DEC(A387)+B387,1))</f>
        <v>2</v>
      </c>
      <c r="D387" s="1" t="str">
        <f t="shared" si="56"/>
        <v>181</v>
      </c>
      <c r="E387">
        <f>HEX2DEC(MID(Hex!$C$8,1+HEX2DEC(Edit!D387)*2,2))</f>
        <v>0</v>
      </c>
      <c r="F387">
        <f t="shared" si="57"/>
        <v>385</v>
      </c>
      <c r="G387" t="str">
        <f>_xlfn.LET(_xlpm.custom,_xlfn.XLOOKUP(F387,Data!A:A,Data!C:C),IF(_xlpm.custom="",_xlfn.XLOOKUP(F387,Data!A:A,Data!B:B),_xlpm.custom))</f>
        <v>TM058</v>
      </c>
      <c r="H387" t="str">
        <f>_xlfn.XLOOKUP(C387,Data!A:A,Data!E:E)</f>
        <v>TM/HM</v>
      </c>
      <c r="J387">
        <f>IF(I387="",C387,_xlfn.XLOOKUP(I387,Data!E:E,Data!A:A,""))</f>
        <v>2</v>
      </c>
      <c r="L387">
        <f t="shared" ref="L387:L450" si="61">_xlfn.BITAND(E387,1)</f>
        <v>0</v>
      </c>
      <c r="M387">
        <f t="shared" ref="M387:M450" si="62">_xlfn.BITAND($E387,2)</f>
        <v>0</v>
      </c>
      <c r="N387">
        <f t="shared" si="60"/>
        <v>0</v>
      </c>
      <c r="O387">
        <f t="shared" ref="O387:O450" si="63">_xlfn.BITAND($E387,8)</f>
        <v>0</v>
      </c>
      <c r="P387">
        <f t="shared" ref="P387:P450" si="64">_xlfn.BITAND($E387,16)</f>
        <v>0</v>
      </c>
      <c r="R387" t="str">
        <f t="shared" ref="R387:R450" si="65">DEC2HEX(SUM(L387:P387),2)</f>
        <v>00</v>
      </c>
    </row>
    <row r="388" spans="1:18" x14ac:dyDescent="0.4">
      <c r="A388" s="1" t="str">
        <f t="shared" si="58"/>
        <v>0C1</v>
      </c>
      <c r="B388">
        <f t="shared" si="59"/>
        <v>0</v>
      </c>
      <c r="C388">
        <f>VALUE(MID(Hex!$C$2,1+2*HEX2DEC(A388)+B388,1))</f>
        <v>2</v>
      </c>
      <c r="D388" s="1" t="str">
        <f t="shared" ref="D388:D451" si="66">DEC2HEX(1+HEX2DEC(D387),3)</f>
        <v>182</v>
      </c>
      <c r="E388">
        <f>HEX2DEC(MID(Hex!$C$8,1+HEX2DEC(Edit!D388)*2,2))</f>
        <v>0</v>
      </c>
      <c r="F388">
        <f t="shared" ref="F388:F451" si="67">F387+1</f>
        <v>386</v>
      </c>
      <c r="G388" t="str">
        <f>_xlfn.LET(_xlpm.custom,_xlfn.XLOOKUP(F388,Data!A:A,Data!C:C),IF(_xlpm.custom="",_xlfn.XLOOKUP(F388,Data!A:A,Data!B:B),_xlpm.custom))</f>
        <v>TM059</v>
      </c>
      <c r="H388" t="str">
        <f>_xlfn.XLOOKUP(C388,Data!A:A,Data!E:E)</f>
        <v>TM/HM</v>
      </c>
      <c r="J388">
        <f>IF(I388="",C388,_xlfn.XLOOKUP(I388,Data!E:E,Data!A:A,""))</f>
        <v>2</v>
      </c>
      <c r="L388">
        <f t="shared" si="61"/>
        <v>0</v>
      </c>
      <c r="M388">
        <f t="shared" si="62"/>
        <v>0</v>
      </c>
      <c r="N388">
        <f t="shared" si="60"/>
        <v>0</v>
      </c>
      <c r="O388">
        <f t="shared" si="63"/>
        <v>0</v>
      </c>
      <c r="P388">
        <f t="shared" si="64"/>
        <v>0</v>
      </c>
      <c r="R388" t="str">
        <f t="shared" si="65"/>
        <v>00</v>
      </c>
    </row>
    <row r="389" spans="1:18" x14ac:dyDescent="0.4">
      <c r="A389" s="1" t="str">
        <f t="shared" ref="A389:A452" si="68">DEC2HEX(1+HEX2DEC(A387),3)</f>
        <v>0C1</v>
      </c>
      <c r="B389">
        <f t="shared" ref="B389:B452" si="69">B387</f>
        <v>1</v>
      </c>
      <c r="C389">
        <f>VALUE(MID(Hex!$C$2,1+2*HEX2DEC(A389)+B389,1))</f>
        <v>2</v>
      </c>
      <c r="D389" s="1" t="str">
        <f t="shared" si="66"/>
        <v>183</v>
      </c>
      <c r="E389">
        <f>HEX2DEC(MID(Hex!$C$8,1+HEX2DEC(Edit!D389)*2,2))</f>
        <v>0</v>
      </c>
      <c r="F389">
        <f t="shared" si="67"/>
        <v>387</v>
      </c>
      <c r="G389" t="str">
        <f>_xlfn.LET(_xlpm.custom,_xlfn.XLOOKUP(F389,Data!A:A,Data!C:C),IF(_xlpm.custom="",_xlfn.XLOOKUP(F389,Data!A:A,Data!B:B),_xlpm.custom))</f>
        <v>TM060</v>
      </c>
      <c r="H389" t="str">
        <f>_xlfn.XLOOKUP(C389,Data!A:A,Data!E:E)</f>
        <v>TM/HM</v>
      </c>
      <c r="J389">
        <f>IF(I389="",C389,_xlfn.XLOOKUP(I389,Data!E:E,Data!A:A,""))</f>
        <v>2</v>
      </c>
      <c r="L389">
        <f t="shared" si="61"/>
        <v>0</v>
      </c>
      <c r="M389">
        <f t="shared" si="62"/>
        <v>0</v>
      </c>
      <c r="N389">
        <f t="shared" si="60"/>
        <v>0</v>
      </c>
      <c r="O389">
        <f t="shared" si="63"/>
        <v>0</v>
      </c>
      <c r="P389">
        <f t="shared" si="64"/>
        <v>0</v>
      </c>
      <c r="R389" t="str">
        <f t="shared" si="65"/>
        <v>00</v>
      </c>
    </row>
    <row r="390" spans="1:18" x14ac:dyDescent="0.4">
      <c r="A390" s="1" t="str">
        <f t="shared" si="68"/>
        <v>0C2</v>
      </c>
      <c r="B390">
        <f t="shared" si="69"/>
        <v>0</v>
      </c>
      <c r="C390">
        <f>VALUE(MID(Hex!$C$2,1+2*HEX2DEC(A390)+B390,1))</f>
        <v>2</v>
      </c>
      <c r="D390" s="1" t="str">
        <f t="shared" si="66"/>
        <v>184</v>
      </c>
      <c r="E390">
        <f>HEX2DEC(MID(Hex!$C$8,1+HEX2DEC(Edit!D390)*2,2))</f>
        <v>0</v>
      </c>
      <c r="F390">
        <f t="shared" si="67"/>
        <v>388</v>
      </c>
      <c r="G390" t="str">
        <f>_xlfn.LET(_xlpm.custom,_xlfn.XLOOKUP(F390,Data!A:A,Data!C:C),IF(_xlpm.custom="",_xlfn.XLOOKUP(F390,Data!A:A,Data!B:B),_xlpm.custom))</f>
        <v>TM061</v>
      </c>
      <c r="H390" t="str">
        <f>_xlfn.XLOOKUP(C390,Data!A:A,Data!E:E)</f>
        <v>TM/HM</v>
      </c>
      <c r="J390">
        <f>IF(I390="",C390,_xlfn.XLOOKUP(I390,Data!E:E,Data!A:A,""))</f>
        <v>2</v>
      </c>
      <c r="L390">
        <f t="shared" si="61"/>
        <v>0</v>
      </c>
      <c r="M390">
        <f t="shared" si="62"/>
        <v>0</v>
      </c>
      <c r="N390">
        <f t="shared" si="60"/>
        <v>0</v>
      </c>
      <c r="O390">
        <f t="shared" si="63"/>
        <v>0</v>
      </c>
      <c r="P390">
        <f t="shared" si="64"/>
        <v>0</v>
      </c>
      <c r="R390" t="str">
        <f t="shared" si="65"/>
        <v>00</v>
      </c>
    </row>
    <row r="391" spans="1:18" x14ac:dyDescent="0.4">
      <c r="A391" s="1" t="str">
        <f t="shared" si="68"/>
        <v>0C2</v>
      </c>
      <c r="B391">
        <f t="shared" si="69"/>
        <v>1</v>
      </c>
      <c r="C391">
        <f>VALUE(MID(Hex!$C$2,1+2*HEX2DEC(A391)+B391,1))</f>
        <v>2</v>
      </c>
      <c r="D391" s="1" t="str">
        <f t="shared" si="66"/>
        <v>185</v>
      </c>
      <c r="E391">
        <f>HEX2DEC(MID(Hex!$C$8,1+HEX2DEC(Edit!D391)*2,2))</f>
        <v>0</v>
      </c>
      <c r="F391">
        <f t="shared" si="67"/>
        <v>389</v>
      </c>
      <c r="G391" t="str">
        <f>_xlfn.LET(_xlpm.custom,_xlfn.XLOOKUP(F391,Data!A:A,Data!C:C),IF(_xlpm.custom="",_xlfn.XLOOKUP(F391,Data!A:A,Data!B:B),_xlpm.custom))</f>
        <v>TM062</v>
      </c>
      <c r="H391" t="str">
        <f>_xlfn.XLOOKUP(C391,Data!A:A,Data!E:E)</f>
        <v>TM/HM</v>
      </c>
      <c r="J391">
        <f>IF(I391="",C391,_xlfn.XLOOKUP(I391,Data!E:E,Data!A:A,""))</f>
        <v>2</v>
      </c>
      <c r="L391">
        <f t="shared" si="61"/>
        <v>0</v>
      </c>
      <c r="M391">
        <f t="shared" si="62"/>
        <v>0</v>
      </c>
      <c r="N391">
        <f t="shared" si="60"/>
        <v>0</v>
      </c>
      <c r="O391">
        <f t="shared" si="63"/>
        <v>0</v>
      </c>
      <c r="P391">
        <f t="shared" si="64"/>
        <v>0</v>
      </c>
      <c r="R391" t="str">
        <f t="shared" si="65"/>
        <v>00</v>
      </c>
    </row>
    <row r="392" spans="1:18" x14ac:dyDescent="0.4">
      <c r="A392" s="1" t="str">
        <f t="shared" si="68"/>
        <v>0C3</v>
      </c>
      <c r="B392">
        <f t="shared" si="69"/>
        <v>0</v>
      </c>
      <c r="C392">
        <f>VALUE(MID(Hex!$C$2,1+2*HEX2DEC(A392)+B392,1))</f>
        <v>2</v>
      </c>
      <c r="D392" s="1" t="str">
        <f t="shared" si="66"/>
        <v>186</v>
      </c>
      <c r="E392">
        <f>HEX2DEC(MID(Hex!$C$8,1+HEX2DEC(Edit!D392)*2,2))</f>
        <v>0</v>
      </c>
      <c r="F392">
        <f t="shared" si="67"/>
        <v>390</v>
      </c>
      <c r="G392" t="str">
        <f>_xlfn.LET(_xlpm.custom,_xlfn.XLOOKUP(F392,Data!A:A,Data!C:C),IF(_xlpm.custom="",_xlfn.XLOOKUP(F392,Data!A:A,Data!B:B),_xlpm.custom))</f>
        <v>TM063</v>
      </c>
      <c r="H392" t="str">
        <f>_xlfn.XLOOKUP(C392,Data!A:A,Data!E:E)</f>
        <v>TM/HM</v>
      </c>
      <c r="J392">
        <f>IF(I392="",C392,_xlfn.XLOOKUP(I392,Data!E:E,Data!A:A,""))</f>
        <v>2</v>
      </c>
      <c r="L392">
        <f t="shared" si="61"/>
        <v>0</v>
      </c>
      <c r="M392">
        <f t="shared" si="62"/>
        <v>0</v>
      </c>
      <c r="N392">
        <f t="shared" si="60"/>
        <v>0</v>
      </c>
      <c r="O392">
        <f t="shared" si="63"/>
        <v>0</v>
      </c>
      <c r="P392">
        <f t="shared" si="64"/>
        <v>0</v>
      </c>
      <c r="R392" t="str">
        <f t="shared" si="65"/>
        <v>00</v>
      </c>
    </row>
    <row r="393" spans="1:18" x14ac:dyDescent="0.4">
      <c r="A393" s="1" t="str">
        <f t="shared" si="68"/>
        <v>0C3</v>
      </c>
      <c r="B393">
        <f t="shared" si="69"/>
        <v>1</v>
      </c>
      <c r="C393">
        <f>VALUE(MID(Hex!$C$2,1+2*HEX2DEC(A393)+B393,1))</f>
        <v>2</v>
      </c>
      <c r="D393" s="1" t="str">
        <f t="shared" si="66"/>
        <v>187</v>
      </c>
      <c r="E393">
        <f>HEX2DEC(MID(Hex!$C$8,1+HEX2DEC(Edit!D393)*2,2))</f>
        <v>0</v>
      </c>
      <c r="F393">
        <f t="shared" si="67"/>
        <v>391</v>
      </c>
      <c r="G393" t="str">
        <f>_xlfn.LET(_xlpm.custom,_xlfn.XLOOKUP(F393,Data!A:A,Data!C:C),IF(_xlpm.custom="",_xlfn.XLOOKUP(F393,Data!A:A,Data!B:B),_xlpm.custom))</f>
        <v>TM064</v>
      </c>
      <c r="H393" t="str">
        <f>_xlfn.XLOOKUP(C393,Data!A:A,Data!E:E)</f>
        <v>TM/HM</v>
      </c>
      <c r="J393">
        <f>IF(I393="",C393,_xlfn.XLOOKUP(I393,Data!E:E,Data!A:A,""))</f>
        <v>2</v>
      </c>
      <c r="L393">
        <f t="shared" si="61"/>
        <v>0</v>
      </c>
      <c r="M393">
        <f t="shared" si="62"/>
        <v>0</v>
      </c>
      <c r="N393">
        <f t="shared" si="60"/>
        <v>0</v>
      </c>
      <c r="O393">
        <f t="shared" si="63"/>
        <v>0</v>
      </c>
      <c r="P393">
        <f t="shared" si="64"/>
        <v>0</v>
      </c>
      <c r="R393" t="str">
        <f t="shared" si="65"/>
        <v>00</v>
      </c>
    </row>
    <row r="394" spans="1:18" x14ac:dyDescent="0.4">
      <c r="A394" s="1" t="str">
        <f t="shared" si="68"/>
        <v>0C4</v>
      </c>
      <c r="B394">
        <f t="shared" si="69"/>
        <v>0</v>
      </c>
      <c r="C394">
        <f>VALUE(MID(Hex!$C$2,1+2*HEX2DEC(A394)+B394,1))</f>
        <v>2</v>
      </c>
      <c r="D394" s="1" t="str">
        <f t="shared" si="66"/>
        <v>188</v>
      </c>
      <c r="E394">
        <f>HEX2DEC(MID(Hex!$C$8,1+HEX2DEC(Edit!D394)*2,2))</f>
        <v>0</v>
      </c>
      <c r="F394">
        <f t="shared" si="67"/>
        <v>392</v>
      </c>
      <c r="G394" t="str">
        <f>_xlfn.LET(_xlpm.custom,_xlfn.XLOOKUP(F394,Data!A:A,Data!C:C),IF(_xlpm.custom="",_xlfn.XLOOKUP(F394,Data!A:A,Data!B:B),_xlpm.custom))</f>
        <v>TM065</v>
      </c>
      <c r="H394" t="str">
        <f>_xlfn.XLOOKUP(C394,Data!A:A,Data!E:E)</f>
        <v>TM/HM</v>
      </c>
      <c r="J394">
        <f>IF(I394="",C394,_xlfn.XLOOKUP(I394,Data!E:E,Data!A:A,""))</f>
        <v>2</v>
      </c>
      <c r="L394">
        <f t="shared" si="61"/>
        <v>0</v>
      </c>
      <c r="M394">
        <f t="shared" si="62"/>
        <v>0</v>
      </c>
      <c r="N394">
        <f t="shared" si="60"/>
        <v>0</v>
      </c>
      <c r="O394">
        <f t="shared" si="63"/>
        <v>0</v>
      </c>
      <c r="P394">
        <f t="shared" si="64"/>
        <v>0</v>
      </c>
      <c r="R394" t="str">
        <f t="shared" si="65"/>
        <v>00</v>
      </c>
    </row>
    <row r="395" spans="1:18" x14ac:dyDescent="0.4">
      <c r="A395" s="1" t="str">
        <f t="shared" si="68"/>
        <v>0C4</v>
      </c>
      <c r="B395">
        <f t="shared" si="69"/>
        <v>1</v>
      </c>
      <c r="C395">
        <f>VALUE(MID(Hex!$C$2,1+2*HEX2DEC(A395)+B395,1))</f>
        <v>2</v>
      </c>
      <c r="D395" s="1" t="str">
        <f t="shared" si="66"/>
        <v>189</v>
      </c>
      <c r="E395">
        <f>HEX2DEC(MID(Hex!$C$8,1+HEX2DEC(Edit!D395)*2,2))</f>
        <v>0</v>
      </c>
      <c r="F395">
        <f t="shared" si="67"/>
        <v>393</v>
      </c>
      <c r="G395" t="str">
        <f>_xlfn.LET(_xlpm.custom,_xlfn.XLOOKUP(F395,Data!A:A,Data!C:C),IF(_xlpm.custom="",_xlfn.XLOOKUP(F395,Data!A:A,Data!B:B),_xlpm.custom))</f>
        <v>TM066</v>
      </c>
      <c r="H395" t="str">
        <f>_xlfn.XLOOKUP(C395,Data!A:A,Data!E:E)</f>
        <v>TM/HM</v>
      </c>
      <c r="J395">
        <f>IF(I395="",C395,_xlfn.XLOOKUP(I395,Data!E:E,Data!A:A,""))</f>
        <v>2</v>
      </c>
      <c r="L395">
        <f t="shared" si="61"/>
        <v>0</v>
      </c>
      <c r="M395">
        <f t="shared" si="62"/>
        <v>0</v>
      </c>
      <c r="N395">
        <f t="shared" si="60"/>
        <v>0</v>
      </c>
      <c r="O395">
        <f t="shared" si="63"/>
        <v>0</v>
      </c>
      <c r="P395">
        <f t="shared" si="64"/>
        <v>0</v>
      </c>
      <c r="R395" t="str">
        <f t="shared" si="65"/>
        <v>00</v>
      </c>
    </row>
    <row r="396" spans="1:18" x14ac:dyDescent="0.4">
      <c r="A396" s="1" t="str">
        <f t="shared" si="68"/>
        <v>0C5</v>
      </c>
      <c r="B396">
        <f t="shared" si="69"/>
        <v>0</v>
      </c>
      <c r="C396">
        <f>VALUE(MID(Hex!$C$2,1+2*HEX2DEC(A396)+B396,1))</f>
        <v>2</v>
      </c>
      <c r="D396" s="1" t="str">
        <f t="shared" si="66"/>
        <v>18A</v>
      </c>
      <c r="E396">
        <f>HEX2DEC(MID(Hex!$C$8,1+HEX2DEC(Edit!D396)*2,2))</f>
        <v>0</v>
      </c>
      <c r="F396">
        <f t="shared" si="67"/>
        <v>394</v>
      </c>
      <c r="G396" t="str">
        <f>_xlfn.LET(_xlpm.custom,_xlfn.XLOOKUP(F396,Data!A:A,Data!C:C),IF(_xlpm.custom="",_xlfn.XLOOKUP(F396,Data!A:A,Data!B:B),_xlpm.custom))</f>
        <v>TM067</v>
      </c>
      <c r="H396" t="str">
        <f>_xlfn.XLOOKUP(C396,Data!A:A,Data!E:E)</f>
        <v>TM/HM</v>
      </c>
      <c r="J396">
        <f>IF(I396="",C396,_xlfn.XLOOKUP(I396,Data!E:E,Data!A:A,""))</f>
        <v>2</v>
      </c>
      <c r="L396">
        <f t="shared" si="61"/>
        <v>0</v>
      </c>
      <c r="M396">
        <f t="shared" si="62"/>
        <v>0</v>
      </c>
      <c r="N396">
        <f t="shared" si="60"/>
        <v>0</v>
      </c>
      <c r="O396">
        <f t="shared" si="63"/>
        <v>0</v>
      </c>
      <c r="P396">
        <f t="shared" si="64"/>
        <v>0</v>
      </c>
      <c r="R396" t="str">
        <f t="shared" si="65"/>
        <v>00</v>
      </c>
    </row>
    <row r="397" spans="1:18" x14ac:dyDescent="0.4">
      <c r="A397" s="1" t="str">
        <f t="shared" si="68"/>
        <v>0C5</v>
      </c>
      <c r="B397">
        <f t="shared" si="69"/>
        <v>1</v>
      </c>
      <c r="C397">
        <f>VALUE(MID(Hex!$C$2,1+2*HEX2DEC(A397)+B397,1))</f>
        <v>2</v>
      </c>
      <c r="D397" s="1" t="str">
        <f t="shared" si="66"/>
        <v>18B</v>
      </c>
      <c r="E397">
        <f>HEX2DEC(MID(Hex!$C$8,1+HEX2DEC(Edit!D397)*2,2))</f>
        <v>0</v>
      </c>
      <c r="F397">
        <f t="shared" si="67"/>
        <v>395</v>
      </c>
      <c r="G397" t="str">
        <f>_xlfn.LET(_xlpm.custom,_xlfn.XLOOKUP(F397,Data!A:A,Data!C:C),IF(_xlpm.custom="",_xlfn.XLOOKUP(F397,Data!A:A,Data!B:B),_xlpm.custom))</f>
        <v>TM068</v>
      </c>
      <c r="H397" t="str">
        <f>_xlfn.XLOOKUP(C397,Data!A:A,Data!E:E)</f>
        <v>TM/HM</v>
      </c>
      <c r="J397">
        <f>IF(I397="",C397,_xlfn.XLOOKUP(I397,Data!E:E,Data!A:A,""))</f>
        <v>2</v>
      </c>
      <c r="L397">
        <f t="shared" si="61"/>
        <v>0</v>
      </c>
      <c r="M397">
        <f t="shared" si="62"/>
        <v>0</v>
      </c>
      <c r="N397">
        <f t="shared" si="60"/>
        <v>0</v>
      </c>
      <c r="O397">
        <f t="shared" si="63"/>
        <v>0</v>
      </c>
      <c r="P397">
        <f t="shared" si="64"/>
        <v>0</v>
      </c>
      <c r="R397" t="str">
        <f t="shared" si="65"/>
        <v>00</v>
      </c>
    </row>
    <row r="398" spans="1:18" x14ac:dyDescent="0.4">
      <c r="A398" s="1" t="str">
        <f t="shared" si="68"/>
        <v>0C6</v>
      </c>
      <c r="B398">
        <f t="shared" si="69"/>
        <v>0</v>
      </c>
      <c r="C398">
        <f>VALUE(MID(Hex!$C$2,1+2*HEX2DEC(A398)+B398,1))</f>
        <v>2</v>
      </c>
      <c r="D398" s="1" t="str">
        <f t="shared" si="66"/>
        <v>18C</v>
      </c>
      <c r="E398">
        <f>HEX2DEC(MID(Hex!$C$8,1+HEX2DEC(Edit!D398)*2,2))</f>
        <v>0</v>
      </c>
      <c r="F398">
        <f t="shared" si="67"/>
        <v>396</v>
      </c>
      <c r="G398" t="str">
        <f>_xlfn.LET(_xlpm.custom,_xlfn.XLOOKUP(F398,Data!A:A,Data!C:C),IF(_xlpm.custom="",_xlfn.XLOOKUP(F398,Data!A:A,Data!B:B),_xlpm.custom))</f>
        <v>TM069</v>
      </c>
      <c r="H398" t="str">
        <f>_xlfn.XLOOKUP(C398,Data!A:A,Data!E:E)</f>
        <v>TM/HM</v>
      </c>
      <c r="J398">
        <f>IF(I398="",C398,_xlfn.XLOOKUP(I398,Data!E:E,Data!A:A,""))</f>
        <v>2</v>
      </c>
      <c r="L398">
        <f t="shared" si="61"/>
        <v>0</v>
      </c>
      <c r="M398">
        <f t="shared" si="62"/>
        <v>0</v>
      </c>
      <c r="N398">
        <f t="shared" si="60"/>
        <v>0</v>
      </c>
      <c r="O398">
        <f t="shared" si="63"/>
        <v>0</v>
      </c>
      <c r="P398">
        <f t="shared" si="64"/>
        <v>0</v>
      </c>
      <c r="R398" t="str">
        <f t="shared" si="65"/>
        <v>00</v>
      </c>
    </row>
    <row r="399" spans="1:18" x14ac:dyDescent="0.4">
      <c r="A399" s="1" t="str">
        <f t="shared" si="68"/>
        <v>0C6</v>
      </c>
      <c r="B399">
        <f t="shared" si="69"/>
        <v>1</v>
      </c>
      <c r="C399">
        <f>VALUE(MID(Hex!$C$2,1+2*HEX2DEC(A399)+B399,1))</f>
        <v>2</v>
      </c>
      <c r="D399" s="1" t="str">
        <f t="shared" si="66"/>
        <v>18D</v>
      </c>
      <c r="E399">
        <f>HEX2DEC(MID(Hex!$C$8,1+HEX2DEC(Edit!D399)*2,2))</f>
        <v>0</v>
      </c>
      <c r="F399">
        <f t="shared" si="67"/>
        <v>397</v>
      </c>
      <c r="G399" t="str">
        <f>_xlfn.LET(_xlpm.custom,_xlfn.XLOOKUP(F399,Data!A:A,Data!C:C),IF(_xlpm.custom="",_xlfn.XLOOKUP(F399,Data!A:A,Data!B:B),_xlpm.custom))</f>
        <v>TM070</v>
      </c>
      <c r="H399" t="str">
        <f>_xlfn.XLOOKUP(C399,Data!A:A,Data!E:E)</f>
        <v>TM/HM</v>
      </c>
      <c r="J399">
        <f>IF(I399="",C399,_xlfn.XLOOKUP(I399,Data!E:E,Data!A:A,""))</f>
        <v>2</v>
      </c>
      <c r="L399">
        <f t="shared" si="61"/>
        <v>0</v>
      </c>
      <c r="M399">
        <f t="shared" si="62"/>
        <v>0</v>
      </c>
      <c r="N399">
        <f t="shared" si="60"/>
        <v>0</v>
      </c>
      <c r="O399">
        <f t="shared" si="63"/>
        <v>0</v>
      </c>
      <c r="P399">
        <f t="shared" si="64"/>
        <v>0</v>
      </c>
      <c r="R399" t="str">
        <f t="shared" si="65"/>
        <v>00</v>
      </c>
    </row>
    <row r="400" spans="1:18" x14ac:dyDescent="0.4">
      <c r="A400" s="1" t="str">
        <f t="shared" si="68"/>
        <v>0C7</v>
      </c>
      <c r="B400">
        <f t="shared" si="69"/>
        <v>0</v>
      </c>
      <c r="C400">
        <f>VALUE(MID(Hex!$C$2,1+2*HEX2DEC(A400)+B400,1))</f>
        <v>2</v>
      </c>
      <c r="D400" s="1" t="str">
        <f t="shared" si="66"/>
        <v>18E</v>
      </c>
      <c r="E400">
        <f>HEX2DEC(MID(Hex!$C$8,1+HEX2DEC(Edit!D400)*2,2))</f>
        <v>0</v>
      </c>
      <c r="F400">
        <f t="shared" si="67"/>
        <v>398</v>
      </c>
      <c r="G400" t="str">
        <f>_xlfn.LET(_xlpm.custom,_xlfn.XLOOKUP(F400,Data!A:A,Data!C:C),IF(_xlpm.custom="",_xlfn.XLOOKUP(F400,Data!A:A,Data!B:B),_xlpm.custom))</f>
        <v>TM071</v>
      </c>
      <c r="H400" t="str">
        <f>_xlfn.XLOOKUP(C400,Data!A:A,Data!E:E)</f>
        <v>TM/HM</v>
      </c>
      <c r="J400">
        <f>IF(I400="",C400,_xlfn.XLOOKUP(I400,Data!E:E,Data!A:A,""))</f>
        <v>2</v>
      </c>
      <c r="L400">
        <f t="shared" si="61"/>
        <v>0</v>
      </c>
      <c r="M400">
        <f t="shared" si="62"/>
        <v>0</v>
      </c>
      <c r="N400">
        <f t="shared" si="60"/>
        <v>0</v>
      </c>
      <c r="O400">
        <f t="shared" si="63"/>
        <v>0</v>
      </c>
      <c r="P400">
        <f t="shared" si="64"/>
        <v>0</v>
      </c>
      <c r="R400" t="str">
        <f t="shared" si="65"/>
        <v>00</v>
      </c>
    </row>
    <row r="401" spans="1:18" x14ac:dyDescent="0.4">
      <c r="A401" s="1" t="str">
        <f t="shared" si="68"/>
        <v>0C7</v>
      </c>
      <c r="B401">
        <f t="shared" si="69"/>
        <v>1</v>
      </c>
      <c r="C401">
        <f>VALUE(MID(Hex!$C$2,1+2*HEX2DEC(A401)+B401,1))</f>
        <v>2</v>
      </c>
      <c r="D401" s="1" t="str">
        <f t="shared" si="66"/>
        <v>18F</v>
      </c>
      <c r="E401">
        <f>HEX2DEC(MID(Hex!$C$8,1+HEX2DEC(Edit!D401)*2,2))</f>
        <v>0</v>
      </c>
      <c r="F401">
        <f t="shared" si="67"/>
        <v>399</v>
      </c>
      <c r="G401" t="str">
        <f>_xlfn.LET(_xlpm.custom,_xlfn.XLOOKUP(F401,Data!A:A,Data!C:C),IF(_xlpm.custom="",_xlfn.XLOOKUP(F401,Data!A:A,Data!B:B),_xlpm.custom))</f>
        <v>TM072</v>
      </c>
      <c r="H401" t="str">
        <f>_xlfn.XLOOKUP(C401,Data!A:A,Data!E:E)</f>
        <v>TM/HM</v>
      </c>
      <c r="J401">
        <f>IF(I401="",C401,_xlfn.XLOOKUP(I401,Data!E:E,Data!A:A,""))</f>
        <v>2</v>
      </c>
      <c r="L401">
        <f t="shared" si="61"/>
        <v>0</v>
      </c>
      <c r="M401">
        <f t="shared" si="62"/>
        <v>0</v>
      </c>
      <c r="N401">
        <f t="shared" si="60"/>
        <v>0</v>
      </c>
      <c r="O401">
        <f t="shared" si="63"/>
        <v>0</v>
      </c>
      <c r="P401">
        <f t="shared" si="64"/>
        <v>0</v>
      </c>
      <c r="R401" t="str">
        <f t="shared" si="65"/>
        <v>00</v>
      </c>
    </row>
    <row r="402" spans="1:18" x14ac:dyDescent="0.4">
      <c r="A402" s="1" t="str">
        <f t="shared" si="68"/>
        <v>0C8</v>
      </c>
      <c r="B402">
        <f t="shared" si="69"/>
        <v>0</v>
      </c>
      <c r="C402">
        <f>VALUE(MID(Hex!$C$2,1+2*HEX2DEC(A402)+B402,1))</f>
        <v>2</v>
      </c>
      <c r="D402" s="1" t="str">
        <f t="shared" si="66"/>
        <v>190</v>
      </c>
      <c r="E402">
        <f>HEX2DEC(MID(Hex!$C$8,1+HEX2DEC(Edit!D402)*2,2))</f>
        <v>0</v>
      </c>
      <c r="F402">
        <f t="shared" si="67"/>
        <v>400</v>
      </c>
      <c r="G402" t="str">
        <f>_xlfn.LET(_xlpm.custom,_xlfn.XLOOKUP(F402,Data!A:A,Data!C:C),IF(_xlpm.custom="",_xlfn.XLOOKUP(F402,Data!A:A,Data!B:B),_xlpm.custom))</f>
        <v>TM073</v>
      </c>
      <c r="H402" t="str">
        <f>_xlfn.XLOOKUP(C402,Data!A:A,Data!E:E)</f>
        <v>TM/HM</v>
      </c>
      <c r="J402">
        <f>IF(I402="",C402,_xlfn.XLOOKUP(I402,Data!E:E,Data!A:A,""))</f>
        <v>2</v>
      </c>
      <c r="L402">
        <f t="shared" si="61"/>
        <v>0</v>
      </c>
      <c r="M402">
        <f t="shared" si="62"/>
        <v>0</v>
      </c>
      <c r="N402">
        <f t="shared" si="60"/>
        <v>0</v>
      </c>
      <c r="O402">
        <f t="shared" si="63"/>
        <v>0</v>
      </c>
      <c r="P402">
        <f t="shared" si="64"/>
        <v>0</v>
      </c>
      <c r="R402" t="str">
        <f t="shared" si="65"/>
        <v>00</v>
      </c>
    </row>
    <row r="403" spans="1:18" x14ac:dyDescent="0.4">
      <c r="A403" s="1" t="str">
        <f t="shared" si="68"/>
        <v>0C8</v>
      </c>
      <c r="B403">
        <f t="shared" si="69"/>
        <v>1</v>
      </c>
      <c r="C403">
        <f>VALUE(MID(Hex!$C$2,1+2*HEX2DEC(A403)+B403,1))</f>
        <v>2</v>
      </c>
      <c r="D403" s="1" t="str">
        <f t="shared" si="66"/>
        <v>191</v>
      </c>
      <c r="E403">
        <f>HEX2DEC(MID(Hex!$C$8,1+HEX2DEC(Edit!D403)*2,2))</f>
        <v>0</v>
      </c>
      <c r="F403">
        <f t="shared" si="67"/>
        <v>401</v>
      </c>
      <c r="G403" t="str">
        <f>_xlfn.LET(_xlpm.custom,_xlfn.XLOOKUP(F403,Data!A:A,Data!C:C),IF(_xlpm.custom="",_xlfn.XLOOKUP(F403,Data!A:A,Data!B:B),_xlpm.custom))</f>
        <v>TM074</v>
      </c>
      <c r="H403" t="str">
        <f>_xlfn.XLOOKUP(C403,Data!A:A,Data!E:E)</f>
        <v>TM/HM</v>
      </c>
      <c r="J403">
        <f>IF(I403="",C403,_xlfn.XLOOKUP(I403,Data!E:E,Data!A:A,""))</f>
        <v>2</v>
      </c>
      <c r="L403">
        <f t="shared" si="61"/>
        <v>0</v>
      </c>
      <c r="M403">
        <f t="shared" si="62"/>
        <v>0</v>
      </c>
      <c r="N403">
        <f t="shared" si="60"/>
        <v>0</v>
      </c>
      <c r="O403">
        <f t="shared" si="63"/>
        <v>0</v>
      </c>
      <c r="P403">
        <f t="shared" si="64"/>
        <v>0</v>
      </c>
      <c r="R403" t="str">
        <f t="shared" si="65"/>
        <v>00</v>
      </c>
    </row>
    <row r="404" spans="1:18" x14ac:dyDescent="0.4">
      <c r="A404" s="1" t="str">
        <f t="shared" si="68"/>
        <v>0C9</v>
      </c>
      <c r="B404">
        <f t="shared" si="69"/>
        <v>0</v>
      </c>
      <c r="C404">
        <f>VALUE(MID(Hex!$C$2,1+2*HEX2DEC(A404)+B404,1))</f>
        <v>2</v>
      </c>
      <c r="D404" s="1" t="str">
        <f t="shared" si="66"/>
        <v>192</v>
      </c>
      <c r="E404">
        <f>HEX2DEC(MID(Hex!$C$8,1+HEX2DEC(Edit!D404)*2,2))</f>
        <v>0</v>
      </c>
      <c r="F404">
        <f t="shared" si="67"/>
        <v>402</v>
      </c>
      <c r="G404" t="str">
        <f>_xlfn.LET(_xlpm.custom,_xlfn.XLOOKUP(F404,Data!A:A,Data!C:C),IF(_xlpm.custom="",_xlfn.XLOOKUP(F404,Data!A:A,Data!B:B),_xlpm.custom))</f>
        <v>TM075</v>
      </c>
      <c r="H404" t="str">
        <f>_xlfn.XLOOKUP(C404,Data!A:A,Data!E:E)</f>
        <v>TM/HM</v>
      </c>
      <c r="J404">
        <f>IF(I404="",C404,_xlfn.XLOOKUP(I404,Data!E:E,Data!A:A,""))</f>
        <v>2</v>
      </c>
      <c r="L404">
        <f t="shared" si="61"/>
        <v>0</v>
      </c>
      <c r="M404">
        <f t="shared" si="62"/>
        <v>0</v>
      </c>
      <c r="N404">
        <f t="shared" si="60"/>
        <v>0</v>
      </c>
      <c r="O404">
        <f t="shared" si="63"/>
        <v>0</v>
      </c>
      <c r="P404">
        <f t="shared" si="64"/>
        <v>0</v>
      </c>
      <c r="R404" t="str">
        <f t="shared" si="65"/>
        <v>00</v>
      </c>
    </row>
    <row r="405" spans="1:18" x14ac:dyDescent="0.4">
      <c r="A405" s="1" t="str">
        <f t="shared" si="68"/>
        <v>0C9</v>
      </c>
      <c r="B405">
        <f t="shared" si="69"/>
        <v>1</v>
      </c>
      <c r="C405">
        <f>VALUE(MID(Hex!$C$2,1+2*HEX2DEC(A405)+B405,1))</f>
        <v>2</v>
      </c>
      <c r="D405" s="1" t="str">
        <f t="shared" si="66"/>
        <v>193</v>
      </c>
      <c r="E405">
        <f>HEX2DEC(MID(Hex!$C$8,1+HEX2DEC(Edit!D405)*2,2))</f>
        <v>0</v>
      </c>
      <c r="F405">
        <f t="shared" si="67"/>
        <v>403</v>
      </c>
      <c r="G405" t="str">
        <f>_xlfn.LET(_xlpm.custom,_xlfn.XLOOKUP(F405,Data!A:A,Data!C:C),IF(_xlpm.custom="",_xlfn.XLOOKUP(F405,Data!A:A,Data!B:B),_xlpm.custom))</f>
        <v>TM076</v>
      </c>
      <c r="H405" t="str">
        <f>_xlfn.XLOOKUP(C405,Data!A:A,Data!E:E)</f>
        <v>TM/HM</v>
      </c>
      <c r="J405">
        <f>IF(I405="",C405,_xlfn.XLOOKUP(I405,Data!E:E,Data!A:A,""))</f>
        <v>2</v>
      </c>
      <c r="L405">
        <f t="shared" si="61"/>
        <v>0</v>
      </c>
      <c r="M405">
        <f t="shared" si="62"/>
        <v>0</v>
      </c>
      <c r="N405">
        <f t="shared" ref="N405:N468" si="70">_xlfn.BITAND($E405,4)</f>
        <v>0</v>
      </c>
      <c r="O405">
        <f t="shared" si="63"/>
        <v>0</v>
      </c>
      <c r="P405">
        <f t="shared" si="64"/>
        <v>0</v>
      </c>
      <c r="R405" t="str">
        <f t="shared" si="65"/>
        <v>00</v>
      </c>
    </row>
    <row r="406" spans="1:18" x14ac:dyDescent="0.4">
      <c r="A406" s="1" t="str">
        <f t="shared" si="68"/>
        <v>0CA</v>
      </c>
      <c r="B406">
        <f t="shared" si="69"/>
        <v>0</v>
      </c>
      <c r="C406">
        <f>VALUE(MID(Hex!$C$2,1+2*HEX2DEC(A406)+B406,1))</f>
        <v>2</v>
      </c>
      <c r="D406" s="1" t="str">
        <f t="shared" si="66"/>
        <v>194</v>
      </c>
      <c r="E406">
        <f>HEX2DEC(MID(Hex!$C$8,1+HEX2DEC(Edit!D406)*2,2))</f>
        <v>0</v>
      </c>
      <c r="F406">
        <f t="shared" si="67"/>
        <v>404</v>
      </c>
      <c r="G406" t="str">
        <f>_xlfn.LET(_xlpm.custom,_xlfn.XLOOKUP(F406,Data!A:A,Data!C:C),IF(_xlpm.custom="",_xlfn.XLOOKUP(F406,Data!A:A,Data!B:B),_xlpm.custom))</f>
        <v>TM077</v>
      </c>
      <c r="H406" t="str">
        <f>_xlfn.XLOOKUP(C406,Data!A:A,Data!E:E)</f>
        <v>TM/HM</v>
      </c>
      <c r="J406">
        <f>IF(I406="",C406,_xlfn.XLOOKUP(I406,Data!E:E,Data!A:A,""))</f>
        <v>2</v>
      </c>
      <c r="L406">
        <f t="shared" si="61"/>
        <v>0</v>
      </c>
      <c r="M406">
        <f t="shared" si="62"/>
        <v>0</v>
      </c>
      <c r="N406">
        <f t="shared" si="70"/>
        <v>0</v>
      </c>
      <c r="O406">
        <f t="shared" si="63"/>
        <v>0</v>
      </c>
      <c r="P406">
        <f t="shared" si="64"/>
        <v>0</v>
      </c>
      <c r="R406" t="str">
        <f t="shared" si="65"/>
        <v>00</v>
      </c>
    </row>
    <row r="407" spans="1:18" x14ac:dyDescent="0.4">
      <c r="A407" s="1" t="str">
        <f t="shared" si="68"/>
        <v>0CA</v>
      </c>
      <c r="B407">
        <f t="shared" si="69"/>
        <v>1</v>
      </c>
      <c r="C407">
        <f>VALUE(MID(Hex!$C$2,1+2*HEX2DEC(A407)+B407,1))</f>
        <v>2</v>
      </c>
      <c r="D407" s="1" t="str">
        <f t="shared" si="66"/>
        <v>195</v>
      </c>
      <c r="E407">
        <f>HEX2DEC(MID(Hex!$C$8,1+HEX2DEC(Edit!D407)*2,2))</f>
        <v>0</v>
      </c>
      <c r="F407">
        <f t="shared" si="67"/>
        <v>405</v>
      </c>
      <c r="G407" t="str">
        <f>_xlfn.LET(_xlpm.custom,_xlfn.XLOOKUP(F407,Data!A:A,Data!C:C),IF(_xlpm.custom="",_xlfn.XLOOKUP(F407,Data!A:A,Data!B:B),_xlpm.custom))</f>
        <v>TM078</v>
      </c>
      <c r="H407" t="str">
        <f>_xlfn.XLOOKUP(C407,Data!A:A,Data!E:E)</f>
        <v>TM/HM</v>
      </c>
      <c r="J407">
        <f>IF(I407="",C407,_xlfn.XLOOKUP(I407,Data!E:E,Data!A:A,""))</f>
        <v>2</v>
      </c>
      <c r="L407">
        <f t="shared" si="61"/>
        <v>0</v>
      </c>
      <c r="M407">
        <f t="shared" si="62"/>
        <v>0</v>
      </c>
      <c r="N407">
        <f t="shared" si="70"/>
        <v>0</v>
      </c>
      <c r="O407">
        <f t="shared" si="63"/>
        <v>0</v>
      </c>
      <c r="P407">
        <f t="shared" si="64"/>
        <v>0</v>
      </c>
      <c r="R407" t="str">
        <f t="shared" si="65"/>
        <v>00</v>
      </c>
    </row>
    <row r="408" spans="1:18" x14ac:dyDescent="0.4">
      <c r="A408" s="1" t="str">
        <f t="shared" si="68"/>
        <v>0CB</v>
      </c>
      <c r="B408">
        <f t="shared" si="69"/>
        <v>0</v>
      </c>
      <c r="C408">
        <f>VALUE(MID(Hex!$C$2,1+2*HEX2DEC(A408)+B408,1))</f>
        <v>2</v>
      </c>
      <c r="D408" s="1" t="str">
        <f t="shared" si="66"/>
        <v>196</v>
      </c>
      <c r="E408">
        <f>HEX2DEC(MID(Hex!$C$8,1+HEX2DEC(Edit!D408)*2,2))</f>
        <v>0</v>
      </c>
      <c r="F408">
        <f t="shared" si="67"/>
        <v>406</v>
      </c>
      <c r="G408" t="str">
        <f>_xlfn.LET(_xlpm.custom,_xlfn.XLOOKUP(F408,Data!A:A,Data!C:C),IF(_xlpm.custom="",_xlfn.XLOOKUP(F408,Data!A:A,Data!B:B),_xlpm.custom))</f>
        <v>TM079</v>
      </c>
      <c r="H408" t="str">
        <f>_xlfn.XLOOKUP(C408,Data!A:A,Data!E:E)</f>
        <v>TM/HM</v>
      </c>
      <c r="J408">
        <f>IF(I408="",C408,_xlfn.XLOOKUP(I408,Data!E:E,Data!A:A,""))</f>
        <v>2</v>
      </c>
      <c r="L408">
        <f t="shared" si="61"/>
        <v>0</v>
      </c>
      <c r="M408">
        <f t="shared" si="62"/>
        <v>0</v>
      </c>
      <c r="N408">
        <f t="shared" si="70"/>
        <v>0</v>
      </c>
      <c r="O408">
        <f t="shared" si="63"/>
        <v>0</v>
      </c>
      <c r="P408">
        <f t="shared" si="64"/>
        <v>0</v>
      </c>
      <c r="R408" t="str">
        <f t="shared" si="65"/>
        <v>00</v>
      </c>
    </row>
    <row r="409" spans="1:18" x14ac:dyDescent="0.4">
      <c r="A409" s="1" t="str">
        <f t="shared" si="68"/>
        <v>0CB</v>
      </c>
      <c r="B409">
        <f t="shared" si="69"/>
        <v>1</v>
      </c>
      <c r="C409">
        <f>VALUE(MID(Hex!$C$2,1+2*HEX2DEC(A409)+B409,1))</f>
        <v>2</v>
      </c>
      <c r="D409" s="1" t="str">
        <f t="shared" si="66"/>
        <v>197</v>
      </c>
      <c r="E409">
        <f>HEX2DEC(MID(Hex!$C$8,1+HEX2DEC(Edit!D409)*2,2))</f>
        <v>0</v>
      </c>
      <c r="F409">
        <f t="shared" si="67"/>
        <v>407</v>
      </c>
      <c r="G409" t="str">
        <f>_xlfn.LET(_xlpm.custom,_xlfn.XLOOKUP(F409,Data!A:A,Data!C:C),IF(_xlpm.custom="",_xlfn.XLOOKUP(F409,Data!A:A,Data!B:B),_xlpm.custom))</f>
        <v>TM080</v>
      </c>
      <c r="H409" t="str">
        <f>_xlfn.XLOOKUP(C409,Data!A:A,Data!E:E)</f>
        <v>TM/HM</v>
      </c>
      <c r="J409">
        <f>IF(I409="",C409,_xlfn.XLOOKUP(I409,Data!E:E,Data!A:A,""))</f>
        <v>2</v>
      </c>
      <c r="L409">
        <f t="shared" si="61"/>
        <v>0</v>
      </c>
      <c r="M409">
        <f t="shared" si="62"/>
        <v>0</v>
      </c>
      <c r="N409">
        <f t="shared" si="70"/>
        <v>0</v>
      </c>
      <c r="O409">
        <f t="shared" si="63"/>
        <v>0</v>
      </c>
      <c r="P409">
        <f t="shared" si="64"/>
        <v>0</v>
      </c>
      <c r="R409" t="str">
        <f t="shared" si="65"/>
        <v>00</v>
      </c>
    </row>
    <row r="410" spans="1:18" x14ac:dyDescent="0.4">
      <c r="A410" s="1" t="str">
        <f t="shared" si="68"/>
        <v>0CC</v>
      </c>
      <c r="B410">
        <f t="shared" si="69"/>
        <v>0</v>
      </c>
      <c r="C410">
        <f>VALUE(MID(Hex!$C$2,1+2*HEX2DEC(A410)+B410,1))</f>
        <v>2</v>
      </c>
      <c r="D410" s="1" t="str">
        <f t="shared" si="66"/>
        <v>198</v>
      </c>
      <c r="E410">
        <f>HEX2DEC(MID(Hex!$C$8,1+HEX2DEC(Edit!D410)*2,2))</f>
        <v>0</v>
      </c>
      <c r="F410">
        <f t="shared" si="67"/>
        <v>408</v>
      </c>
      <c r="G410" t="str">
        <f>_xlfn.LET(_xlpm.custom,_xlfn.XLOOKUP(F410,Data!A:A,Data!C:C),IF(_xlpm.custom="",_xlfn.XLOOKUP(F410,Data!A:A,Data!B:B),_xlpm.custom))</f>
        <v>TM081</v>
      </c>
      <c r="H410" t="str">
        <f>_xlfn.XLOOKUP(C410,Data!A:A,Data!E:E)</f>
        <v>TM/HM</v>
      </c>
      <c r="J410">
        <f>IF(I410="",C410,_xlfn.XLOOKUP(I410,Data!E:E,Data!A:A,""))</f>
        <v>2</v>
      </c>
      <c r="L410">
        <f t="shared" si="61"/>
        <v>0</v>
      </c>
      <c r="M410">
        <f t="shared" si="62"/>
        <v>0</v>
      </c>
      <c r="N410">
        <f t="shared" si="70"/>
        <v>0</v>
      </c>
      <c r="O410">
        <f t="shared" si="63"/>
        <v>0</v>
      </c>
      <c r="P410">
        <f t="shared" si="64"/>
        <v>0</v>
      </c>
      <c r="R410" t="str">
        <f t="shared" si="65"/>
        <v>00</v>
      </c>
    </row>
    <row r="411" spans="1:18" x14ac:dyDescent="0.4">
      <c r="A411" s="1" t="str">
        <f t="shared" si="68"/>
        <v>0CC</v>
      </c>
      <c r="B411">
        <f t="shared" si="69"/>
        <v>1</v>
      </c>
      <c r="C411">
        <f>VALUE(MID(Hex!$C$2,1+2*HEX2DEC(A411)+B411,1))</f>
        <v>2</v>
      </c>
      <c r="D411" s="1" t="str">
        <f t="shared" si="66"/>
        <v>199</v>
      </c>
      <c r="E411">
        <f>HEX2DEC(MID(Hex!$C$8,1+HEX2DEC(Edit!D411)*2,2))</f>
        <v>0</v>
      </c>
      <c r="F411">
        <f t="shared" si="67"/>
        <v>409</v>
      </c>
      <c r="G411" t="str">
        <f>_xlfn.LET(_xlpm.custom,_xlfn.XLOOKUP(F411,Data!A:A,Data!C:C),IF(_xlpm.custom="",_xlfn.XLOOKUP(F411,Data!A:A,Data!B:B),_xlpm.custom))</f>
        <v>TM082</v>
      </c>
      <c r="H411" t="str">
        <f>_xlfn.XLOOKUP(C411,Data!A:A,Data!E:E)</f>
        <v>TM/HM</v>
      </c>
      <c r="J411">
        <f>IF(I411="",C411,_xlfn.XLOOKUP(I411,Data!E:E,Data!A:A,""))</f>
        <v>2</v>
      </c>
      <c r="L411">
        <f t="shared" si="61"/>
        <v>0</v>
      </c>
      <c r="M411">
        <f t="shared" si="62"/>
        <v>0</v>
      </c>
      <c r="N411">
        <f t="shared" si="70"/>
        <v>0</v>
      </c>
      <c r="O411">
        <f t="shared" si="63"/>
        <v>0</v>
      </c>
      <c r="P411">
        <f t="shared" si="64"/>
        <v>0</v>
      </c>
      <c r="R411" t="str">
        <f t="shared" si="65"/>
        <v>00</v>
      </c>
    </row>
    <row r="412" spans="1:18" x14ac:dyDescent="0.4">
      <c r="A412" s="1" t="str">
        <f t="shared" si="68"/>
        <v>0CD</v>
      </c>
      <c r="B412">
        <f t="shared" si="69"/>
        <v>0</v>
      </c>
      <c r="C412">
        <f>VALUE(MID(Hex!$C$2,1+2*HEX2DEC(A412)+B412,1))</f>
        <v>2</v>
      </c>
      <c r="D412" s="1" t="str">
        <f t="shared" si="66"/>
        <v>19A</v>
      </c>
      <c r="E412">
        <f>HEX2DEC(MID(Hex!$C$8,1+HEX2DEC(Edit!D412)*2,2))</f>
        <v>0</v>
      </c>
      <c r="F412">
        <f t="shared" si="67"/>
        <v>410</v>
      </c>
      <c r="G412" t="str">
        <f>_xlfn.LET(_xlpm.custom,_xlfn.XLOOKUP(F412,Data!A:A,Data!C:C),IF(_xlpm.custom="",_xlfn.XLOOKUP(F412,Data!A:A,Data!B:B),_xlpm.custom))</f>
        <v>TM083</v>
      </c>
      <c r="H412" t="str">
        <f>_xlfn.XLOOKUP(C412,Data!A:A,Data!E:E)</f>
        <v>TM/HM</v>
      </c>
      <c r="J412">
        <f>IF(I412="",C412,_xlfn.XLOOKUP(I412,Data!E:E,Data!A:A,""))</f>
        <v>2</v>
      </c>
      <c r="L412">
        <f t="shared" si="61"/>
        <v>0</v>
      </c>
      <c r="M412">
        <f t="shared" si="62"/>
        <v>0</v>
      </c>
      <c r="N412">
        <f t="shared" si="70"/>
        <v>0</v>
      </c>
      <c r="O412">
        <f t="shared" si="63"/>
        <v>0</v>
      </c>
      <c r="P412">
        <f t="shared" si="64"/>
        <v>0</v>
      </c>
      <c r="R412" t="str">
        <f t="shared" si="65"/>
        <v>00</v>
      </c>
    </row>
    <row r="413" spans="1:18" x14ac:dyDescent="0.4">
      <c r="A413" s="1" t="str">
        <f t="shared" si="68"/>
        <v>0CD</v>
      </c>
      <c r="B413">
        <f t="shared" si="69"/>
        <v>1</v>
      </c>
      <c r="C413">
        <f>VALUE(MID(Hex!$C$2,1+2*HEX2DEC(A413)+B413,1))</f>
        <v>2</v>
      </c>
      <c r="D413" s="1" t="str">
        <f t="shared" si="66"/>
        <v>19B</v>
      </c>
      <c r="E413">
        <f>HEX2DEC(MID(Hex!$C$8,1+HEX2DEC(Edit!D413)*2,2))</f>
        <v>0</v>
      </c>
      <c r="F413">
        <f t="shared" si="67"/>
        <v>411</v>
      </c>
      <c r="G413" t="str">
        <f>_xlfn.LET(_xlpm.custom,_xlfn.XLOOKUP(F413,Data!A:A,Data!C:C),IF(_xlpm.custom="",_xlfn.XLOOKUP(F413,Data!A:A,Data!B:B),_xlpm.custom))</f>
        <v>TM084</v>
      </c>
      <c r="H413" t="str">
        <f>_xlfn.XLOOKUP(C413,Data!A:A,Data!E:E)</f>
        <v>TM/HM</v>
      </c>
      <c r="J413">
        <f>IF(I413="",C413,_xlfn.XLOOKUP(I413,Data!E:E,Data!A:A,""))</f>
        <v>2</v>
      </c>
      <c r="L413">
        <f t="shared" si="61"/>
        <v>0</v>
      </c>
      <c r="M413">
        <f t="shared" si="62"/>
        <v>0</v>
      </c>
      <c r="N413">
        <f t="shared" si="70"/>
        <v>0</v>
      </c>
      <c r="O413">
        <f t="shared" si="63"/>
        <v>0</v>
      </c>
      <c r="P413">
        <f t="shared" si="64"/>
        <v>0</v>
      </c>
      <c r="R413" t="str">
        <f t="shared" si="65"/>
        <v>00</v>
      </c>
    </row>
    <row r="414" spans="1:18" x14ac:dyDescent="0.4">
      <c r="A414" s="1" t="str">
        <f t="shared" si="68"/>
        <v>0CE</v>
      </c>
      <c r="B414">
        <f t="shared" si="69"/>
        <v>0</v>
      </c>
      <c r="C414">
        <f>VALUE(MID(Hex!$C$2,1+2*HEX2DEC(A414)+B414,1))</f>
        <v>2</v>
      </c>
      <c r="D414" s="1" t="str">
        <f t="shared" si="66"/>
        <v>19C</v>
      </c>
      <c r="E414">
        <f>HEX2DEC(MID(Hex!$C$8,1+HEX2DEC(Edit!D414)*2,2))</f>
        <v>0</v>
      </c>
      <c r="F414">
        <f t="shared" si="67"/>
        <v>412</v>
      </c>
      <c r="G414" t="str">
        <f>_xlfn.LET(_xlpm.custom,_xlfn.XLOOKUP(F414,Data!A:A,Data!C:C),IF(_xlpm.custom="",_xlfn.XLOOKUP(F414,Data!A:A,Data!B:B),_xlpm.custom))</f>
        <v>TM085</v>
      </c>
      <c r="H414" t="str">
        <f>_xlfn.XLOOKUP(C414,Data!A:A,Data!E:E)</f>
        <v>TM/HM</v>
      </c>
      <c r="J414">
        <f>IF(I414="",C414,_xlfn.XLOOKUP(I414,Data!E:E,Data!A:A,""))</f>
        <v>2</v>
      </c>
      <c r="L414">
        <f t="shared" si="61"/>
        <v>0</v>
      </c>
      <c r="M414">
        <f t="shared" si="62"/>
        <v>0</v>
      </c>
      <c r="N414">
        <f t="shared" si="70"/>
        <v>0</v>
      </c>
      <c r="O414">
        <f t="shared" si="63"/>
        <v>0</v>
      </c>
      <c r="P414">
        <f t="shared" si="64"/>
        <v>0</v>
      </c>
      <c r="R414" t="str">
        <f t="shared" si="65"/>
        <v>00</v>
      </c>
    </row>
    <row r="415" spans="1:18" x14ac:dyDescent="0.4">
      <c r="A415" s="1" t="str">
        <f t="shared" si="68"/>
        <v>0CE</v>
      </c>
      <c r="B415">
        <f t="shared" si="69"/>
        <v>1</v>
      </c>
      <c r="C415">
        <f>VALUE(MID(Hex!$C$2,1+2*HEX2DEC(A415)+B415,1))</f>
        <v>2</v>
      </c>
      <c r="D415" s="1" t="str">
        <f t="shared" si="66"/>
        <v>19D</v>
      </c>
      <c r="E415">
        <f>HEX2DEC(MID(Hex!$C$8,1+HEX2DEC(Edit!D415)*2,2))</f>
        <v>0</v>
      </c>
      <c r="F415">
        <f t="shared" si="67"/>
        <v>413</v>
      </c>
      <c r="G415" t="str">
        <f>_xlfn.LET(_xlpm.custom,_xlfn.XLOOKUP(F415,Data!A:A,Data!C:C),IF(_xlpm.custom="",_xlfn.XLOOKUP(F415,Data!A:A,Data!B:B),_xlpm.custom))</f>
        <v>TM086</v>
      </c>
      <c r="H415" t="str">
        <f>_xlfn.XLOOKUP(C415,Data!A:A,Data!E:E)</f>
        <v>TM/HM</v>
      </c>
      <c r="J415">
        <f>IF(I415="",C415,_xlfn.XLOOKUP(I415,Data!E:E,Data!A:A,""))</f>
        <v>2</v>
      </c>
      <c r="L415">
        <f t="shared" si="61"/>
        <v>0</v>
      </c>
      <c r="M415">
        <f t="shared" si="62"/>
        <v>0</v>
      </c>
      <c r="N415">
        <f t="shared" si="70"/>
        <v>0</v>
      </c>
      <c r="O415">
        <f t="shared" si="63"/>
        <v>0</v>
      </c>
      <c r="P415">
        <f t="shared" si="64"/>
        <v>0</v>
      </c>
      <c r="R415" t="str">
        <f t="shared" si="65"/>
        <v>00</v>
      </c>
    </row>
    <row r="416" spans="1:18" x14ac:dyDescent="0.4">
      <c r="A416" s="1" t="str">
        <f t="shared" si="68"/>
        <v>0CF</v>
      </c>
      <c r="B416">
        <f t="shared" si="69"/>
        <v>0</v>
      </c>
      <c r="C416">
        <f>VALUE(MID(Hex!$C$2,1+2*HEX2DEC(A416)+B416,1))</f>
        <v>2</v>
      </c>
      <c r="D416" s="1" t="str">
        <f t="shared" si="66"/>
        <v>19E</v>
      </c>
      <c r="E416">
        <f>HEX2DEC(MID(Hex!$C$8,1+HEX2DEC(Edit!D416)*2,2))</f>
        <v>0</v>
      </c>
      <c r="F416">
        <f t="shared" si="67"/>
        <v>414</v>
      </c>
      <c r="G416" t="str">
        <f>_xlfn.LET(_xlpm.custom,_xlfn.XLOOKUP(F416,Data!A:A,Data!C:C),IF(_xlpm.custom="",_xlfn.XLOOKUP(F416,Data!A:A,Data!B:B),_xlpm.custom))</f>
        <v>TM087</v>
      </c>
      <c r="H416" t="str">
        <f>_xlfn.XLOOKUP(C416,Data!A:A,Data!E:E)</f>
        <v>TM/HM</v>
      </c>
      <c r="J416">
        <f>IF(I416="",C416,_xlfn.XLOOKUP(I416,Data!E:E,Data!A:A,""))</f>
        <v>2</v>
      </c>
      <c r="L416">
        <f t="shared" si="61"/>
        <v>0</v>
      </c>
      <c r="M416">
        <f t="shared" si="62"/>
        <v>0</v>
      </c>
      <c r="N416">
        <f t="shared" si="70"/>
        <v>0</v>
      </c>
      <c r="O416">
        <f t="shared" si="63"/>
        <v>0</v>
      </c>
      <c r="P416">
        <f t="shared" si="64"/>
        <v>0</v>
      </c>
      <c r="R416" t="str">
        <f t="shared" si="65"/>
        <v>00</v>
      </c>
    </row>
    <row r="417" spans="1:18" x14ac:dyDescent="0.4">
      <c r="A417" s="1" t="str">
        <f t="shared" si="68"/>
        <v>0CF</v>
      </c>
      <c r="B417">
        <f t="shared" si="69"/>
        <v>1</v>
      </c>
      <c r="C417">
        <f>VALUE(MID(Hex!$C$2,1+2*HEX2DEC(A417)+B417,1))</f>
        <v>2</v>
      </c>
      <c r="D417" s="1" t="str">
        <f t="shared" si="66"/>
        <v>19F</v>
      </c>
      <c r="E417">
        <f>HEX2DEC(MID(Hex!$C$8,1+HEX2DEC(Edit!D417)*2,2))</f>
        <v>0</v>
      </c>
      <c r="F417">
        <f t="shared" si="67"/>
        <v>415</v>
      </c>
      <c r="G417" t="str">
        <f>_xlfn.LET(_xlpm.custom,_xlfn.XLOOKUP(F417,Data!A:A,Data!C:C),IF(_xlpm.custom="",_xlfn.XLOOKUP(F417,Data!A:A,Data!B:B),_xlpm.custom))</f>
        <v>TM088</v>
      </c>
      <c r="H417" t="str">
        <f>_xlfn.XLOOKUP(C417,Data!A:A,Data!E:E)</f>
        <v>TM/HM</v>
      </c>
      <c r="J417">
        <f>IF(I417="",C417,_xlfn.XLOOKUP(I417,Data!E:E,Data!A:A,""))</f>
        <v>2</v>
      </c>
      <c r="L417">
        <f t="shared" si="61"/>
        <v>0</v>
      </c>
      <c r="M417">
        <f t="shared" si="62"/>
        <v>0</v>
      </c>
      <c r="N417">
        <f t="shared" si="70"/>
        <v>0</v>
      </c>
      <c r="O417">
        <f t="shared" si="63"/>
        <v>0</v>
      </c>
      <c r="P417">
        <f t="shared" si="64"/>
        <v>0</v>
      </c>
      <c r="R417" t="str">
        <f t="shared" si="65"/>
        <v>00</v>
      </c>
    </row>
    <row r="418" spans="1:18" x14ac:dyDescent="0.4">
      <c r="A418" s="1" t="str">
        <f t="shared" si="68"/>
        <v>0D0</v>
      </c>
      <c r="B418">
        <f t="shared" si="69"/>
        <v>0</v>
      </c>
      <c r="C418">
        <f>VALUE(MID(Hex!$C$2,1+2*HEX2DEC(A418)+B418,1))</f>
        <v>2</v>
      </c>
      <c r="D418" s="1" t="str">
        <f t="shared" si="66"/>
        <v>1A0</v>
      </c>
      <c r="E418">
        <f>HEX2DEC(MID(Hex!$C$8,1+HEX2DEC(Edit!D418)*2,2))</f>
        <v>0</v>
      </c>
      <c r="F418">
        <f t="shared" si="67"/>
        <v>416</v>
      </c>
      <c r="G418" t="str">
        <f>_xlfn.LET(_xlpm.custom,_xlfn.XLOOKUP(F418,Data!A:A,Data!C:C),IF(_xlpm.custom="",_xlfn.XLOOKUP(F418,Data!A:A,Data!B:B),_xlpm.custom))</f>
        <v>TM089</v>
      </c>
      <c r="H418" t="str">
        <f>_xlfn.XLOOKUP(C418,Data!A:A,Data!E:E)</f>
        <v>TM/HM</v>
      </c>
      <c r="J418">
        <f>IF(I418="",C418,_xlfn.XLOOKUP(I418,Data!E:E,Data!A:A,""))</f>
        <v>2</v>
      </c>
      <c r="L418">
        <f t="shared" si="61"/>
        <v>0</v>
      </c>
      <c r="M418">
        <f t="shared" si="62"/>
        <v>0</v>
      </c>
      <c r="N418">
        <f t="shared" si="70"/>
        <v>0</v>
      </c>
      <c r="O418">
        <f t="shared" si="63"/>
        <v>0</v>
      </c>
      <c r="P418">
        <f t="shared" si="64"/>
        <v>0</v>
      </c>
      <c r="R418" t="str">
        <f t="shared" si="65"/>
        <v>00</v>
      </c>
    </row>
    <row r="419" spans="1:18" x14ac:dyDescent="0.4">
      <c r="A419" s="1" t="str">
        <f t="shared" si="68"/>
        <v>0D0</v>
      </c>
      <c r="B419">
        <f t="shared" si="69"/>
        <v>1</v>
      </c>
      <c r="C419">
        <f>VALUE(MID(Hex!$C$2,1+2*HEX2DEC(A419)+B419,1))</f>
        <v>2</v>
      </c>
      <c r="D419" s="1" t="str">
        <f t="shared" si="66"/>
        <v>1A1</v>
      </c>
      <c r="E419">
        <f>HEX2DEC(MID(Hex!$C$8,1+HEX2DEC(Edit!D419)*2,2))</f>
        <v>0</v>
      </c>
      <c r="F419">
        <f t="shared" si="67"/>
        <v>417</v>
      </c>
      <c r="G419" t="str">
        <f>_xlfn.LET(_xlpm.custom,_xlfn.XLOOKUP(F419,Data!A:A,Data!C:C),IF(_xlpm.custom="",_xlfn.XLOOKUP(F419,Data!A:A,Data!B:B),_xlpm.custom))</f>
        <v>TM090</v>
      </c>
      <c r="H419" t="str">
        <f>_xlfn.XLOOKUP(C419,Data!A:A,Data!E:E)</f>
        <v>TM/HM</v>
      </c>
      <c r="J419">
        <f>IF(I419="",C419,_xlfn.XLOOKUP(I419,Data!E:E,Data!A:A,""))</f>
        <v>2</v>
      </c>
      <c r="L419">
        <f t="shared" si="61"/>
        <v>0</v>
      </c>
      <c r="M419">
        <f t="shared" si="62"/>
        <v>0</v>
      </c>
      <c r="N419">
        <f t="shared" si="70"/>
        <v>0</v>
      </c>
      <c r="O419">
        <f t="shared" si="63"/>
        <v>0</v>
      </c>
      <c r="P419">
        <f t="shared" si="64"/>
        <v>0</v>
      </c>
      <c r="R419" t="str">
        <f t="shared" si="65"/>
        <v>00</v>
      </c>
    </row>
    <row r="420" spans="1:18" x14ac:dyDescent="0.4">
      <c r="A420" s="1" t="str">
        <f t="shared" si="68"/>
        <v>0D1</v>
      </c>
      <c r="B420">
        <f t="shared" si="69"/>
        <v>0</v>
      </c>
      <c r="C420">
        <f>VALUE(MID(Hex!$C$2,1+2*HEX2DEC(A420)+B420,1))</f>
        <v>2</v>
      </c>
      <c r="D420" s="1" t="str">
        <f t="shared" si="66"/>
        <v>1A2</v>
      </c>
      <c r="E420">
        <f>HEX2DEC(MID(Hex!$C$8,1+HEX2DEC(Edit!D420)*2,2))</f>
        <v>0</v>
      </c>
      <c r="F420">
        <f t="shared" si="67"/>
        <v>418</v>
      </c>
      <c r="G420" t="str">
        <f>_xlfn.LET(_xlpm.custom,_xlfn.XLOOKUP(F420,Data!A:A,Data!C:C),IF(_xlpm.custom="",_xlfn.XLOOKUP(F420,Data!A:A,Data!B:B),_xlpm.custom))</f>
        <v>TM091</v>
      </c>
      <c r="H420" t="str">
        <f>_xlfn.XLOOKUP(C420,Data!A:A,Data!E:E)</f>
        <v>TM/HM</v>
      </c>
      <c r="J420">
        <f>IF(I420="",C420,_xlfn.XLOOKUP(I420,Data!E:E,Data!A:A,""))</f>
        <v>2</v>
      </c>
      <c r="L420">
        <f t="shared" si="61"/>
        <v>0</v>
      </c>
      <c r="M420">
        <f t="shared" si="62"/>
        <v>0</v>
      </c>
      <c r="N420">
        <f t="shared" si="70"/>
        <v>0</v>
      </c>
      <c r="O420">
        <f t="shared" si="63"/>
        <v>0</v>
      </c>
      <c r="P420">
        <f t="shared" si="64"/>
        <v>0</v>
      </c>
      <c r="R420" t="str">
        <f t="shared" si="65"/>
        <v>00</v>
      </c>
    </row>
    <row r="421" spans="1:18" x14ac:dyDescent="0.4">
      <c r="A421" s="1" t="str">
        <f t="shared" si="68"/>
        <v>0D1</v>
      </c>
      <c r="B421">
        <f t="shared" si="69"/>
        <v>1</v>
      </c>
      <c r="C421">
        <f>VALUE(MID(Hex!$C$2,1+2*HEX2DEC(A421)+B421,1))</f>
        <v>2</v>
      </c>
      <c r="D421" s="1" t="str">
        <f t="shared" si="66"/>
        <v>1A3</v>
      </c>
      <c r="E421">
        <f>HEX2DEC(MID(Hex!$C$8,1+HEX2DEC(Edit!D421)*2,2))</f>
        <v>0</v>
      </c>
      <c r="F421">
        <f t="shared" si="67"/>
        <v>419</v>
      </c>
      <c r="G421" t="str">
        <f>_xlfn.LET(_xlpm.custom,_xlfn.XLOOKUP(F421,Data!A:A,Data!C:C),IF(_xlpm.custom="",_xlfn.XLOOKUP(F421,Data!A:A,Data!B:B),_xlpm.custom))</f>
        <v>TM092</v>
      </c>
      <c r="H421" t="str">
        <f>_xlfn.XLOOKUP(C421,Data!A:A,Data!E:E)</f>
        <v>TM/HM</v>
      </c>
      <c r="J421">
        <f>IF(I421="",C421,_xlfn.XLOOKUP(I421,Data!E:E,Data!A:A,""))</f>
        <v>2</v>
      </c>
      <c r="L421">
        <f t="shared" si="61"/>
        <v>0</v>
      </c>
      <c r="M421">
        <f t="shared" si="62"/>
        <v>0</v>
      </c>
      <c r="N421">
        <f t="shared" si="70"/>
        <v>0</v>
      </c>
      <c r="O421">
        <f t="shared" si="63"/>
        <v>0</v>
      </c>
      <c r="P421">
        <f t="shared" si="64"/>
        <v>0</v>
      </c>
      <c r="R421" t="str">
        <f t="shared" si="65"/>
        <v>00</v>
      </c>
    </row>
    <row r="422" spans="1:18" x14ac:dyDescent="0.4">
      <c r="A422" s="1" t="str">
        <f t="shared" si="68"/>
        <v>0D2</v>
      </c>
      <c r="B422">
        <f t="shared" si="69"/>
        <v>0</v>
      </c>
      <c r="C422">
        <f>VALUE(MID(Hex!$C$2,1+2*HEX2DEC(A422)+B422,1))</f>
        <v>2</v>
      </c>
      <c r="D422" s="1" t="str">
        <f t="shared" si="66"/>
        <v>1A4</v>
      </c>
      <c r="E422">
        <f>HEX2DEC(MID(Hex!$C$8,1+HEX2DEC(Edit!D422)*2,2))</f>
        <v>0</v>
      </c>
      <c r="F422">
        <f t="shared" si="67"/>
        <v>420</v>
      </c>
      <c r="G422" t="str">
        <f>_xlfn.LET(_xlpm.custom,_xlfn.XLOOKUP(F422,Data!A:A,Data!C:C),IF(_xlpm.custom="",_xlfn.XLOOKUP(F422,Data!A:A,Data!B:B),_xlpm.custom))</f>
        <v>TM101</v>
      </c>
      <c r="H422" t="str">
        <f>_xlfn.XLOOKUP(C422,Data!A:A,Data!E:E)</f>
        <v>TM/HM</v>
      </c>
      <c r="J422">
        <f>IF(I422="",C422,_xlfn.XLOOKUP(I422,Data!E:E,Data!A:A,""))</f>
        <v>2</v>
      </c>
      <c r="L422">
        <f t="shared" si="61"/>
        <v>0</v>
      </c>
      <c r="M422">
        <f t="shared" si="62"/>
        <v>0</v>
      </c>
      <c r="N422">
        <f t="shared" si="70"/>
        <v>0</v>
      </c>
      <c r="O422">
        <f t="shared" si="63"/>
        <v>0</v>
      </c>
      <c r="P422">
        <f t="shared" si="64"/>
        <v>0</v>
      </c>
      <c r="R422" t="str">
        <f t="shared" si="65"/>
        <v>00</v>
      </c>
    </row>
    <row r="423" spans="1:18" x14ac:dyDescent="0.4">
      <c r="A423" s="1" t="str">
        <f t="shared" si="68"/>
        <v>0D2</v>
      </c>
      <c r="B423">
        <f t="shared" si="69"/>
        <v>1</v>
      </c>
      <c r="C423">
        <f>VALUE(MID(Hex!$C$2,1+2*HEX2DEC(A423)+B423,1))</f>
        <v>2</v>
      </c>
      <c r="D423" s="1" t="str">
        <f t="shared" si="66"/>
        <v>1A5</v>
      </c>
      <c r="E423">
        <f>HEX2DEC(MID(Hex!$C$8,1+HEX2DEC(Edit!D423)*2,2))</f>
        <v>0</v>
      </c>
      <c r="F423">
        <f t="shared" si="67"/>
        <v>421</v>
      </c>
      <c r="G423" t="str">
        <f>_xlfn.LET(_xlpm.custom,_xlfn.XLOOKUP(F423,Data!A:A,Data!C:C),IF(_xlpm.custom="",_xlfn.XLOOKUP(F423,Data!A:A,Data!B:B),_xlpm.custom))</f>
        <v>TM102</v>
      </c>
      <c r="H423" t="str">
        <f>_xlfn.XLOOKUP(C423,Data!A:A,Data!E:E)</f>
        <v>TM/HM</v>
      </c>
      <c r="J423">
        <f>IF(I423="",C423,_xlfn.XLOOKUP(I423,Data!E:E,Data!A:A,""))</f>
        <v>2</v>
      </c>
      <c r="L423">
        <f t="shared" si="61"/>
        <v>0</v>
      </c>
      <c r="M423">
        <f t="shared" si="62"/>
        <v>0</v>
      </c>
      <c r="N423">
        <f t="shared" si="70"/>
        <v>0</v>
      </c>
      <c r="O423">
        <f t="shared" si="63"/>
        <v>0</v>
      </c>
      <c r="P423">
        <f t="shared" si="64"/>
        <v>0</v>
      </c>
      <c r="R423" t="str">
        <f t="shared" si="65"/>
        <v>00</v>
      </c>
    </row>
    <row r="424" spans="1:18" x14ac:dyDescent="0.4">
      <c r="A424" s="1" t="str">
        <f t="shared" si="68"/>
        <v>0D3</v>
      </c>
      <c r="B424">
        <f t="shared" si="69"/>
        <v>0</v>
      </c>
      <c r="C424">
        <f>VALUE(MID(Hex!$C$2,1+2*HEX2DEC(A424)+B424,1))</f>
        <v>2</v>
      </c>
      <c r="D424" s="1" t="str">
        <f t="shared" si="66"/>
        <v>1A6</v>
      </c>
      <c r="E424">
        <f>HEX2DEC(MID(Hex!$C$8,1+HEX2DEC(Edit!D424)*2,2))</f>
        <v>0</v>
      </c>
      <c r="F424">
        <f t="shared" si="67"/>
        <v>422</v>
      </c>
      <c r="G424" t="str">
        <f>_xlfn.LET(_xlpm.custom,_xlfn.XLOOKUP(F424,Data!A:A,Data!C:C),IF(_xlpm.custom="",_xlfn.XLOOKUP(F424,Data!A:A,Data!B:B),_xlpm.custom))</f>
        <v>TM103</v>
      </c>
      <c r="H424" t="str">
        <f>_xlfn.XLOOKUP(C424,Data!A:A,Data!E:E)</f>
        <v>TM/HM</v>
      </c>
      <c r="J424">
        <f>IF(I424="",C424,_xlfn.XLOOKUP(I424,Data!E:E,Data!A:A,""))</f>
        <v>2</v>
      </c>
      <c r="L424">
        <f t="shared" si="61"/>
        <v>0</v>
      </c>
      <c r="M424">
        <f t="shared" si="62"/>
        <v>0</v>
      </c>
      <c r="N424">
        <f t="shared" si="70"/>
        <v>0</v>
      </c>
      <c r="O424">
        <f t="shared" si="63"/>
        <v>0</v>
      </c>
      <c r="P424">
        <f t="shared" si="64"/>
        <v>0</v>
      </c>
      <c r="R424" t="str">
        <f t="shared" si="65"/>
        <v>00</v>
      </c>
    </row>
    <row r="425" spans="1:18" x14ac:dyDescent="0.4">
      <c r="A425" s="1" t="str">
        <f t="shared" si="68"/>
        <v>0D3</v>
      </c>
      <c r="B425">
        <f t="shared" si="69"/>
        <v>1</v>
      </c>
      <c r="C425">
        <f>VALUE(MID(Hex!$C$2,1+2*HEX2DEC(A425)+B425,1))</f>
        <v>2</v>
      </c>
      <c r="D425" s="1" t="str">
        <f t="shared" si="66"/>
        <v>1A7</v>
      </c>
      <c r="E425">
        <f>HEX2DEC(MID(Hex!$C$8,1+HEX2DEC(Edit!D425)*2,2))</f>
        <v>0</v>
      </c>
      <c r="F425">
        <f t="shared" si="67"/>
        <v>423</v>
      </c>
      <c r="G425" t="str">
        <f>_xlfn.LET(_xlpm.custom,_xlfn.XLOOKUP(F425,Data!A:A,Data!C:C),IF(_xlpm.custom="",_xlfn.XLOOKUP(F425,Data!A:A,Data!B:B),_xlpm.custom))</f>
        <v>TM104</v>
      </c>
      <c r="H425" t="str">
        <f>_xlfn.XLOOKUP(C425,Data!A:A,Data!E:E)</f>
        <v>TM/HM</v>
      </c>
      <c r="J425">
        <f>IF(I425="",C425,_xlfn.XLOOKUP(I425,Data!E:E,Data!A:A,""))</f>
        <v>2</v>
      </c>
      <c r="L425">
        <f t="shared" si="61"/>
        <v>0</v>
      </c>
      <c r="M425">
        <f t="shared" si="62"/>
        <v>0</v>
      </c>
      <c r="N425">
        <f t="shared" si="70"/>
        <v>0</v>
      </c>
      <c r="O425">
        <f t="shared" si="63"/>
        <v>0</v>
      </c>
      <c r="P425">
        <f t="shared" si="64"/>
        <v>0</v>
      </c>
      <c r="R425" t="str">
        <f t="shared" si="65"/>
        <v>00</v>
      </c>
    </row>
    <row r="426" spans="1:18" x14ac:dyDescent="0.4">
      <c r="A426" s="1" t="str">
        <f t="shared" si="68"/>
        <v>0D4</v>
      </c>
      <c r="B426">
        <f t="shared" si="69"/>
        <v>0</v>
      </c>
      <c r="C426">
        <f>VALUE(MID(Hex!$C$2,1+2*HEX2DEC(A426)+B426,1))</f>
        <v>2</v>
      </c>
      <c r="D426" s="1" t="str">
        <f t="shared" si="66"/>
        <v>1A8</v>
      </c>
      <c r="E426">
        <f>HEX2DEC(MID(Hex!$C$8,1+HEX2DEC(Edit!D426)*2,2))</f>
        <v>0</v>
      </c>
      <c r="F426">
        <f t="shared" si="67"/>
        <v>424</v>
      </c>
      <c r="G426" t="str">
        <f>_xlfn.LET(_xlpm.custom,_xlfn.XLOOKUP(F426,Data!A:A,Data!C:C),IF(_xlpm.custom="",_xlfn.XLOOKUP(F426,Data!A:A,Data!B:B),_xlpm.custom))</f>
        <v>TM105</v>
      </c>
      <c r="H426" t="str">
        <f>_xlfn.XLOOKUP(C426,Data!A:A,Data!E:E)</f>
        <v>TM/HM</v>
      </c>
      <c r="J426">
        <f>IF(I426="",C426,_xlfn.XLOOKUP(I426,Data!E:E,Data!A:A,""))</f>
        <v>2</v>
      </c>
      <c r="L426">
        <f t="shared" si="61"/>
        <v>0</v>
      </c>
      <c r="M426">
        <f t="shared" si="62"/>
        <v>0</v>
      </c>
      <c r="N426">
        <f t="shared" si="70"/>
        <v>0</v>
      </c>
      <c r="O426">
        <f t="shared" si="63"/>
        <v>0</v>
      </c>
      <c r="P426">
        <f t="shared" si="64"/>
        <v>0</v>
      </c>
      <c r="R426" t="str">
        <f t="shared" si="65"/>
        <v>00</v>
      </c>
    </row>
    <row r="427" spans="1:18" x14ac:dyDescent="0.4">
      <c r="A427" s="1" t="str">
        <f t="shared" si="68"/>
        <v>0D4</v>
      </c>
      <c r="B427">
        <f t="shared" si="69"/>
        <v>1</v>
      </c>
      <c r="C427">
        <f>VALUE(MID(Hex!$C$2,1+2*HEX2DEC(A427)+B427,1))</f>
        <v>2</v>
      </c>
      <c r="D427" s="1" t="str">
        <f t="shared" si="66"/>
        <v>1A9</v>
      </c>
      <c r="E427">
        <f>HEX2DEC(MID(Hex!$C$8,1+HEX2DEC(Edit!D427)*2,2))</f>
        <v>0</v>
      </c>
      <c r="F427">
        <f t="shared" si="67"/>
        <v>425</v>
      </c>
      <c r="G427" t="str">
        <f>_xlfn.LET(_xlpm.custom,_xlfn.XLOOKUP(F427,Data!A:A,Data!C:C),IF(_xlpm.custom="",_xlfn.XLOOKUP(F427,Data!A:A,Data!B:B),_xlpm.custom))</f>
        <v>TM106</v>
      </c>
      <c r="H427" t="str">
        <f>_xlfn.XLOOKUP(C427,Data!A:A,Data!E:E)</f>
        <v>TM/HM</v>
      </c>
      <c r="J427">
        <f>IF(I427="",C427,_xlfn.XLOOKUP(I427,Data!E:E,Data!A:A,""))</f>
        <v>2</v>
      </c>
      <c r="L427">
        <f t="shared" si="61"/>
        <v>0</v>
      </c>
      <c r="M427">
        <f t="shared" si="62"/>
        <v>0</v>
      </c>
      <c r="N427">
        <f t="shared" si="70"/>
        <v>0</v>
      </c>
      <c r="O427">
        <f t="shared" si="63"/>
        <v>0</v>
      </c>
      <c r="P427">
        <f t="shared" si="64"/>
        <v>0</v>
      </c>
      <c r="R427" t="str">
        <f t="shared" si="65"/>
        <v>00</v>
      </c>
    </row>
    <row r="428" spans="1:18" x14ac:dyDescent="0.4">
      <c r="A428" s="1" t="str">
        <f t="shared" si="68"/>
        <v>0D5</v>
      </c>
      <c r="B428">
        <f t="shared" si="69"/>
        <v>0</v>
      </c>
      <c r="C428">
        <f>VALUE(MID(Hex!$C$2,1+2*HEX2DEC(A428)+B428,1))</f>
        <v>0</v>
      </c>
      <c r="D428" s="1" t="str">
        <f t="shared" si="66"/>
        <v>1AA</v>
      </c>
      <c r="E428">
        <f>HEX2DEC(MID(Hex!$C$8,1+HEX2DEC(Edit!D428)*2,2))</f>
        <v>0</v>
      </c>
      <c r="F428">
        <f t="shared" si="67"/>
        <v>426</v>
      </c>
      <c r="G428" t="str">
        <f>_xlfn.LET(_xlpm.custom,_xlfn.XLOOKUP(F428,Data!A:A,Data!C:C),IF(_xlpm.custom="",_xlfn.XLOOKUP(F428,Data!A:A,Data!B:B),_xlpm.custom))</f>
        <v>Throat Spray</v>
      </c>
      <c r="H428" t="str">
        <f>_xlfn.XLOOKUP(C428,Data!A:A,Data!E:E)</f>
        <v>General</v>
      </c>
      <c r="J428">
        <f>IF(I428="",C428,_xlfn.XLOOKUP(I428,Data!E:E,Data!A:A,""))</f>
        <v>0</v>
      </c>
      <c r="L428">
        <f t="shared" si="61"/>
        <v>0</v>
      </c>
      <c r="M428">
        <f t="shared" si="62"/>
        <v>0</v>
      </c>
      <c r="N428">
        <f t="shared" si="70"/>
        <v>0</v>
      </c>
      <c r="O428">
        <f t="shared" si="63"/>
        <v>0</v>
      </c>
      <c r="P428">
        <f t="shared" si="64"/>
        <v>0</v>
      </c>
      <c r="R428" t="str">
        <f t="shared" si="65"/>
        <v>00</v>
      </c>
    </row>
    <row r="429" spans="1:18" x14ac:dyDescent="0.4">
      <c r="A429" s="1" t="str">
        <f t="shared" si="68"/>
        <v>0D5</v>
      </c>
      <c r="B429">
        <f t="shared" si="69"/>
        <v>1</v>
      </c>
      <c r="C429">
        <f>VALUE(MID(Hex!$C$2,1+2*HEX2DEC(A429)+B429,1))</f>
        <v>0</v>
      </c>
      <c r="D429" s="1" t="str">
        <f t="shared" si="66"/>
        <v>1AB</v>
      </c>
      <c r="E429">
        <f>HEX2DEC(MID(Hex!$C$8,1+HEX2DEC(Edit!D429)*2,2))</f>
        <v>0</v>
      </c>
      <c r="F429">
        <f t="shared" si="67"/>
        <v>427</v>
      </c>
      <c r="G429" t="str">
        <f>_xlfn.LET(_xlpm.custom,_xlfn.XLOOKUP(F429,Data!A:A,Data!C:C),IF(_xlpm.custom="",_xlfn.XLOOKUP(F429,Data!A:A,Data!B:B),_xlpm.custom))</f>
        <v>Butterfrinite</v>
      </c>
      <c r="H429" t="str">
        <f>_xlfn.XLOOKUP(C429,Data!A:A,Data!E:E)</f>
        <v>General</v>
      </c>
      <c r="J429">
        <f>IF(I429="",C429,_xlfn.XLOOKUP(I429,Data!E:E,Data!A:A,""))</f>
        <v>0</v>
      </c>
      <c r="L429">
        <f t="shared" si="61"/>
        <v>0</v>
      </c>
      <c r="M429">
        <f t="shared" si="62"/>
        <v>0</v>
      </c>
      <c r="N429">
        <f t="shared" si="70"/>
        <v>0</v>
      </c>
      <c r="O429">
        <f t="shared" si="63"/>
        <v>0</v>
      </c>
      <c r="P429">
        <f t="shared" si="64"/>
        <v>0</v>
      </c>
      <c r="R429" t="str">
        <f t="shared" si="65"/>
        <v>00</v>
      </c>
    </row>
    <row r="430" spans="1:18" x14ac:dyDescent="0.4">
      <c r="A430" s="1" t="str">
        <f t="shared" si="68"/>
        <v>0D6</v>
      </c>
      <c r="B430">
        <f t="shared" si="69"/>
        <v>0</v>
      </c>
      <c r="C430">
        <f>VALUE(MID(Hex!$C$2,1+2*HEX2DEC(A430)+B430,1))</f>
        <v>4</v>
      </c>
      <c r="D430" s="1" t="str">
        <f t="shared" si="66"/>
        <v>1AC</v>
      </c>
      <c r="E430">
        <f>HEX2DEC(MID(Hex!$C$8,1+HEX2DEC(Edit!D430)*2,2))</f>
        <v>0</v>
      </c>
      <c r="F430">
        <f t="shared" si="67"/>
        <v>428</v>
      </c>
      <c r="G430" t="str">
        <f>_xlfn.LET(_xlpm.custom,_xlfn.XLOOKUP(F430,Data!A:A,Data!C:C),IF(_xlpm.custom="",_xlfn.XLOOKUP(F430,Data!A:A,Data!B:B),_xlpm.custom))</f>
        <v>Explorer Kit</v>
      </c>
      <c r="H430" t="str">
        <f>_xlfn.XLOOKUP(C430,Data!A:A,Data!E:E)</f>
        <v>Key</v>
      </c>
      <c r="J430">
        <f>IF(I430="",C430,_xlfn.XLOOKUP(I430,Data!E:E,Data!A:A,""))</f>
        <v>4</v>
      </c>
      <c r="L430">
        <f t="shared" si="61"/>
        <v>0</v>
      </c>
      <c r="M430">
        <f t="shared" si="62"/>
        <v>0</v>
      </c>
      <c r="N430">
        <f t="shared" si="70"/>
        <v>0</v>
      </c>
      <c r="O430">
        <f t="shared" si="63"/>
        <v>0</v>
      </c>
      <c r="P430">
        <f t="shared" si="64"/>
        <v>0</v>
      </c>
      <c r="R430" t="str">
        <f t="shared" si="65"/>
        <v>00</v>
      </c>
    </row>
    <row r="431" spans="1:18" x14ac:dyDescent="0.4">
      <c r="A431" s="1" t="str">
        <f t="shared" si="68"/>
        <v>0D6</v>
      </c>
      <c r="B431">
        <f t="shared" si="69"/>
        <v>1</v>
      </c>
      <c r="C431">
        <f>VALUE(MID(Hex!$C$2,1+2*HEX2DEC(A431)+B431,1))</f>
        <v>4</v>
      </c>
      <c r="D431" s="1" t="str">
        <f t="shared" si="66"/>
        <v>1AD</v>
      </c>
      <c r="E431">
        <f>HEX2DEC(MID(Hex!$C$8,1+HEX2DEC(Edit!D431)*2,2))</f>
        <v>0</v>
      </c>
      <c r="F431">
        <f t="shared" si="67"/>
        <v>429</v>
      </c>
      <c r="G431" t="str">
        <f>_xlfn.LET(_xlpm.custom,_xlfn.XLOOKUP(F431,Data!A:A,Data!C:C),IF(_xlpm.custom="",_xlfn.XLOOKUP(F431,Data!A:A,Data!B:B),_xlpm.custom))</f>
        <v>Loot Sack</v>
      </c>
      <c r="H431" t="str">
        <f>_xlfn.XLOOKUP(C431,Data!A:A,Data!E:E)</f>
        <v>Key</v>
      </c>
      <c r="J431">
        <f>IF(I431="",C431,_xlfn.XLOOKUP(I431,Data!E:E,Data!A:A,""))</f>
        <v>4</v>
      </c>
      <c r="L431">
        <f t="shared" si="61"/>
        <v>0</v>
      </c>
      <c r="M431">
        <f t="shared" si="62"/>
        <v>0</v>
      </c>
      <c r="N431">
        <f t="shared" si="70"/>
        <v>0</v>
      </c>
      <c r="O431">
        <f t="shared" si="63"/>
        <v>0</v>
      </c>
      <c r="P431">
        <f t="shared" si="64"/>
        <v>0</v>
      </c>
      <c r="R431" t="str">
        <f t="shared" si="65"/>
        <v>00</v>
      </c>
    </row>
    <row r="432" spans="1:18" x14ac:dyDescent="0.4">
      <c r="A432" s="1" t="str">
        <f t="shared" si="68"/>
        <v>0D7</v>
      </c>
      <c r="B432">
        <f t="shared" si="69"/>
        <v>0</v>
      </c>
      <c r="C432">
        <f>VALUE(MID(Hex!$C$2,1+2*HEX2DEC(A432)+B432,1))</f>
        <v>4</v>
      </c>
      <c r="D432" s="1" t="str">
        <f t="shared" si="66"/>
        <v>1AE</v>
      </c>
      <c r="E432">
        <f>HEX2DEC(MID(Hex!$C$8,1+HEX2DEC(Edit!D432)*2,2))</f>
        <v>0</v>
      </c>
      <c r="F432">
        <f t="shared" si="67"/>
        <v>430</v>
      </c>
      <c r="G432" t="str">
        <f>_xlfn.LET(_xlpm.custom,_xlfn.XLOOKUP(F432,Data!A:A,Data!C:C),IF(_xlpm.custom="",_xlfn.XLOOKUP(F432,Data!A:A,Data!B:B),_xlpm.custom))</f>
        <v>Rule Book</v>
      </c>
      <c r="H432" t="str">
        <f>_xlfn.XLOOKUP(C432,Data!A:A,Data!E:E)</f>
        <v>Key</v>
      </c>
      <c r="J432">
        <f>IF(I432="",C432,_xlfn.XLOOKUP(I432,Data!E:E,Data!A:A,""))</f>
        <v>4</v>
      </c>
      <c r="L432">
        <f t="shared" si="61"/>
        <v>0</v>
      </c>
      <c r="M432">
        <f t="shared" si="62"/>
        <v>0</v>
      </c>
      <c r="N432">
        <f t="shared" si="70"/>
        <v>0</v>
      </c>
      <c r="O432">
        <f t="shared" si="63"/>
        <v>0</v>
      </c>
      <c r="P432">
        <f t="shared" si="64"/>
        <v>0</v>
      </c>
      <c r="R432" t="str">
        <f t="shared" si="65"/>
        <v>00</v>
      </c>
    </row>
    <row r="433" spans="1:18" x14ac:dyDescent="0.4">
      <c r="A433" s="1" t="str">
        <f t="shared" si="68"/>
        <v>0D7</v>
      </c>
      <c r="B433">
        <f t="shared" si="69"/>
        <v>1</v>
      </c>
      <c r="C433">
        <f>VALUE(MID(Hex!$C$2,1+2*HEX2DEC(A433)+B433,1))</f>
        <v>4</v>
      </c>
      <c r="D433" s="1" t="str">
        <f t="shared" si="66"/>
        <v>1AF</v>
      </c>
      <c r="E433">
        <f>HEX2DEC(MID(Hex!$C$8,1+HEX2DEC(Edit!D433)*2,2))</f>
        <v>0</v>
      </c>
      <c r="F433">
        <f t="shared" si="67"/>
        <v>431</v>
      </c>
      <c r="G433" t="str">
        <f>_xlfn.LET(_xlpm.custom,_xlfn.XLOOKUP(F433,Data!A:A,Data!C:C),IF(_xlpm.custom="",_xlfn.XLOOKUP(F433,Data!A:A,Data!B:B),_xlpm.custom))</f>
        <v>Poké Radar</v>
      </c>
      <c r="H433" t="str">
        <f>_xlfn.XLOOKUP(C433,Data!A:A,Data!E:E)</f>
        <v>Key</v>
      </c>
      <c r="J433">
        <f>IF(I433="",C433,_xlfn.XLOOKUP(I433,Data!E:E,Data!A:A,""))</f>
        <v>4</v>
      </c>
      <c r="L433">
        <f t="shared" si="61"/>
        <v>0</v>
      </c>
      <c r="M433">
        <f t="shared" si="62"/>
        <v>0</v>
      </c>
      <c r="N433">
        <f t="shared" si="70"/>
        <v>0</v>
      </c>
      <c r="O433">
        <f t="shared" si="63"/>
        <v>0</v>
      </c>
      <c r="P433">
        <f t="shared" si="64"/>
        <v>0</v>
      </c>
      <c r="R433" t="str">
        <f t="shared" si="65"/>
        <v>00</v>
      </c>
    </row>
    <row r="434" spans="1:18" x14ac:dyDescent="0.4">
      <c r="A434" s="1" t="str">
        <f t="shared" si="68"/>
        <v>0D8</v>
      </c>
      <c r="B434">
        <f t="shared" si="69"/>
        <v>0</v>
      </c>
      <c r="C434">
        <f>VALUE(MID(Hex!$C$2,1+2*HEX2DEC(A434)+B434,1))</f>
        <v>4</v>
      </c>
      <c r="D434" s="1" t="str">
        <f t="shared" si="66"/>
        <v>1B0</v>
      </c>
      <c r="E434">
        <f>HEX2DEC(MID(Hex!$C$8,1+HEX2DEC(Edit!D434)*2,2))</f>
        <v>0</v>
      </c>
      <c r="F434">
        <f t="shared" si="67"/>
        <v>432</v>
      </c>
      <c r="G434" t="str">
        <f>_xlfn.LET(_xlpm.custom,_xlfn.XLOOKUP(F434,Data!A:A,Data!C:C),IF(_xlpm.custom="",_xlfn.XLOOKUP(F434,Data!A:A,Data!B:B),_xlpm.custom))</f>
        <v>Point Card</v>
      </c>
      <c r="H434" t="str">
        <f>_xlfn.XLOOKUP(C434,Data!A:A,Data!E:E)</f>
        <v>Key</v>
      </c>
      <c r="J434">
        <f>IF(I434="",C434,_xlfn.XLOOKUP(I434,Data!E:E,Data!A:A,""))</f>
        <v>4</v>
      </c>
      <c r="L434">
        <f t="shared" si="61"/>
        <v>0</v>
      </c>
      <c r="M434">
        <f t="shared" si="62"/>
        <v>0</v>
      </c>
      <c r="N434">
        <f t="shared" si="70"/>
        <v>0</v>
      </c>
      <c r="O434">
        <f t="shared" si="63"/>
        <v>0</v>
      </c>
      <c r="P434">
        <f t="shared" si="64"/>
        <v>0</v>
      </c>
      <c r="R434" t="str">
        <f t="shared" si="65"/>
        <v>00</v>
      </c>
    </row>
    <row r="435" spans="1:18" x14ac:dyDescent="0.4">
      <c r="A435" s="1" t="str">
        <f t="shared" si="68"/>
        <v>0D8</v>
      </c>
      <c r="B435">
        <f t="shared" si="69"/>
        <v>1</v>
      </c>
      <c r="C435">
        <f>VALUE(MID(Hex!$C$2,1+2*HEX2DEC(A435)+B435,1))</f>
        <v>4</v>
      </c>
      <c r="D435" s="1" t="str">
        <f t="shared" si="66"/>
        <v>1B1</v>
      </c>
      <c r="E435">
        <f>HEX2DEC(MID(Hex!$C$8,1+HEX2DEC(Edit!D435)*2,2))</f>
        <v>0</v>
      </c>
      <c r="F435">
        <f t="shared" si="67"/>
        <v>433</v>
      </c>
      <c r="G435" t="str">
        <f>_xlfn.LET(_xlpm.custom,_xlfn.XLOOKUP(F435,Data!A:A,Data!C:C),IF(_xlpm.custom="",_xlfn.XLOOKUP(F435,Data!A:A,Data!B:B),_xlpm.custom))</f>
        <v>Journal</v>
      </c>
      <c r="H435" t="str">
        <f>_xlfn.XLOOKUP(C435,Data!A:A,Data!E:E)</f>
        <v>Key</v>
      </c>
      <c r="J435">
        <f>IF(I435="",C435,_xlfn.XLOOKUP(I435,Data!E:E,Data!A:A,""))</f>
        <v>4</v>
      </c>
      <c r="L435">
        <f t="shared" si="61"/>
        <v>0</v>
      </c>
      <c r="M435">
        <f t="shared" si="62"/>
        <v>0</v>
      </c>
      <c r="N435">
        <f t="shared" si="70"/>
        <v>0</v>
      </c>
      <c r="O435">
        <f t="shared" si="63"/>
        <v>0</v>
      </c>
      <c r="P435">
        <f t="shared" si="64"/>
        <v>0</v>
      </c>
      <c r="R435" t="str">
        <f t="shared" si="65"/>
        <v>00</v>
      </c>
    </row>
    <row r="436" spans="1:18" x14ac:dyDescent="0.4">
      <c r="A436" s="1" t="str">
        <f t="shared" si="68"/>
        <v>0D9</v>
      </c>
      <c r="B436">
        <f t="shared" si="69"/>
        <v>0</v>
      </c>
      <c r="C436">
        <f>VALUE(MID(Hex!$C$2,1+2*HEX2DEC(A436)+B436,1))</f>
        <v>4</v>
      </c>
      <c r="D436" s="1" t="str">
        <f t="shared" si="66"/>
        <v>1B2</v>
      </c>
      <c r="E436">
        <f>HEX2DEC(MID(Hex!$C$8,1+HEX2DEC(Edit!D436)*2,2))</f>
        <v>0</v>
      </c>
      <c r="F436">
        <f t="shared" si="67"/>
        <v>434</v>
      </c>
      <c r="G436" t="str">
        <f>_xlfn.LET(_xlpm.custom,_xlfn.XLOOKUP(F436,Data!A:A,Data!C:C),IF(_xlpm.custom="",_xlfn.XLOOKUP(F436,Data!A:A,Data!B:B),_xlpm.custom))</f>
        <v>Seal Case</v>
      </c>
      <c r="H436" t="str">
        <f>_xlfn.XLOOKUP(C436,Data!A:A,Data!E:E)</f>
        <v>Key</v>
      </c>
      <c r="J436">
        <f>IF(I436="",C436,_xlfn.XLOOKUP(I436,Data!E:E,Data!A:A,""))</f>
        <v>4</v>
      </c>
      <c r="L436">
        <f t="shared" si="61"/>
        <v>0</v>
      </c>
      <c r="M436">
        <f t="shared" si="62"/>
        <v>0</v>
      </c>
      <c r="N436">
        <f t="shared" si="70"/>
        <v>0</v>
      </c>
      <c r="O436">
        <f t="shared" si="63"/>
        <v>0</v>
      </c>
      <c r="P436">
        <f t="shared" si="64"/>
        <v>0</v>
      </c>
      <c r="R436" t="str">
        <f t="shared" si="65"/>
        <v>00</v>
      </c>
    </row>
    <row r="437" spans="1:18" x14ac:dyDescent="0.4">
      <c r="A437" s="1" t="str">
        <f t="shared" si="68"/>
        <v>0D9</v>
      </c>
      <c r="B437">
        <f t="shared" si="69"/>
        <v>1</v>
      </c>
      <c r="C437">
        <f>VALUE(MID(Hex!$C$2,1+2*HEX2DEC(A437)+B437,1))</f>
        <v>4</v>
      </c>
      <c r="D437" s="1" t="str">
        <f t="shared" si="66"/>
        <v>1B3</v>
      </c>
      <c r="E437">
        <f>HEX2DEC(MID(Hex!$C$8,1+HEX2DEC(Edit!D437)*2,2))</f>
        <v>0</v>
      </c>
      <c r="F437">
        <f t="shared" si="67"/>
        <v>435</v>
      </c>
      <c r="G437" t="str">
        <f>_xlfn.LET(_xlpm.custom,_xlfn.XLOOKUP(F437,Data!A:A,Data!C:C),IF(_xlpm.custom="",_xlfn.XLOOKUP(F437,Data!A:A,Data!B:B),_xlpm.custom))</f>
        <v>Fashion Case</v>
      </c>
      <c r="H437" t="str">
        <f>_xlfn.XLOOKUP(C437,Data!A:A,Data!E:E)</f>
        <v>Key</v>
      </c>
      <c r="J437">
        <f>IF(I437="",C437,_xlfn.XLOOKUP(I437,Data!E:E,Data!A:A,""))</f>
        <v>4</v>
      </c>
      <c r="L437">
        <f t="shared" si="61"/>
        <v>0</v>
      </c>
      <c r="M437">
        <f t="shared" si="62"/>
        <v>0</v>
      </c>
      <c r="N437">
        <f t="shared" si="70"/>
        <v>0</v>
      </c>
      <c r="O437">
        <f t="shared" si="63"/>
        <v>0</v>
      </c>
      <c r="P437">
        <f t="shared" si="64"/>
        <v>0</v>
      </c>
      <c r="R437" t="str">
        <f t="shared" si="65"/>
        <v>00</v>
      </c>
    </row>
    <row r="438" spans="1:18" x14ac:dyDescent="0.4">
      <c r="A438" s="1" t="str">
        <f t="shared" si="68"/>
        <v>0DA</v>
      </c>
      <c r="B438">
        <f t="shared" si="69"/>
        <v>0</v>
      </c>
      <c r="C438">
        <f>VALUE(MID(Hex!$C$2,1+2*HEX2DEC(A438)+B438,1))</f>
        <v>4</v>
      </c>
      <c r="D438" s="1" t="str">
        <f t="shared" si="66"/>
        <v>1B4</v>
      </c>
      <c r="E438">
        <f>HEX2DEC(MID(Hex!$C$8,1+HEX2DEC(Edit!D438)*2,2))</f>
        <v>0</v>
      </c>
      <c r="F438">
        <f t="shared" si="67"/>
        <v>436</v>
      </c>
      <c r="G438" t="str">
        <f>_xlfn.LET(_xlpm.custom,_xlfn.XLOOKUP(F438,Data!A:A,Data!C:C),IF(_xlpm.custom="",_xlfn.XLOOKUP(F438,Data!A:A,Data!B:B),_xlpm.custom))</f>
        <v>Seal Bag</v>
      </c>
      <c r="H438" t="str">
        <f>_xlfn.XLOOKUP(C438,Data!A:A,Data!E:E)</f>
        <v>Key</v>
      </c>
      <c r="J438">
        <f>IF(I438="",C438,_xlfn.XLOOKUP(I438,Data!E:E,Data!A:A,""))</f>
        <v>4</v>
      </c>
      <c r="L438">
        <f t="shared" si="61"/>
        <v>0</v>
      </c>
      <c r="M438">
        <f t="shared" si="62"/>
        <v>0</v>
      </c>
      <c r="N438">
        <f t="shared" si="70"/>
        <v>0</v>
      </c>
      <c r="O438">
        <f t="shared" si="63"/>
        <v>0</v>
      </c>
      <c r="P438">
        <f t="shared" si="64"/>
        <v>0</v>
      </c>
      <c r="R438" t="str">
        <f t="shared" si="65"/>
        <v>00</v>
      </c>
    </row>
    <row r="439" spans="1:18" x14ac:dyDescent="0.4">
      <c r="A439" s="1" t="str">
        <f t="shared" si="68"/>
        <v>0DA</v>
      </c>
      <c r="B439">
        <f t="shared" si="69"/>
        <v>1</v>
      </c>
      <c r="C439">
        <f>VALUE(MID(Hex!$C$2,1+2*HEX2DEC(A439)+B439,1))</f>
        <v>4</v>
      </c>
      <c r="D439" s="1" t="str">
        <f t="shared" si="66"/>
        <v>1B5</v>
      </c>
      <c r="E439">
        <f>HEX2DEC(MID(Hex!$C$8,1+HEX2DEC(Edit!D439)*2,2))</f>
        <v>0</v>
      </c>
      <c r="F439">
        <f t="shared" si="67"/>
        <v>437</v>
      </c>
      <c r="G439" t="str">
        <f>_xlfn.LET(_xlpm.custom,_xlfn.XLOOKUP(F439,Data!A:A,Data!C:C),IF(_xlpm.custom="",_xlfn.XLOOKUP(F439,Data!A:A,Data!B:B),_xlpm.custom))</f>
        <v>Pal Pad</v>
      </c>
      <c r="H439" t="str">
        <f>_xlfn.XLOOKUP(C439,Data!A:A,Data!E:E)</f>
        <v>Key</v>
      </c>
      <c r="J439">
        <f>IF(I439="",C439,_xlfn.XLOOKUP(I439,Data!E:E,Data!A:A,""))</f>
        <v>4</v>
      </c>
      <c r="L439">
        <f t="shared" si="61"/>
        <v>0</v>
      </c>
      <c r="M439">
        <f t="shared" si="62"/>
        <v>0</v>
      </c>
      <c r="N439">
        <f t="shared" si="70"/>
        <v>0</v>
      </c>
      <c r="O439">
        <f t="shared" si="63"/>
        <v>0</v>
      </c>
      <c r="P439">
        <f t="shared" si="64"/>
        <v>0</v>
      </c>
      <c r="R439" t="str">
        <f t="shared" si="65"/>
        <v>00</v>
      </c>
    </row>
    <row r="440" spans="1:18" x14ac:dyDescent="0.4">
      <c r="A440" s="1" t="str">
        <f t="shared" si="68"/>
        <v>0DB</v>
      </c>
      <c r="B440">
        <f t="shared" si="69"/>
        <v>0</v>
      </c>
      <c r="C440">
        <f>VALUE(MID(Hex!$C$2,1+2*HEX2DEC(A440)+B440,1))</f>
        <v>4</v>
      </c>
      <c r="D440" s="1" t="str">
        <f t="shared" si="66"/>
        <v>1B6</v>
      </c>
      <c r="E440">
        <f>HEX2DEC(MID(Hex!$C$8,1+HEX2DEC(Edit!D440)*2,2))</f>
        <v>0</v>
      </c>
      <c r="F440">
        <f t="shared" si="67"/>
        <v>438</v>
      </c>
      <c r="G440" t="str">
        <f>_xlfn.LET(_xlpm.custom,_xlfn.XLOOKUP(F440,Data!A:A,Data!C:C),IF(_xlpm.custom="",_xlfn.XLOOKUP(F440,Data!A:A,Data!B:B),_xlpm.custom))</f>
        <v>Works Key</v>
      </c>
      <c r="H440" t="str">
        <f>_xlfn.XLOOKUP(C440,Data!A:A,Data!E:E)</f>
        <v>Key</v>
      </c>
      <c r="J440">
        <f>IF(I440="",C440,_xlfn.XLOOKUP(I440,Data!E:E,Data!A:A,""))</f>
        <v>4</v>
      </c>
      <c r="L440">
        <f t="shared" si="61"/>
        <v>0</v>
      </c>
      <c r="M440">
        <f t="shared" si="62"/>
        <v>0</v>
      </c>
      <c r="N440">
        <f t="shared" si="70"/>
        <v>0</v>
      </c>
      <c r="O440">
        <f t="shared" si="63"/>
        <v>0</v>
      </c>
      <c r="P440">
        <f t="shared" si="64"/>
        <v>0</v>
      </c>
      <c r="R440" t="str">
        <f t="shared" si="65"/>
        <v>00</v>
      </c>
    </row>
    <row r="441" spans="1:18" x14ac:dyDescent="0.4">
      <c r="A441" s="1" t="str">
        <f t="shared" si="68"/>
        <v>0DB</v>
      </c>
      <c r="B441">
        <f t="shared" si="69"/>
        <v>1</v>
      </c>
      <c r="C441">
        <f>VALUE(MID(Hex!$C$2,1+2*HEX2DEC(A441)+B441,1))</f>
        <v>4</v>
      </c>
      <c r="D441" s="1" t="str">
        <f t="shared" si="66"/>
        <v>1B7</v>
      </c>
      <c r="E441">
        <f>HEX2DEC(MID(Hex!$C$8,1+HEX2DEC(Edit!D441)*2,2))</f>
        <v>0</v>
      </c>
      <c r="F441">
        <f t="shared" si="67"/>
        <v>439</v>
      </c>
      <c r="G441" t="str">
        <f>_xlfn.LET(_xlpm.custom,_xlfn.XLOOKUP(F441,Data!A:A,Data!C:C),IF(_xlpm.custom="",_xlfn.XLOOKUP(F441,Data!A:A,Data!B:B),_xlpm.custom))</f>
        <v>Old Charm</v>
      </c>
      <c r="H441" t="str">
        <f>_xlfn.XLOOKUP(C441,Data!A:A,Data!E:E)</f>
        <v>Key</v>
      </c>
      <c r="J441">
        <f>IF(I441="",C441,_xlfn.XLOOKUP(I441,Data!E:E,Data!A:A,""))</f>
        <v>4</v>
      </c>
      <c r="L441">
        <f t="shared" si="61"/>
        <v>0</v>
      </c>
      <c r="M441">
        <f t="shared" si="62"/>
        <v>0</v>
      </c>
      <c r="N441">
        <f t="shared" si="70"/>
        <v>0</v>
      </c>
      <c r="O441">
        <f t="shared" si="63"/>
        <v>0</v>
      </c>
      <c r="P441">
        <f t="shared" si="64"/>
        <v>0</v>
      </c>
      <c r="R441" t="str">
        <f t="shared" si="65"/>
        <v>00</v>
      </c>
    </row>
    <row r="442" spans="1:18" x14ac:dyDescent="0.4">
      <c r="A442" s="1" t="str">
        <f t="shared" si="68"/>
        <v>0DC</v>
      </c>
      <c r="B442">
        <f t="shared" si="69"/>
        <v>0</v>
      </c>
      <c r="C442">
        <f>VALUE(MID(Hex!$C$2,1+2*HEX2DEC(A442)+B442,1))</f>
        <v>4</v>
      </c>
      <c r="D442" s="1" t="str">
        <f t="shared" si="66"/>
        <v>1B8</v>
      </c>
      <c r="E442">
        <f>HEX2DEC(MID(Hex!$C$8,1+HEX2DEC(Edit!D442)*2,2))</f>
        <v>0</v>
      </c>
      <c r="F442">
        <f t="shared" si="67"/>
        <v>440</v>
      </c>
      <c r="G442" t="str">
        <f>_xlfn.LET(_xlpm.custom,_xlfn.XLOOKUP(F442,Data!A:A,Data!C:C),IF(_xlpm.custom="",_xlfn.XLOOKUP(F442,Data!A:A,Data!B:B),_xlpm.custom))</f>
        <v>Galactic Key</v>
      </c>
      <c r="H442" t="str">
        <f>_xlfn.XLOOKUP(C442,Data!A:A,Data!E:E)</f>
        <v>Key</v>
      </c>
      <c r="J442">
        <f>IF(I442="",C442,_xlfn.XLOOKUP(I442,Data!E:E,Data!A:A,""))</f>
        <v>4</v>
      </c>
      <c r="L442">
        <f t="shared" si="61"/>
        <v>0</v>
      </c>
      <c r="M442">
        <f t="shared" si="62"/>
        <v>0</v>
      </c>
      <c r="N442">
        <f t="shared" si="70"/>
        <v>0</v>
      </c>
      <c r="O442">
        <f t="shared" si="63"/>
        <v>0</v>
      </c>
      <c r="P442">
        <f t="shared" si="64"/>
        <v>0</v>
      </c>
      <c r="R442" t="str">
        <f t="shared" si="65"/>
        <v>00</v>
      </c>
    </row>
    <row r="443" spans="1:18" x14ac:dyDescent="0.4">
      <c r="A443" s="1" t="str">
        <f t="shared" si="68"/>
        <v>0DC</v>
      </c>
      <c r="B443">
        <f t="shared" si="69"/>
        <v>1</v>
      </c>
      <c r="C443">
        <f>VALUE(MID(Hex!$C$2,1+2*HEX2DEC(A443)+B443,1))</f>
        <v>4</v>
      </c>
      <c r="D443" s="1" t="str">
        <f t="shared" si="66"/>
        <v>1B9</v>
      </c>
      <c r="E443">
        <f>HEX2DEC(MID(Hex!$C$8,1+HEX2DEC(Edit!D443)*2,2))</f>
        <v>0</v>
      </c>
      <c r="F443">
        <f t="shared" si="67"/>
        <v>441</v>
      </c>
      <c r="G443" t="str">
        <f>_xlfn.LET(_xlpm.custom,_xlfn.XLOOKUP(F443,Data!A:A,Data!C:C),IF(_xlpm.custom="",_xlfn.XLOOKUP(F443,Data!A:A,Data!B:B),_xlpm.custom))</f>
        <v>Red Chain</v>
      </c>
      <c r="H443" t="str">
        <f>_xlfn.XLOOKUP(C443,Data!A:A,Data!E:E)</f>
        <v>Key</v>
      </c>
      <c r="J443">
        <f>IF(I443="",C443,_xlfn.XLOOKUP(I443,Data!E:E,Data!A:A,""))</f>
        <v>4</v>
      </c>
      <c r="L443">
        <f t="shared" si="61"/>
        <v>0</v>
      </c>
      <c r="M443">
        <f t="shared" si="62"/>
        <v>0</v>
      </c>
      <c r="N443">
        <f t="shared" si="70"/>
        <v>0</v>
      </c>
      <c r="O443">
        <f t="shared" si="63"/>
        <v>0</v>
      </c>
      <c r="P443">
        <f t="shared" si="64"/>
        <v>0</v>
      </c>
      <c r="R443" t="str">
        <f t="shared" si="65"/>
        <v>00</v>
      </c>
    </row>
    <row r="444" spans="1:18" x14ac:dyDescent="0.4">
      <c r="A444" s="1" t="str">
        <f t="shared" si="68"/>
        <v>0DD</v>
      </c>
      <c r="B444">
        <f t="shared" si="69"/>
        <v>0</v>
      </c>
      <c r="C444">
        <f>VALUE(MID(Hex!$C$2,1+2*HEX2DEC(A444)+B444,1))</f>
        <v>4</v>
      </c>
      <c r="D444" s="1" t="str">
        <f t="shared" si="66"/>
        <v>1BA</v>
      </c>
      <c r="E444">
        <f>HEX2DEC(MID(Hex!$C$8,1+HEX2DEC(Edit!D444)*2,2))</f>
        <v>0</v>
      </c>
      <c r="F444">
        <f t="shared" si="67"/>
        <v>442</v>
      </c>
      <c r="G444" t="str">
        <f>_xlfn.LET(_xlpm.custom,_xlfn.XLOOKUP(F444,Data!A:A,Data!C:C),IF(_xlpm.custom="",_xlfn.XLOOKUP(F444,Data!A:A,Data!B:B),_xlpm.custom))</f>
        <v>Town Map</v>
      </c>
      <c r="H444" t="str">
        <f>_xlfn.XLOOKUP(C444,Data!A:A,Data!E:E)</f>
        <v>Key</v>
      </c>
      <c r="J444">
        <f>IF(I444="",C444,_xlfn.XLOOKUP(I444,Data!E:E,Data!A:A,""))</f>
        <v>4</v>
      </c>
      <c r="L444">
        <f t="shared" si="61"/>
        <v>0</v>
      </c>
      <c r="M444">
        <f t="shared" si="62"/>
        <v>0</v>
      </c>
      <c r="N444">
        <f t="shared" si="70"/>
        <v>0</v>
      </c>
      <c r="O444">
        <f t="shared" si="63"/>
        <v>0</v>
      </c>
      <c r="P444">
        <f t="shared" si="64"/>
        <v>0</v>
      </c>
      <c r="R444" t="str">
        <f t="shared" si="65"/>
        <v>00</v>
      </c>
    </row>
    <row r="445" spans="1:18" x14ac:dyDescent="0.4">
      <c r="A445" s="1" t="str">
        <f t="shared" si="68"/>
        <v>0DD</v>
      </c>
      <c r="B445">
        <f t="shared" si="69"/>
        <v>1</v>
      </c>
      <c r="C445">
        <f>VALUE(MID(Hex!$C$2,1+2*HEX2DEC(A445)+B445,1))</f>
        <v>4</v>
      </c>
      <c r="D445" s="1" t="str">
        <f t="shared" si="66"/>
        <v>1BB</v>
      </c>
      <c r="E445">
        <f>HEX2DEC(MID(Hex!$C$8,1+HEX2DEC(Edit!D445)*2,2))</f>
        <v>0</v>
      </c>
      <c r="F445">
        <f t="shared" si="67"/>
        <v>443</v>
      </c>
      <c r="G445" t="str">
        <f>_xlfn.LET(_xlpm.custom,_xlfn.XLOOKUP(F445,Data!A:A,Data!C:C),IF(_xlpm.custom="",_xlfn.XLOOKUP(F445,Data!A:A,Data!B:B),_xlpm.custom))</f>
        <v>Vs. Seeker</v>
      </c>
      <c r="H445" t="str">
        <f>_xlfn.XLOOKUP(C445,Data!A:A,Data!E:E)</f>
        <v>Key</v>
      </c>
      <c r="J445">
        <f>IF(I445="",C445,_xlfn.XLOOKUP(I445,Data!E:E,Data!A:A,""))</f>
        <v>4</v>
      </c>
      <c r="L445">
        <f t="shared" si="61"/>
        <v>0</v>
      </c>
      <c r="M445">
        <f t="shared" si="62"/>
        <v>0</v>
      </c>
      <c r="N445">
        <f t="shared" si="70"/>
        <v>0</v>
      </c>
      <c r="O445">
        <f t="shared" si="63"/>
        <v>0</v>
      </c>
      <c r="P445">
        <f t="shared" si="64"/>
        <v>0</v>
      </c>
      <c r="R445" t="str">
        <f t="shared" si="65"/>
        <v>00</v>
      </c>
    </row>
    <row r="446" spans="1:18" x14ac:dyDescent="0.4">
      <c r="A446" s="1" t="str">
        <f t="shared" si="68"/>
        <v>0DE</v>
      </c>
      <c r="B446">
        <f t="shared" si="69"/>
        <v>0</v>
      </c>
      <c r="C446">
        <f>VALUE(MID(Hex!$C$2,1+2*HEX2DEC(A446)+B446,1))</f>
        <v>4</v>
      </c>
      <c r="D446" s="1" t="str">
        <f t="shared" si="66"/>
        <v>1BC</v>
      </c>
      <c r="E446">
        <f>HEX2DEC(MID(Hex!$C$8,1+HEX2DEC(Edit!D446)*2,2))</f>
        <v>0</v>
      </c>
      <c r="F446">
        <f t="shared" si="67"/>
        <v>444</v>
      </c>
      <c r="G446" t="str">
        <f>_xlfn.LET(_xlpm.custom,_xlfn.XLOOKUP(F446,Data!A:A,Data!C:C),IF(_xlpm.custom="",_xlfn.XLOOKUP(F446,Data!A:A,Data!B:B),_xlpm.custom))</f>
        <v>Coin Case</v>
      </c>
      <c r="H446" t="str">
        <f>_xlfn.XLOOKUP(C446,Data!A:A,Data!E:E)</f>
        <v>Key</v>
      </c>
      <c r="J446">
        <f>IF(I446="",C446,_xlfn.XLOOKUP(I446,Data!E:E,Data!A:A,""))</f>
        <v>4</v>
      </c>
      <c r="L446">
        <f t="shared" si="61"/>
        <v>0</v>
      </c>
      <c r="M446">
        <f t="shared" si="62"/>
        <v>0</v>
      </c>
      <c r="N446">
        <f t="shared" si="70"/>
        <v>0</v>
      </c>
      <c r="O446">
        <f t="shared" si="63"/>
        <v>0</v>
      </c>
      <c r="P446">
        <f t="shared" si="64"/>
        <v>0</v>
      </c>
      <c r="R446" t="str">
        <f t="shared" si="65"/>
        <v>00</v>
      </c>
    </row>
    <row r="447" spans="1:18" x14ac:dyDescent="0.4">
      <c r="A447" s="1" t="str">
        <f t="shared" si="68"/>
        <v>0DE</v>
      </c>
      <c r="B447">
        <f t="shared" si="69"/>
        <v>1</v>
      </c>
      <c r="C447">
        <f>VALUE(MID(Hex!$C$2,1+2*HEX2DEC(A447)+B447,1))</f>
        <v>4</v>
      </c>
      <c r="D447" s="1" t="str">
        <f t="shared" si="66"/>
        <v>1BD</v>
      </c>
      <c r="E447">
        <f>HEX2DEC(MID(Hex!$C$8,1+HEX2DEC(Edit!D447)*2,2))</f>
        <v>0</v>
      </c>
      <c r="F447">
        <f t="shared" si="67"/>
        <v>445</v>
      </c>
      <c r="G447" t="str">
        <f>_xlfn.LET(_xlpm.custom,_xlfn.XLOOKUP(F447,Data!A:A,Data!C:C),IF(_xlpm.custom="",_xlfn.XLOOKUP(F447,Data!A:A,Data!B:B),_xlpm.custom))</f>
        <v>Old Rod</v>
      </c>
      <c r="H447" t="str">
        <f>_xlfn.XLOOKUP(C447,Data!A:A,Data!E:E)</f>
        <v>Key</v>
      </c>
      <c r="J447">
        <f>IF(I447="",C447,_xlfn.XLOOKUP(I447,Data!E:E,Data!A:A,""))</f>
        <v>4</v>
      </c>
      <c r="L447">
        <f t="shared" si="61"/>
        <v>0</v>
      </c>
      <c r="M447">
        <f t="shared" si="62"/>
        <v>0</v>
      </c>
      <c r="N447">
        <f t="shared" si="70"/>
        <v>0</v>
      </c>
      <c r="O447">
        <f t="shared" si="63"/>
        <v>0</v>
      </c>
      <c r="P447">
        <f t="shared" si="64"/>
        <v>0</v>
      </c>
      <c r="R447" t="str">
        <f t="shared" si="65"/>
        <v>00</v>
      </c>
    </row>
    <row r="448" spans="1:18" x14ac:dyDescent="0.4">
      <c r="A448" s="1" t="str">
        <f t="shared" si="68"/>
        <v>0DF</v>
      </c>
      <c r="B448">
        <f t="shared" si="69"/>
        <v>0</v>
      </c>
      <c r="C448">
        <f>VALUE(MID(Hex!$C$2,1+2*HEX2DEC(A448)+B448,1))</f>
        <v>4</v>
      </c>
      <c r="D448" s="1" t="str">
        <f t="shared" si="66"/>
        <v>1BE</v>
      </c>
      <c r="E448">
        <f>HEX2DEC(MID(Hex!$C$8,1+HEX2DEC(Edit!D448)*2,2))</f>
        <v>0</v>
      </c>
      <c r="F448">
        <f t="shared" si="67"/>
        <v>446</v>
      </c>
      <c r="G448" t="str">
        <f>_xlfn.LET(_xlpm.custom,_xlfn.XLOOKUP(F448,Data!A:A,Data!C:C),IF(_xlpm.custom="",_xlfn.XLOOKUP(F448,Data!A:A,Data!B:B),_xlpm.custom))</f>
        <v>Good Rod</v>
      </c>
      <c r="H448" t="str">
        <f>_xlfn.XLOOKUP(C448,Data!A:A,Data!E:E)</f>
        <v>Key</v>
      </c>
      <c r="J448">
        <f>IF(I448="",C448,_xlfn.XLOOKUP(I448,Data!E:E,Data!A:A,""))</f>
        <v>4</v>
      </c>
      <c r="L448">
        <f t="shared" si="61"/>
        <v>0</v>
      </c>
      <c r="M448">
        <f t="shared" si="62"/>
        <v>0</v>
      </c>
      <c r="N448">
        <f t="shared" si="70"/>
        <v>0</v>
      </c>
      <c r="O448">
        <f t="shared" si="63"/>
        <v>0</v>
      </c>
      <c r="P448">
        <f t="shared" si="64"/>
        <v>0</v>
      </c>
      <c r="R448" t="str">
        <f t="shared" si="65"/>
        <v>00</v>
      </c>
    </row>
    <row r="449" spans="1:18" x14ac:dyDescent="0.4">
      <c r="A449" s="1" t="str">
        <f t="shared" si="68"/>
        <v>0DF</v>
      </c>
      <c r="B449">
        <f t="shared" si="69"/>
        <v>1</v>
      </c>
      <c r="C449">
        <f>VALUE(MID(Hex!$C$2,1+2*HEX2DEC(A449)+B449,1))</f>
        <v>4</v>
      </c>
      <c r="D449" s="1" t="str">
        <f t="shared" si="66"/>
        <v>1BF</v>
      </c>
      <c r="E449">
        <f>HEX2DEC(MID(Hex!$C$8,1+HEX2DEC(Edit!D449)*2,2))</f>
        <v>0</v>
      </c>
      <c r="F449">
        <f t="shared" si="67"/>
        <v>447</v>
      </c>
      <c r="G449" t="str">
        <f>_xlfn.LET(_xlpm.custom,_xlfn.XLOOKUP(F449,Data!A:A,Data!C:C),IF(_xlpm.custom="",_xlfn.XLOOKUP(F449,Data!A:A,Data!B:B),_xlpm.custom))</f>
        <v>Super Rod</v>
      </c>
      <c r="H449" t="str">
        <f>_xlfn.XLOOKUP(C449,Data!A:A,Data!E:E)</f>
        <v>Key</v>
      </c>
      <c r="J449">
        <f>IF(I449="",C449,_xlfn.XLOOKUP(I449,Data!E:E,Data!A:A,""))</f>
        <v>4</v>
      </c>
      <c r="L449">
        <f t="shared" si="61"/>
        <v>0</v>
      </c>
      <c r="M449">
        <f t="shared" si="62"/>
        <v>0</v>
      </c>
      <c r="N449">
        <f t="shared" si="70"/>
        <v>0</v>
      </c>
      <c r="O449">
        <f t="shared" si="63"/>
        <v>0</v>
      </c>
      <c r="P449">
        <f t="shared" si="64"/>
        <v>0</v>
      </c>
      <c r="R449" t="str">
        <f t="shared" si="65"/>
        <v>00</v>
      </c>
    </row>
    <row r="450" spans="1:18" x14ac:dyDescent="0.4">
      <c r="A450" s="1" t="str">
        <f t="shared" si="68"/>
        <v>0E0</v>
      </c>
      <c r="B450">
        <f t="shared" si="69"/>
        <v>0</v>
      </c>
      <c r="C450">
        <f>VALUE(MID(Hex!$C$2,1+2*HEX2DEC(A450)+B450,1))</f>
        <v>4</v>
      </c>
      <c r="D450" s="1" t="str">
        <f t="shared" si="66"/>
        <v>1C0</v>
      </c>
      <c r="E450">
        <f>HEX2DEC(MID(Hex!$C$8,1+HEX2DEC(Edit!D450)*2,2))</f>
        <v>0</v>
      </c>
      <c r="F450">
        <f t="shared" si="67"/>
        <v>448</v>
      </c>
      <c r="G450" t="str">
        <f>_xlfn.LET(_xlpm.custom,_xlfn.XLOOKUP(F450,Data!A:A,Data!C:C),IF(_xlpm.custom="",_xlfn.XLOOKUP(F450,Data!A:A,Data!B:B),_xlpm.custom))</f>
        <v>Sprayduck</v>
      </c>
      <c r="H450" t="str">
        <f>_xlfn.XLOOKUP(C450,Data!A:A,Data!E:E)</f>
        <v>Key</v>
      </c>
      <c r="J450">
        <f>IF(I450="",C450,_xlfn.XLOOKUP(I450,Data!E:E,Data!A:A,""))</f>
        <v>4</v>
      </c>
      <c r="L450">
        <f t="shared" si="61"/>
        <v>0</v>
      </c>
      <c r="M450">
        <f t="shared" si="62"/>
        <v>0</v>
      </c>
      <c r="N450">
        <f t="shared" si="70"/>
        <v>0</v>
      </c>
      <c r="O450">
        <f t="shared" si="63"/>
        <v>0</v>
      </c>
      <c r="P450">
        <f t="shared" si="64"/>
        <v>0</v>
      </c>
      <c r="R450" t="str">
        <f t="shared" si="65"/>
        <v>00</v>
      </c>
    </row>
    <row r="451" spans="1:18" x14ac:dyDescent="0.4">
      <c r="A451" s="1" t="str">
        <f t="shared" si="68"/>
        <v>0E0</v>
      </c>
      <c r="B451">
        <f t="shared" si="69"/>
        <v>1</v>
      </c>
      <c r="C451">
        <f>VALUE(MID(Hex!$C$2,1+2*HEX2DEC(A451)+B451,1))</f>
        <v>4</v>
      </c>
      <c r="D451" s="1" t="str">
        <f t="shared" si="66"/>
        <v>1C1</v>
      </c>
      <c r="E451">
        <f>HEX2DEC(MID(Hex!$C$8,1+HEX2DEC(Edit!D451)*2,2))</f>
        <v>0</v>
      </c>
      <c r="F451">
        <f t="shared" si="67"/>
        <v>449</v>
      </c>
      <c r="G451" t="str">
        <f>_xlfn.LET(_xlpm.custom,_xlfn.XLOOKUP(F451,Data!A:A,Data!C:C),IF(_xlpm.custom="",_xlfn.XLOOKUP(F451,Data!A:A,Data!B:B),_xlpm.custom))</f>
        <v>Poffin Case</v>
      </c>
      <c r="H451" t="str">
        <f>_xlfn.XLOOKUP(C451,Data!A:A,Data!E:E)</f>
        <v>Key</v>
      </c>
      <c r="J451">
        <f>IF(I451="",C451,_xlfn.XLOOKUP(I451,Data!E:E,Data!A:A,""))</f>
        <v>4</v>
      </c>
      <c r="L451">
        <f t="shared" ref="L451:L514" si="71">_xlfn.BITAND(E451,1)</f>
        <v>0</v>
      </c>
      <c r="M451">
        <f t="shared" ref="M451:M514" si="72">_xlfn.BITAND($E451,2)</f>
        <v>0</v>
      </c>
      <c r="N451">
        <f t="shared" si="70"/>
        <v>0</v>
      </c>
      <c r="O451">
        <f t="shared" ref="O451:O514" si="73">_xlfn.BITAND($E451,8)</f>
        <v>0</v>
      </c>
      <c r="P451">
        <f t="shared" ref="P451:P514" si="74">_xlfn.BITAND($E451,16)</f>
        <v>0</v>
      </c>
      <c r="R451" t="str">
        <f t="shared" ref="R451:R514" si="75">DEC2HEX(SUM(L451:P451),2)</f>
        <v>00</v>
      </c>
    </row>
    <row r="452" spans="1:18" x14ac:dyDescent="0.4">
      <c r="A452" s="1" t="str">
        <f t="shared" si="68"/>
        <v>0E1</v>
      </c>
      <c r="B452">
        <f t="shared" si="69"/>
        <v>0</v>
      </c>
      <c r="C452">
        <f>VALUE(MID(Hex!$C$2,1+2*HEX2DEC(A452)+B452,1))</f>
        <v>4</v>
      </c>
      <c r="D452" s="1" t="str">
        <f t="shared" ref="D452:D515" si="76">DEC2HEX(1+HEX2DEC(D451),3)</f>
        <v>1C2</v>
      </c>
      <c r="E452">
        <f>HEX2DEC(MID(Hex!$C$8,1+HEX2DEC(Edit!D452)*2,2))</f>
        <v>0</v>
      </c>
      <c r="F452">
        <f t="shared" ref="F452:F515" si="77">F451+1</f>
        <v>450</v>
      </c>
      <c r="G452" t="str">
        <f>_xlfn.LET(_xlpm.custom,_xlfn.XLOOKUP(F452,Data!A:A,Data!C:C),IF(_xlpm.custom="",_xlfn.XLOOKUP(F452,Data!A:A,Data!B:B),_xlpm.custom))</f>
        <v>Bike</v>
      </c>
      <c r="H452" t="str">
        <f>_xlfn.XLOOKUP(C452,Data!A:A,Data!E:E)</f>
        <v>Key</v>
      </c>
      <c r="J452">
        <f>IF(I452="",C452,_xlfn.XLOOKUP(I452,Data!E:E,Data!A:A,""))</f>
        <v>4</v>
      </c>
      <c r="L452">
        <f t="shared" si="71"/>
        <v>0</v>
      </c>
      <c r="M452">
        <f t="shared" si="72"/>
        <v>0</v>
      </c>
      <c r="N452">
        <f t="shared" si="70"/>
        <v>0</v>
      </c>
      <c r="O452">
        <f t="shared" si="73"/>
        <v>0</v>
      </c>
      <c r="P452">
        <f t="shared" si="74"/>
        <v>0</v>
      </c>
      <c r="R452" t="str">
        <f t="shared" si="75"/>
        <v>00</v>
      </c>
    </row>
    <row r="453" spans="1:18" x14ac:dyDescent="0.4">
      <c r="A453" s="1" t="str">
        <f t="shared" ref="A453:A516" si="78">DEC2HEX(1+HEX2DEC(A451),3)</f>
        <v>0E1</v>
      </c>
      <c r="B453">
        <f t="shared" ref="B453:B516" si="79">B451</f>
        <v>1</v>
      </c>
      <c r="C453">
        <f>VALUE(MID(Hex!$C$2,1+2*HEX2DEC(A453)+B453,1))</f>
        <v>4</v>
      </c>
      <c r="D453" s="1" t="str">
        <f t="shared" si="76"/>
        <v>1C3</v>
      </c>
      <c r="E453">
        <f>HEX2DEC(MID(Hex!$C$8,1+HEX2DEC(Edit!D453)*2,2))</f>
        <v>0</v>
      </c>
      <c r="F453">
        <f t="shared" si="77"/>
        <v>451</v>
      </c>
      <c r="G453" t="str">
        <f>_xlfn.LET(_xlpm.custom,_xlfn.XLOOKUP(F453,Data!A:A,Data!C:C),IF(_xlpm.custom="",_xlfn.XLOOKUP(F453,Data!A:A,Data!B:B),_xlpm.custom))</f>
        <v>Suite Key</v>
      </c>
      <c r="H453" t="str">
        <f>_xlfn.XLOOKUP(C453,Data!A:A,Data!E:E)</f>
        <v>Key</v>
      </c>
      <c r="J453">
        <f>IF(I453="",C453,_xlfn.XLOOKUP(I453,Data!E:E,Data!A:A,""))</f>
        <v>4</v>
      </c>
      <c r="L453">
        <f t="shared" si="71"/>
        <v>0</v>
      </c>
      <c r="M453">
        <f t="shared" si="72"/>
        <v>0</v>
      </c>
      <c r="N453">
        <f t="shared" si="70"/>
        <v>0</v>
      </c>
      <c r="O453">
        <f t="shared" si="73"/>
        <v>0</v>
      </c>
      <c r="P453">
        <f t="shared" si="74"/>
        <v>0</v>
      </c>
      <c r="R453" t="str">
        <f t="shared" si="75"/>
        <v>00</v>
      </c>
    </row>
    <row r="454" spans="1:18" x14ac:dyDescent="0.4">
      <c r="A454" s="1" t="str">
        <f t="shared" si="78"/>
        <v>0E2</v>
      </c>
      <c r="B454">
        <f t="shared" si="79"/>
        <v>0</v>
      </c>
      <c r="C454">
        <f>VALUE(MID(Hex!$C$2,1+2*HEX2DEC(A454)+B454,1))</f>
        <v>4</v>
      </c>
      <c r="D454" s="1" t="str">
        <f t="shared" si="76"/>
        <v>1C4</v>
      </c>
      <c r="E454">
        <f>HEX2DEC(MID(Hex!$C$8,1+HEX2DEC(Edit!D454)*2,2))</f>
        <v>0</v>
      </c>
      <c r="F454">
        <f t="shared" si="77"/>
        <v>452</v>
      </c>
      <c r="G454" t="str">
        <f>_xlfn.LET(_xlpm.custom,_xlfn.XLOOKUP(F454,Data!A:A,Data!C:C),IF(_xlpm.custom="",_xlfn.XLOOKUP(F454,Data!A:A,Data!B:B),_xlpm.custom))</f>
        <v>Oak’s Letter</v>
      </c>
      <c r="H454" t="str">
        <f>_xlfn.XLOOKUP(C454,Data!A:A,Data!E:E)</f>
        <v>Key</v>
      </c>
      <c r="J454">
        <f>IF(I454="",C454,_xlfn.XLOOKUP(I454,Data!E:E,Data!A:A,""))</f>
        <v>4</v>
      </c>
      <c r="L454">
        <f t="shared" si="71"/>
        <v>0</v>
      </c>
      <c r="M454">
        <f t="shared" si="72"/>
        <v>0</v>
      </c>
      <c r="N454">
        <f t="shared" si="70"/>
        <v>0</v>
      </c>
      <c r="O454">
        <f t="shared" si="73"/>
        <v>0</v>
      </c>
      <c r="P454">
        <f t="shared" si="74"/>
        <v>0</v>
      </c>
      <c r="R454" t="str">
        <f t="shared" si="75"/>
        <v>00</v>
      </c>
    </row>
    <row r="455" spans="1:18" x14ac:dyDescent="0.4">
      <c r="A455" s="1" t="str">
        <f t="shared" si="78"/>
        <v>0E2</v>
      </c>
      <c r="B455">
        <f t="shared" si="79"/>
        <v>1</v>
      </c>
      <c r="C455">
        <f>VALUE(MID(Hex!$C$2,1+2*HEX2DEC(A455)+B455,1))</f>
        <v>4</v>
      </c>
      <c r="D455" s="1" t="str">
        <f t="shared" si="76"/>
        <v>1C5</v>
      </c>
      <c r="E455">
        <f>HEX2DEC(MID(Hex!$C$8,1+HEX2DEC(Edit!D455)*2,2))</f>
        <v>0</v>
      </c>
      <c r="F455">
        <f t="shared" si="77"/>
        <v>453</v>
      </c>
      <c r="G455" t="str">
        <f>_xlfn.LET(_xlpm.custom,_xlfn.XLOOKUP(F455,Data!A:A,Data!C:C),IF(_xlpm.custom="",_xlfn.XLOOKUP(F455,Data!A:A,Data!B:B),_xlpm.custom))</f>
        <v>Lunar Wing</v>
      </c>
      <c r="H455" t="str">
        <f>_xlfn.XLOOKUP(C455,Data!A:A,Data!E:E)</f>
        <v>Key</v>
      </c>
      <c r="J455">
        <f>IF(I455="",C455,_xlfn.XLOOKUP(I455,Data!E:E,Data!A:A,""))</f>
        <v>4</v>
      </c>
      <c r="L455">
        <f t="shared" si="71"/>
        <v>0</v>
      </c>
      <c r="M455">
        <f t="shared" si="72"/>
        <v>0</v>
      </c>
      <c r="N455">
        <f t="shared" si="70"/>
        <v>0</v>
      </c>
      <c r="O455">
        <f t="shared" si="73"/>
        <v>0</v>
      </c>
      <c r="P455">
        <f t="shared" si="74"/>
        <v>0</v>
      </c>
      <c r="R455" t="str">
        <f t="shared" si="75"/>
        <v>00</v>
      </c>
    </row>
    <row r="456" spans="1:18" x14ac:dyDescent="0.4">
      <c r="A456" s="1" t="str">
        <f t="shared" si="78"/>
        <v>0E3</v>
      </c>
      <c r="B456">
        <f t="shared" si="79"/>
        <v>0</v>
      </c>
      <c r="C456">
        <f>VALUE(MID(Hex!$C$2,1+2*HEX2DEC(A456)+B456,1))</f>
        <v>4</v>
      </c>
      <c r="D456" s="1" t="str">
        <f t="shared" si="76"/>
        <v>1C6</v>
      </c>
      <c r="E456">
        <f>HEX2DEC(MID(Hex!$C$8,1+HEX2DEC(Edit!D456)*2,2))</f>
        <v>0</v>
      </c>
      <c r="F456">
        <f t="shared" si="77"/>
        <v>454</v>
      </c>
      <c r="G456" t="str">
        <f>_xlfn.LET(_xlpm.custom,_xlfn.XLOOKUP(F456,Data!A:A,Data!C:C),IF(_xlpm.custom="",_xlfn.XLOOKUP(F456,Data!A:A,Data!B:B),_xlpm.custom))</f>
        <v>Member Card</v>
      </c>
      <c r="H456" t="str">
        <f>_xlfn.XLOOKUP(C456,Data!A:A,Data!E:E)</f>
        <v>Key</v>
      </c>
      <c r="J456">
        <f>IF(I456="",C456,_xlfn.XLOOKUP(I456,Data!E:E,Data!A:A,""))</f>
        <v>4</v>
      </c>
      <c r="L456">
        <f t="shared" si="71"/>
        <v>0</v>
      </c>
      <c r="M456">
        <f t="shared" si="72"/>
        <v>0</v>
      </c>
      <c r="N456">
        <f t="shared" si="70"/>
        <v>0</v>
      </c>
      <c r="O456">
        <f t="shared" si="73"/>
        <v>0</v>
      </c>
      <c r="P456">
        <f t="shared" si="74"/>
        <v>0</v>
      </c>
      <c r="R456" t="str">
        <f t="shared" si="75"/>
        <v>00</v>
      </c>
    </row>
    <row r="457" spans="1:18" x14ac:dyDescent="0.4">
      <c r="A457" s="1" t="str">
        <f t="shared" si="78"/>
        <v>0E3</v>
      </c>
      <c r="B457">
        <f t="shared" si="79"/>
        <v>1</v>
      </c>
      <c r="C457">
        <f>VALUE(MID(Hex!$C$2,1+2*HEX2DEC(A457)+B457,1))</f>
        <v>4</v>
      </c>
      <c r="D457" s="1" t="str">
        <f t="shared" si="76"/>
        <v>1C7</v>
      </c>
      <c r="E457">
        <f>HEX2DEC(MID(Hex!$C$8,1+HEX2DEC(Edit!D457)*2,2))</f>
        <v>0</v>
      </c>
      <c r="F457">
        <f t="shared" si="77"/>
        <v>455</v>
      </c>
      <c r="G457" t="str">
        <f>_xlfn.LET(_xlpm.custom,_xlfn.XLOOKUP(F457,Data!A:A,Data!C:C),IF(_xlpm.custom="",_xlfn.XLOOKUP(F457,Data!A:A,Data!B:B),_xlpm.custom))</f>
        <v>Azure Flute</v>
      </c>
      <c r="H457" t="str">
        <f>_xlfn.XLOOKUP(C457,Data!A:A,Data!E:E)</f>
        <v>Key</v>
      </c>
      <c r="J457">
        <f>IF(I457="",C457,_xlfn.XLOOKUP(I457,Data!E:E,Data!A:A,""))</f>
        <v>4</v>
      </c>
      <c r="L457">
        <f t="shared" si="71"/>
        <v>0</v>
      </c>
      <c r="M457">
        <f t="shared" si="72"/>
        <v>0</v>
      </c>
      <c r="N457">
        <f t="shared" si="70"/>
        <v>0</v>
      </c>
      <c r="O457">
        <f t="shared" si="73"/>
        <v>0</v>
      </c>
      <c r="P457">
        <f t="shared" si="74"/>
        <v>0</v>
      </c>
      <c r="R457" t="str">
        <f t="shared" si="75"/>
        <v>00</v>
      </c>
    </row>
    <row r="458" spans="1:18" x14ac:dyDescent="0.4">
      <c r="A458" s="1" t="str">
        <f t="shared" si="78"/>
        <v>0E4</v>
      </c>
      <c r="B458">
        <f t="shared" si="79"/>
        <v>0</v>
      </c>
      <c r="C458">
        <f>VALUE(MID(Hex!$C$2,1+2*HEX2DEC(A458)+B458,1))</f>
        <v>4</v>
      </c>
      <c r="D458" s="1" t="str">
        <f t="shared" si="76"/>
        <v>1C8</v>
      </c>
      <c r="E458">
        <f>HEX2DEC(MID(Hex!$C$8,1+HEX2DEC(Edit!D458)*2,2))</f>
        <v>0</v>
      </c>
      <c r="F458">
        <f t="shared" si="77"/>
        <v>456</v>
      </c>
      <c r="G458" t="str">
        <f>_xlfn.LET(_xlpm.custom,_xlfn.XLOOKUP(F458,Data!A:A,Data!C:C),IF(_xlpm.custom="",_xlfn.XLOOKUP(F458,Data!A:A,Data!B:B),_xlpm.custom))</f>
        <v>S.S. Ticket</v>
      </c>
      <c r="H458" t="str">
        <f>_xlfn.XLOOKUP(C458,Data!A:A,Data!E:E)</f>
        <v>Key</v>
      </c>
      <c r="J458">
        <f>IF(I458="",C458,_xlfn.XLOOKUP(I458,Data!E:E,Data!A:A,""))</f>
        <v>4</v>
      </c>
      <c r="L458">
        <f t="shared" si="71"/>
        <v>0</v>
      </c>
      <c r="M458">
        <f t="shared" si="72"/>
        <v>0</v>
      </c>
      <c r="N458">
        <f t="shared" si="70"/>
        <v>0</v>
      </c>
      <c r="O458">
        <f t="shared" si="73"/>
        <v>0</v>
      </c>
      <c r="P458">
        <f t="shared" si="74"/>
        <v>0</v>
      </c>
      <c r="R458" t="str">
        <f t="shared" si="75"/>
        <v>00</v>
      </c>
    </row>
    <row r="459" spans="1:18" x14ac:dyDescent="0.4">
      <c r="A459" s="1" t="str">
        <f t="shared" si="78"/>
        <v>0E4</v>
      </c>
      <c r="B459">
        <f t="shared" si="79"/>
        <v>1</v>
      </c>
      <c r="C459">
        <f>VALUE(MID(Hex!$C$2,1+2*HEX2DEC(A459)+B459,1))</f>
        <v>4</v>
      </c>
      <c r="D459" s="1" t="str">
        <f t="shared" si="76"/>
        <v>1C9</v>
      </c>
      <c r="E459">
        <f>HEX2DEC(MID(Hex!$C$8,1+HEX2DEC(Edit!D459)*2,2))</f>
        <v>0</v>
      </c>
      <c r="F459">
        <f t="shared" si="77"/>
        <v>457</v>
      </c>
      <c r="G459" t="str">
        <f>_xlfn.LET(_xlpm.custom,_xlfn.XLOOKUP(F459,Data!A:A,Data!C:C),IF(_xlpm.custom="",_xlfn.XLOOKUP(F459,Data!A:A,Data!B:B),_xlpm.custom))</f>
        <v>Contest Pass</v>
      </c>
      <c r="H459" t="str">
        <f>_xlfn.XLOOKUP(C459,Data!A:A,Data!E:E)</f>
        <v>Key</v>
      </c>
      <c r="J459">
        <f>IF(I459="",C459,_xlfn.XLOOKUP(I459,Data!E:E,Data!A:A,""))</f>
        <v>4</v>
      </c>
      <c r="L459">
        <f t="shared" si="71"/>
        <v>0</v>
      </c>
      <c r="M459">
        <f t="shared" si="72"/>
        <v>0</v>
      </c>
      <c r="N459">
        <f t="shared" si="70"/>
        <v>0</v>
      </c>
      <c r="O459">
        <f t="shared" si="73"/>
        <v>0</v>
      </c>
      <c r="P459">
        <f t="shared" si="74"/>
        <v>0</v>
      </c>
      <c r="R459" t="str">
        <f t="shared" si="75"/>
        <v>00</v>
      </c>
    </row>
    <row r="460" spans="1:18" x14ac:dyDescent="0.4">
      <c r="A460" s="1" t="str">
        <f t="shared" si="78"/>
        <v>0E5</v>
      </c>
      <c r="B460">
        <f t="shared" si="79"/>
        <v>0</v>
      </c>
      <c r="C460">
        <f>VALUE(MID(Hex!$C$2,1+2*HEX2DEC(A460)+B460,1))</f>
        <v>4</v>
      </c>
      <c r="D460" s="1" t="str">
        <f t="shared" si="76"/>
        <v>1CA</v>
      </c>
      <c r="E460">
        <f>HEX2DEC(MID(Hex!$C$8,1+HEX2DEC(Edit!D460)*2,2))</f>
        <v>0</v>
      </c>
      <c r="F460">
        <f t="shared" si="77"/>
        <v>458</v>
      </c>
      <c r="G460" t="str">
        <f>_xlfn.LET(_xlpm.custom,_xlfn.XLOOKUP(F460,Data!A:A,Data!C:C),IF(_xlpm.custom="",_xlfn.XLOOKUP(F460,Data!A:A,Data!B:B),_xlpm.custom))</f>
        <v>Magma Stone</v>
      </c>
      <c r="H460" t="str">
        <f>_xlfn.XLOOKUP(C460,Data!A:A,Data!E:E)</f>
        <v>Key</v>
      </c>
      <c r="J460">
        <f>IF(I460="",C460,_xlfn.XLOOKUP(I460,Data!E:E,Data!A:A,""))</f>
        <v>4</v>
      </c>
      <c r="L460">
        <f t="shared" si="71"/>
        <v>0</v>
      </c>
      <c r="M460">
        <f t="shared" si="72"/>
        <v>0</v>
      </c>
      <c r="N460">
        <f t="shared" si="70"/>
        <v>0</v>
      </c>
      <c r="O460">
        <f t="shared" si="73"/>
        <v>0</v>
      </c>
      <c r="P460">
        <f t="shared" si="74"/>
        <v>0</v>
      </c>
      <c r="R460" t="str">
        <f t="shared" si="75"/>
        <v>00</v>
      </c>
    </row>
    <row r="461" spans="1:18" x14ac:dyDescent="0.4">
      <c r="A461" s="1" t="str">
        <f t="shared" si="78"/>
        <v>0E5</v>
      </c>
      <c r="B461">
        <f t="shared" si="79"/>
        <v>1</v>
      </c>
      <c r="C461">
        <f>VALUE(MID(Hex!$C$2,1+2*HEX2DEC(A461)+B461,1))</f>
        <v>4</v>
      </c>
      <c r="D461" s="1" t="str">
        <f t="shared" si="76"/>
        <v>1CB</v>
      </c>
      <c r="E461">
        <f>HEX2DEC(MID(Hex!$C$8,1+HEX2DEC(Edit!D461)*2,2))</f>
        <v>0</v>
      </c>
      <c r="F461">
        <f t="shared" si="77"/>
        <v>459</v>
      </c>
      <c r="G461" t="str">
        <f>_xlfn.LET(_xlpm.custom,_xlfn.XLOOKUP(F461,Data!A:A,Data!C:C),IF(_xlpm.custom="",_xlfn.XLOOKUP(F461,Data!A:A,Data!B:B),_xlpm.custom))</f>
        <v>Parcel</v>
      </c>
      <c r="H461" t="str">
        <f>_xlfn.XLOOKUP(C461,Data!A:A,Data!E:E)</f>
        <v>Key</v>
      </c>
      <c r="J461">
        <f>IF(I461="",C461,_xlfn.XLOOKUP(I461,Data!E:E,Data!A:A,""))</f>
        <v>4</v>
      </c>
      <c r="L461">
        <f t="shared" si="71"/>
        <v>0</v>
      </c>
      <c r="M461">
        <f t="shared" si="72"/>
        <v>0</v>
      </c>
      <c r="N461">
        <f t="shared" si="70"/>
        <v>0</v>
      </c>
      <c r="O461">
        <f t="shared" si="73"/>
        <v>0</v>
      </c>
      <c r="P461">
        <f t="shared" si="74"/>
        <v>0</v>
      </c>
      <c r="R461" t="str">
        <f t="shared" si="75"/>
        <v>00</v>
      </c>
    </row>
    <row r="462" spans="1:18" x14ac:dyDescent="0.4">
      <c r="A462" s="1" t="str">
        <f t="shared" si="78"/>
        <v>0E6</v>
      </c>
      <c r="B462">
        <f t="shared" si="79"/>
        <v>0</v>
      </c>
      <c r="C462">
        <f>VALUE(MID(Hex!$C$2,1+2*HEX2DEC(A462)+B462,1))</f>
        <v>4</v>
      </c>
      <c r="D462" s="1" t="str">
        <f t="shared" si="76"/>
        <v>1CC</v>
      </c>
      <c r="E462">
        <f>HEX2DEC(MID(Hex!$C$8,1+HEX2DEC(Edit!D462)*2,2))</f>
        <v>0</v>
      </c>
      <c r="F462">
        <f t="shared" si="77"/>
        <v>460</v>
      </c>
      <c r="G462" t="str">
        <f>_xlfn.LET(_xlpm.custom,_xlfn.XLOOKUP(F462,Data!A:A,Data!C:C),IF(_xlpm.custom="",_xlfn.XLOOKUP(F462,Data!A:A,Data!B:B),_xlpm.custom))</f>
        <v>Coupon 1</v>
      </c>
      <c r="H462" t="str">
        <f>_xlfn.XLOOKUP(C462,Data!A:A,Data!E:E)</f>
        <v>Key</v>
      </c>
      <c r="J462">
        <f>IF(I462="",C462,_xlfn.XLOOKUP(I462,Data!E:E,Data!A:A,""))</f>
        <v>4</v>
      </c>
      <c r="L462">
        <f t="shared" si="71"/>
        <v>0</v>
      </c>
      <c r="M462">
        <f t="shared" si="72"/>
        <v>0</v>
      </c>
      <c r="N462">
        <f t="shared" si="70"/>
        <v>0</v>
      </c>
      <c r="O462">
        <f t="shared" si="73"/>
        <v>0</v>
      </c>
      <c r="P462">
        <f t="shared" si="74"/>
        <v>0</v>
      </c>
      <c r="R462" t="str">
        <f t="shared" si="75"/>
        <v>00</v>
      </c>
    </row>
    <row r="463" spans="1:18" x14ac:dyDescent="0.4">
      <c r="A463" s="1" t="str">
        <f t="shared" si="78"/>
        <v>0E6</v>
      </c>
      <c r="B463">
        <f t="shared" si="79"/>
        <v>1</v>
      </c>
      <c r="C463">
        <f>VALUE(MID(Hex!$C$2,1+2*HEX2DEC(A463)+B463,1))</f>
        <v>4</v>
      </c>
      <c r="D463" s="1" t="str">
        <f t="shared" si="76"/>
        <v>1CD</v>
      </c>
      <c r="E463">
        <f>HEX2DEC(MID(Hex!$C$8,1+HEX2DEC(Edit!D463)*2,2))</f>
        <v>0</v>
      </c>
      <c r="F463">
        <f t="shared" si="77"/>
        <v>461</v>
      </c>
      <c r="G463" t="str">
        <f>_xlfn.LET(_xlpm.custom,_xlfn.XLOOKUP(F463,Data!A:A,Data!C:C),IF(_xlpm.custom="",_xlfn.XLOOKUP(F463,Data!A:A,Data!B:B),_xlpm.custom))</f>
        <v>Coupon 2</v>
      </c>
      <c r="H463" t="str">
        <f>_xlfn.XLOOKUP(C463,Data!A:A,Data!E:E)</f>
        <v>Key</v>
      </c>
      <c r="J463">
        <f>IF(I463="",C463,_xlfn.XLOOKUP(I463,Data!E:E,Data!A:A,""))</f>
        <v>4</v>
      </c>
      <c r="L463">
        <f t="shared" si="71"/>
        <v>0</v>
      </c>
      <c r="M463">
        <f t="shared" si="72"/>
        <v>0</v>
      </c>
      <c r="N463">
        <f t="shared" si="70"/>
        <v>0</v>
      </c>
      <c r="O463">
        <f t="shared" si="73"/>
        <v>0</v>
      </c>
      <c r="P463">
        <f t="shared" si="74"/>
        <v>0</v>
      </c>
      <c r="R463" t="str">
        <f t="shared" si="75"/>
        <v>00</v>
      </c>
    </row>
    <row r="464" spans="1:18" x14ac:dyDescent="0.4">
      <c r="A464" s="1" t="str">
        <f t="shared" si="78"/>
        <v>0E7</v>
      </c>
      <c r="B464">
        <f t="shared" si="79"/>
        <v>0</v>
      </c>
      <c r="C464">
        <f>VALUE(MID(Hex!$C$2,1+2*HEX2DEC(A464)+B464,1))</f>
        <v>4</v>
      </c>
      <c r="D464" s="1" t="str">
        <f t="shared" si="76"/>
        <v>1CE</v>
      </c>
      <c r="E464">
        <f>HEX2DEC(MID(Hex!$C$8,1+HEX2DEC(Edit!D464)*2,2))</f>
        <v>0</v>
      </c>
      <c r="F464">
        <f t="shared" si="77"/>
        <v>462</v>
      </c>
      <c r="G464" t="str">
        <f>_xlfn.LET(_xlpm.custom,_xlfn.XLOOKUP(F464,Data!A:A,Data!C:C),IF(_xlpm.custom="",_xlfn.XLOOKUP(F464,Data!A:A,Data!B:B),_xlpm.custom))</f>
        <v>Coupon 3</v>
      </c>
      <c r="H464" t="str">
        <f>_xlfn.XLOOKUP(C464,Data!A:A,Data!E:E)</f>
        <v>Key</v>
      </c>
      <c r="J464">
        <f>IF(I464="",C464,_xlfn.XLOOKUP(I464,Data!E:E,Data!A:A,""))</f>
        <v>4</v>
      </c>
      <c r="L464">
        <f t="shared" si="71"/>
        <v>0</v>
      </c>
      <c r="M464">
        <f t="shared" si="72"/>
        <v>0</v>
      </c>
      <c r="N464">
        <f t="shared" si="70"/>
        <v>0</v>
      </c>
      <c r="O464">
        <f t="shared" si="73"/>
        <v>0</v>
      </c>
      <c r="P464">
        <f t="shared" si="74"/>
        <v>0</v>
      </c>
      <c r="R464" t="str">
        <f t="shared" si="75"/>
        <v>00</v>
      </c>
    </row>
    <row r="465" spans="1:18" x14ac:dyDescent="0.4">
      <c r="A465" s="1" t="str">
        <f t="shared" si="78"/>
        <v>0E7</v>
      </c>
      <c r="B465">
        <f t="shared" si="79"/>
        <v>1</v>
      </c>
      <c r="C465">
        <f>VALUE(MID(Hex!$C$2,1+2*HEX2DEC(A465)+B465,1))</f>
        <v>4</v>
      </c>
      <c r="D465" s="1" t="str">
        <f t="shared" si="76"/>
        <v>1CF</v>
      </c>
      <c r="E465">
        <f>HEX2DEC(MID(Hex!$C$8,1+HEX2DEC(Edit!D465)*2,2))</f>
        <v>0</v>
      </c>
      <c r="F465">
        <f t="shared" si="77"/>
        <v>463</v>
      </c>
      <c r="G465" t="str">
        <f>_xlfn.LET(_xlpm.custom,_xlfn.XLOOKUP(F465,Data!A:A,Data!C:C),IF(_xlpm.custom="",_xlfn.XLOOKUP(F465,Data!A:A,Data!B:B),_xlpm.custom))</f>
        <v>Storage Key</v>
      </c>
      <c r="H465" t="str">
        <f>_xlfn.XLOOKUP(C465,Data!A:A,Data!E:E)</f>
        <v>Key</v>
      </c>
      <c r="J465">
        <f>IF(I465="",C465,_xlfn.XLOOKUP(I465,Data!E:E,Data!A:A,""))</f>
        <v>4</v>
      </c>
      <c r="L465">
        <f t="shared" si="71"/>
        <v>0</v>
      </c>
      <c r="M465">
        <f t="shared" si="72"/>
        <v>0</v>
      </c>
      <c r="N465">
        <f t="shared" si="70"/>
        <v>0</v>
      </c>
      <c r="O465">
        <f t="shared" si="73"/>
        <v>0</v>
      </c>
      <c r="P465">
        <f t="shared" si="74"/>
        <v>0</v>
      </c>
      <c r="R465" t="str">
        <f t="shared" si="75"/>
        <v>00</v>
      </c>
    </row>
    <row r="466" spans="1:18" x14ac:dyDescent="0.4">
      <c r="A466" s="1" t="str">
        <f t="shared" si="78"/>
        <v>0E8</v>
      </c>
      <c r="B466">
        <f t="shared" si="79"/>
        <v>0</v>
      </c>
      <c r="C466">
        <f>VALUE(MID(Hex!$C$2,1+2*HEX2DEC(A466)+B466,1))</f>
        <v>4</v>
      </c>
      <c r="D466" s="1" t="str">
        <f t="shared" si="76"/>
        <v>1D0</v>
      </c>
      <c r="E466">
        <f>HEX2DEC(MID(Hex!$C$8,1+HEX2DEC(Edit!D466)*2,2))</f>
        <v>0</v>
      </c>
      <c r="F466">
        <f t="shared" si="77"/>
        <v>464</v>
      </c>
      <c r="G466" t="str">
        <f>_xlfn.LET(_xlpm.custom,_xlfn.XLOOKUP(F466,Data!A:A,Data!C:C),IF(_xlpm.custom="",_xlfn.XLOOKUP(F466,Data!A:A,Data!B:B),_xlpm.custom))</f>
        <v>Secret Potion</v>
      </c>
      <c r="H466" t="str">
        <f>_xlfn.XLOOKUP(C466,Data!A:A,Data!E:E)</f>
        <v>Key</v>
      </c>
      <c r="J466">
        <f>IF(I466="",C466,_xlfn.XLOOKUP(I466,Data!E:E,Data!A:A,""))</f>
        <v>4</v>
      </c>
      <c r="L466">
        <f t="shared" si="71"/>
        <v>0</v>
      </c>
      <c r="M466">
        <f t="shared" si="72"/>
        <v>0</v>
      </c>
      <c r="N466">
        <f t="shared" si="70"/>
        <v>0</v>
      </c>
      <c r="O466">
        <f t="shared" si="73"/>
        <v>0</v>
      </c>
      <c r="P466">
        <f t="shared" si="74"/>
        <v>0</v>
      </c>
      <c r="R466" t="str">
        <f t="shared" si="75"/>
        <v>00</v>
      </c>
    </row>
    <row r="467" spans="1:18" x14ac:dyDescent="0.4">
      <c r="A467" s="1" t="str">
        <f t="shared" si="78"/>
        <v>0E8</v>
      </c>
      <c r="B467">
        <f t="shared" si="79"/>
        <v>1</v>
      </c>
      <c r="C467">
        <f>VALUE(MID(Hex!$C$2,1+2*HEX2DEC(A467)+B467,1))</f>
        <v>4</v>
      </c>
      <c r="D467" s="1" t="str">
        <f t="shared" si="76"/>
        <v>1D1</v>
      </c>
      <c r="E467">
        <f>HEX2DEC(MID(Hex!$C$8,1+HEX2DEC(Edit!D467)*2,2))</f>
        <v>0</v>
      </c>
      <c r="F467">
        <f t="shared" si="77"/>
        <v>465</v>
      </c>
      <c r="G467" t="str">
        <f>_xlfn.LET(_xlpm.custom,_xlfn.XLOOKUP(F467,Data!A:A,Data!C:C),IF(_xlpm.custom="",_xlfn.XLOOKUP(F467,Data!A:A,Data!B:B),_xlpm.custom))</f>
        <v>Vs. Recorder</v>
      </c>
      <c r="H467" t="str">
        <f>_xlfn.XLOOKUP(C467,Data!A:A,Data!E:E)</f>
        <v>Key</v>
      </c>
      <c r="J467">
        <f>IF(I467="",C467,_xlfn.XLOOKUP(I467,Data!E:E,Data!A:A,""))</f>
        <v>4</v>
      </c>
      <c r="L467">
        <f t="shared" si="71"/>
        <v>0</v>
      </c>
      <c r="M467">
        <f t="shared" si="72"/>
        <v>0</v>
      </c>
      <c r="N467">
        <f t="shared" si="70"/>
        <v>0</v>
      </c>
      <c r="O467">
        <f t="shared" si="73"/>
        <v>0</v>
      </c>
      <c r="P467">
        <f t="shared" si="74"/>
        <v>0</v>
      </c>
      <c r="R467" t="str">
        <f t="shared" si="75"/>
        <v>00</v>
      </c>
    </row>
    <row r="468" spans="1:18" x14ac:dyDescent="0.4">
      <c r="A468" s="1" t="str">
        <f t="shared" si="78"/>
        <v>0E9</v>
      </c>
      <c r="B468">
        <f t="shared" si="79"/>
        <v>0</v>
      </c>
      <c r="C468">
        <f>VALUE(MID(Hex!$C$2,1+2*HEX2DEC(A468)+B468,1))</f>
        <v>4</v>
      </c>
      <c r="D468" s="1" t="str">
        <f t="shared" si="76"/>
        <v>1D2</v>
      </c>
      <c r="E468">
        <f>HEX2DEC(MID(Hex!$C$8,1+HEX2DEC(Edit!D468)*2,2))</f>
        <v>0</v>
      </c>
      <c r="F468">
        <f t="shared" si="77"/>
        <v>466</v>
      </c>
      <c r="G468" t="str">
        <f>_xlfn.LET(_xlpm.custom,_xlfn.XLOOKUP(F468,Data!A:A,Data!C:C),IF(_xlpm.custom="",_xlfn.XLOOKUP(F468,Data!A:A,Data!B:B),_xlpm.custom))</f>
        <v>Gracidea</v>
      </c>
      <c r="H468" t="str">
        <f>_xlfn.XLOOKUP(C468,Data!A:A,Data!E:E)</f>
        <v>Key</v>
      </c>
      <c r="J468">
        <f>IF(I468="",C468,_xlfn.XLOOKUP(I468,Data!E:E,Data!A:A,""))</f>
        <v>4</v>
      </c>
      <c r="L468">
        <f t="shared" si="71"/>
        <v>0</v>
      </c>
      <c r="M468">
        <f t="shared" si="72"/>
        <v>0</v>
      </c>
      <c r="N468">
        <f t="shared" si="70"/>
        <v>0</v>
      </c>
      <c r="O468">
        <f t="shared" si="73"/>
        <v>0</v>
      </c>
      <c r="P468">
        <f t="shared" si="74"/>
        <v>0</v>
      </c>
      <c r="R468" t="str">
        <f t="shared" si="75"/>
        <v>00</v>
      </c>
    </row>
    <row r="469" spans="1:18" x14ac:dyDescent="0.4">
      <c r="A469" s="1" t="str">
        <f t="shared" si="78"/>
        <v>0E9</v>
      </c>
      <c r="B469">
        <f t="shared" si="79"/>
        <v>1</v>
      </c>
      <c r="C469">
        <f>VALUE(MID(Hex!$C$2,1+2*HEX2DEC(A469)+B469,1))</f>
        <v>4</v>
      </c>
      <c r="D469" s="1" t="str">
        <f t="shared" si="76"/>
        <v>1D3</v>
      </c>
      <c r="E469">
        <f>HEX2DEC(MID(Hex!$C$8,1+HEX2DEC(Edit!D469)*2,2))</f>
        <v>0</v>
      </c>
      <c r="F469">
        <f t="shared" si="77"/>
        <v>467</v>
      </c>
      <c r="G469" t="str">
        <f>_xlfn.LET(_xlpm.custom,_xlfn.XLOOKUP(F469,Data!A:A,Data!C:C),IF(_xlpm.custom="",_xlfn.XLOOKUP(F469,Data!A:A,Data!B:B),_xlpm.custom))</f>
        <v>Secret Key</v>
      </c>
      <c r="H469" t="str">
        <f>_xlfn.XLOOKUP(C469,Data!A:A,Data!E:E)</f>
        <v>Key</v>
      </c>
      <c r="J469">
        <f>IF(I469="",C469,_xlfn.XLOOKUP(I469,Data!E:E,Data!A:A,""))</f>
        <v>4</v>
      </c>
      <c r="L469">
        <f t="shared" si="71"/>
        <v>0</v>
      </c>
      <c r="M469">
        <f t="shared" si="72"/>
        <v>0</v>
      </c>
      <c r="N469">
        <f t="shared" ref="N469:N532" si="80">_xlfn.BITAND($E469,4)</f>
        <v>0</v>
      </c>
      <c r="O469">
        <f t="shared" si="73"/>
        <v>0</v>
      </c>
      <c r="P469">
        <f t="shared" si="74"/>
        <v>0</v>
      </c>
      <c r="R469" t="str">
        <f t="shared" si="75"/>
        <v>00</v>
      </c>
    </row>
    <row r="470" spans="1:18" x14ac:dyDescent="0.4">
      <c r="A470" s="1" t="str">
        <f t="shared" si="78"/>
        <v>0EA</v>
      </c>
      <c r="B470">
        <f t="shared" si="79"/>
        <v>0</v>
      </c>
      <c r="C470">
        <f>VALUE(MID(Hex!$C$2,1+2*HEX2DEC(A470)+B470,1))</f>
        <v>4</v>
      </c>
      <c r="D470" s="1" t="str">
        <f t="shared" si="76"/>
        <v>1D4</v>
      </c>
      <c r="E470">
        <f>HEX2DEC(MID(Hex!$C$8,1+HEX2DEC(Edit!D470)*2,2))</f>
        <v>0</v>
      </c>
      <c r="F470">
        <f t="shared" si="77"/>
        <v>468</v>
      </c>
      <c r="G470" t="str">
        <f>_xlfn.LET(_xlpm.custom,_xlfn.XLOOKUP(F470,Data!A:A,Data!C:C),IF(_xlpm.custom="",_xlfn.XLOOKUP(F470,Data!A:A,Data!B:B),_xlpm.custom))</f>
        <v>Apricorn Box</v>
      </c>
      <c r="H470" t="str">
        <f>_xlfn.XLOOKUP(C470,Data!A:A,Data!E:E)</f>
        <v>Key</v>
      </c>
      <c r="J470">
        <f>IF(I470="",C470,_xlfn.XLOOKUP(I470,Data!E:E,Data!A:A,""))</f>
        <v>4</v>
      </c>
      <c r="L470">
        <f t="shared" si="71"/>
        <v>0</v>
      </c>
      <c r="M470">
        <f t="shared" si="72"/>
        <v>0</v>
      </c>
      <c r="N470">
        <f t="shared" si="80"/>
        <v>0</v>
      </c>
      <c r="O470">
        <f t="shared" si="73"/>
        <v>0</v>
      </c>
      <c r="P470">
        <f t="shared" si="74"/>
        <v>0</v>
      </c>
      <c r="R470" t="str">
        <f t="shared" si="75"/>
        <v>00</v>
      </c>
    </row>
    <row r="471" spans="1:18" x14ac:dyDescent="0.4">
      <c r="A471" s="1" t="str">
        <f t="shared" si="78"/>
        <v>0EA</v>
      </c>
      <c r="B471">
        <f t="shared" si="79"/>
        <v>1</v>
      </c>
      <c r="C471">
        <f>VALUE(MID(Hex!$C$2,1+2*HEX2DEC(A471)+B471,1))</f>
        <v>4</v>
      </c>
      <c r="D471" s="1" t="str">
        <f t="shared" si="76"/>
        <v>1D5</v>
      </c>
      <c r="E471">
        <f>HEX2DEC(MID(Hex!$C$8,1+HEX2DEC(Edit!D471)*2,2))</f>
        <v>0</v>
      </c>
      <c r="F471">
        <f t="shared" si="77"/>
        <v>469</v>
      </c>
      <c r="G471" t="str">
        <f>_xlfn.LET(_xlpm.custom,_xlfn.XLOOKUP(F471,Data!A:A,Data!C:C),IF(_xlpm.custom="",_xlfn.XLOOKUP(F471,Data!A:A,Data!B:B),_xlpm.custom))</f>
        <v>Unown Report</v>
      </c>
      <c r="H471" t="str">
        <f>_xlfn.XLOOKUP(C471,Data!A:A,Data!E:E)</f>
        <v>Key</v>
      </c>
      <c r="J471">
        <f>IF(I471="",C471,_xlfn.XLOOKUP(I471,Data!E:E,Data!A:A,""))</f>
        <v>4</v>
      </c>
      <c r="L471">
        <f t="shared" si="71"/>
        <v>0</v>
      </c>
      <c r="M471">
        <f t="shared" si="72"/>
        <v>0</v>
      </c>
      <c r="N471">
        <f t="shared" si="80"/>
        <v>0</v>
      </c>
      <c r="O471">
        <f t="shared" si="73"/>
        <v>0</v>
      </c>
      <c r="P471">
        <f t="shared" si="74"/>
        <v>0</v>
      </c>
      <c r="R471" t="str">
        <f t="shared" si="75"/>
        <v>00</v>
      </c>
    </row>
    <row r="472" spans="1:18" x14ac:dyDescent="0.4">
      <c r="A472" s="1" t="str">
        <f t="shared" si="78"/>
        <v>0EB</v>
      </c>
      <c r="B472">
        <f t="shared" si="79"/>
        <v>0</v>
      </c>
      <c r="C472">
        <f>VALUE(MID(Hex!$C$2,1+2*HEX2DEC(A472)+B472,1))</f>
        <v>4</v>
      </c>
      <c r="D472" s="1" t="str">
        <f t="shared" si="76"/>
        <v>1D6</v>
      </c>
      <c r="E472">
        <f>HEX2DEC(MID(Hex!$C$8,1+HEX2DEC(Edit!D472)*2,2))</f>
        <v>0</v>
      </c>
      <c r="F472">
        <f t="shared" si="77"/>
        <v>470</v>
      </c>
      <c r="G472" t="str">
        <f>_xlfn.LET(_xlpm.custom,_xlfn.XLOOKUP(F472,Data!A:A,Data!C:C),IF(_xlpm.custom="",_xlfn.XLOOKUP(F472,Data!A:A,Data!B:B),_xlpm.custom))</f>
        <v>Berry Pots</v>
      </c>
      <c r="H472" t="str">
        <f>_xlfn.XLOOKUP(C472,Data!A:A,Data!E:E)</f>
        <v>Key</v>
      </c>
      <c r="J472">
        <f>IF(I472="",C472,_xlfn.XLOOKUP(I472,Data!E:E,Data!A:A,""))</f>
        <v>4</v>
      </c>
      <c r="L472">
        <f t="shared" si="71"/>
        <v>0</v>
      </c>
      <c r="M472">
        <f t="shared" si="72"/>
        <v>0</v>
      </c>
      <c r="N472">
        <f t="shared" si="80"/>
        <v>0</v>
      </c>
      <c r="O472">
        <f t="shared" si="73"/>
        <v>0</v>
      </c>
      <c r="P472">
        <f t="shared" si="74"/>
        <v>0</v>
      </c>
      <c r="R472" t="str">
        <f t="shared" si="75"/>
        <v>00</v>
      </c>
    </row>
    <row r="473" spans="1:18" x14ac:dyDescent="0.4">
      <c r="A473" s="1" t="str">
        <f t="shared" si="78"/>
        <v>0EB</v>
      </c>
      <c r="B473">
        <f t="shared" si="79"/>
        <v>1</v>
      </c>
      <c r="C473">
        <f>VALUE(MID(Hex!$C$2,1+2*HEX2DEC(A473)+B473,1))</f>
        <v>4</v>
      </c>
      <c r="D473" s="1" t="str">
        <f t="shared" si="76"/>
        <v>1D7</v>
      </c>
      <c r="E473">
        <f>HEX2DEC(MID(Hex!$C$8,1+HEX2DEC(Edit!D473)*2,2))</f>
        <v>0</v>
      </c>
      <c r="F473">
        <f t="shared" si="77"/>
        <v>471</v>
      </c>
      <c r="G473" t="str">
        <f>_xlfn.LET(_xlpm.custom,_xlfn.XLOOKUP(F473,Data!A:A,Data!C:C),IF(_xlpm.custom="",_xlfn.XLOOKUP(F473,Data!A:A,Data!B:B),_xlpm.custom))</f>
        <v>Dowsing Machine</v>
      </c>
      <c r="H473" t="str">
        <f>_xlfn.XLOOKUP(C473,Data!A:A,Data!E:E)</f>
        <v>Key</v>
      </c>
      <c r="J473">
        <f>IF(I473="",C473,_xlfn.XLOOKUP(I473,Data!E:E,Data!A:A,""))</f>
        <v>4</v>
      </c>
      <c r="L473">
        <f t="shared" si="71"/>
        <v>0</v>
      </c>
      <c r="M473">
        <f t="shared" si="72"/>
        <v>0</v>
      </c>
      <c r="N473">
        <f t="shared" si="80"/>
        <v>0</v>
      </c>
      <c r="O473">
        <f t="shared" si="73"/>
        <v>0</v>
      </c>
      <c r="P473">
        <f t="shared" si="74"/>
        <v>0</v>
      </c>
      <c r="R473" t="str">
        <f t="shared" si="75"/>
        <v>00</v>
      </c>
    </row>
    <row r="474" spans="1:18" x14ac:dyDescent="0.4">
      <c r="A474" s="1" t="str">
        <f t="shared" si="78"/>
        <v>0EC</v>
      </c>
      <c r="B474">
        <f t="shared" si="79"/>
        <v>0</v>
      </c>
      <c r="C474">
        <f>VALUE(MID(Hex!$C$2,1+2*HEX2DEC(A474)+B474,1))</f>
        <v>4</v>
      </c>
      <c r="D474" s="1" t="str">
        <f t="shared" si="76"/>
        <v>1D8</v>
      </c>
      <c r="E474">
        <f>HEX2DEC(MID(Hex!$C$8,1+HEX2DEC(Edit!D474)*2,2))</f>
        <v>0</v>
      </c>
      <c r="F474">
        <f t="shared" si="77"/>
        <v>472</v>
      </c>
      <c r="G474" t="str">
        <f>_xlfn.LET(_xlpm.custom,_xlfn.XLOOKUP(F474,Data!A:A,Data!C:C),IF(_xlpm.custom="",_xlfn.XLOOKUP(F474,Data!A:A,Data!B:B),_xlpm.custom))</f>
        <v>Blue Card</v>
      </c>
      <c r="H474" t="str">
        <f>_xlfn.XLOOKUP(C474,Data!A:A,Data!E:E)</f>
        <v>Key</v>
      </c>
      <c r="J474">
        <f>IF(I474="",C474,_xlfn.XLOOKUP(I474,Data!E:E,Data!A:A,""))</f>
        <v>4</v>
      </c>
      <c r="L474">
        <f t="shared" si="71"/>
        <v>0</v>
      </c>
      <c r="M474">
        <f t="shared" si="72"/>
        <v>0</v>
      </c>
      <c r="N474">
        <f t="shared" si="80"/>
        <v>0</v>
      </c>
      <c r="O474">
        <f t="shared" si="73"/>
        <v>0</v>
      </c>
      <c r="P474">
        <f t="shared" si="74"/>
        <v>0</v>
      </c>
      <c r="R474" t="str">
        <f t="shared" si="75"/>
        <v>00</v>
      </c>
    </row>
    <row r="475" spans="1:18" x14ac:dyDescent="0.4">
      <c r="A475" s="1" t="str">
        <f t="shared" si="78"/>
        <v>0EC</v>
      </c>
      <c r="B475">
        <f t="shared" si="79"/>
        <v>1</v>
      </c>
      <c r="C475">
        <f>VALUE(MID(Hex!$C$2,1+2*HEX2DEC(A475)+B475,1))</f>
        <v>4</v>
      </c>
      <c r="D475" s="1" t="str">
        <f t="shared" si="76"/>
        <v>1D9</v>
      </c>
      <c r="E475">
        <f>HEX2DEC(MID(Hex!$C$8,1+HEX2DEC(Edit!D475)*2,2))</f>
        <v>0</v>
      </c>
      <c r="F475">
        <f t="shared" si="77"/>
        <v>473</v>
      </c>
      <c r="G475" t="str">
        <f>_xlfn.LET(_xlpm.custom,_xlfn.XLOOKUP(F475,Data!A:A,Data!C:C),IF(_xlpm.custom="",_xlfn.XLOOKUP(F475,Data!A:A,Data!B:B),_xlpm.custom))</f>
        <v>Slowpoke Tail</v>
      </c>
      <c r="H475" t="str">
        <f>_xlfn.XLOOKUP(C475,Data!A:A,Data!E:E)</f>
        <v>Key</v>
      </c>
      <c r="J475">
        <f>IF(I475="",C475,_xlfn.XLOOKUP(I475,Data!E:E,Data!A:A,""))</f>
        <v>4</v>
      </c>
      <c r="L475">
        <f t="shared" si="71"/>
        <v>0</v>
      </c>
      <c r="M475">
        <f t="shared" si="72"/>
        <v>0</v>
      </c>
      <c r="N475">
        <f t="shared" si="80"/>
        <v>0</v>
      </c>
      <c r="O475">
        <f t="shared" si="73"/>
        <v>0</v>
      </c>
      <c r="P475">
        <f t="shared" si="74"/>
        <v>0</v>
      </c>
      <c r="R475" t="str">
        <f t="shared" si="75"/>
        <v>00</v>
      </c>
    </row>
    <row r="476" spans="1:18" x14ac:dyDescent="0.4">
      <c r="A476" s="1" t="str">
        <f t="shared" si="78"/>
        <v>0ED</v>
      </c>
      <c r="B476">
        <f t="shared" si="79"/>
        <v>0</v>
      </c>
      <c r="C476">
        <f>VALUE(MID(Hex!$C$2,1+2*HEX2DEC(A476)+B476,1))</f>
        <v>4</v>
      </c>
      <c r="D476" s="1" t="str">
        <f t="shared" si="76"/>
        <v>1DA</v>
      </c>
      <c r="E476">
        <f>HEX2DEC(MID(Hex!$C$8,1+HEX2DEC(Edit!D476)*2,2))</f>
        <v>0</v>
      </c>
      <c r="F476">
        <f t="shared" si="77"/>
        <v>474</v>
      </c>
      <c r="G476" t="str">
        <f>_xlfn.LET(_xlpm.custom,_xlfn.XLOOKUP(F476,Data!A:A,Data!C:C),IF(_xlpm.custom="",_xlfn.XLOOKUP(F476,Data!A:A,Data!B:B),_xlpm.custom))</f>
        <v>Clear Bell</v>
      </c>
      <c r="H476" t="str">
        <f>_xlfn.XLOOKUP(C476,Data!A:A,Data!E:E)</f>
        <v>Key</v>
      </c>
      <c r="J476">
        <f>IF(I476="",C476,_xlfn.XLOOKUP(I476,Data!E:E,Data!A:A,""))</f>
        <v>4</v>
      </c>
      <c r="L476">
        <f t="shared" si="71"/>
        <v>0</v>
      </c>
      <c r="M476">
        <f t="shared" si="72"/>
        <v>0</v>
      </c>
      <c r="N476">
        <f t="shared" si="80"/>
        <v>0</v>
      </c>
      <c r="O476">
        <f t="shared" si="73"/>
        <v>0</v>
      </c>
      <c r="P476">
        <f t="shared" si="74"/>
        <v>0</v>
      </c>
      <c r="R476" t="str">
        <f t="shared" si="75"/>
        <v>00</v>
      </c>
    </row>
    <row r="477" spans="1:18" x14ac:dyDescent="0.4">
      <c r="A477" s="1" t="str">
        <f t="shared" si="78"/>
        <v>0ED</v>
      </c>
      <c r="B477">
        <f t="shared" si="79"/>
        <v>1</v>
      </c>
      <c r="C477">
        <f>VALUE(MID(Hex!$C$2,1+2*HEX2DEC(A477)+B477,1))</f>
        <v>4</v>
      </c>
      <c r="D477" s="1" t="str">
        <f t="shared" si="76"/>
        <v>1DB</v>
      </c>
      <c r="E477">
        <f>HEX2DEC(MID(Hex!$C$8,1+HEX2DEC(Edit!D477)*2,2))</f>
        <v>0</v>
      </c>
      <c r="F477">
        <f t="shared" si="77"/>
        <v>475</v>
      </c>
      <c r="G477" t="str">
        <f>_xlfn.LET(_xlpm.custom,_xlfn.XLOOKUP(F477,Data!A:A,Data!C:C),IF(_xlpm.custom="",_xlfn.XLOOKUP(F477,Data!A:A,Data!B:B),_xlpm.custom))</f>
        <v>Card Key</v>
      </c>
      <c r="H477" t="str">
        <f>_xlfn.XLOOKUP(C477,Data!A:A,Data!E:E)</f>
        <v>Key</v>
      </c>
      <c r="J477">
        <f>IF(I477="",C477,_xlfn.XLOOKUP(I477,Data!E:E,Data!A:A,""))</f>
        <v>4</v>
      </c>
      <c r="L477">
        <f t="shared" si="71"/>
        <v>0</v>
      </c>
      <c r="M477">
        <f t="shared" si="72"/>
        <v>0</v>
      </c>
      <c r="N477">
        <f t="shared" si="80"/>
        <v>0</v>
      </c>
      <c r="O477">
        <f t="shared" si="73"/>
        <v>0</v>
      </c>
      <c r="P477">
        <f t="shared" si="74"/>
        <v>0</v>
      </c>
      <c r="R477" t="str">
        <f t="shared" si="75"/>
        <v>00</v>
      </c>
    </row>
    <row r="478" spans="1:18" x14ac:dyDescent="0.4">
      <c r="A478" s="1" t="str">
        <f t="shared" si="78"/>
        <v>0EE</v>
      </c>
      <c r="B478">
        <f t="shared" si="79"/>
        <v>0</v>
      </c>
      <c r="C478">
        <f>VALUE(MID(Hex!$C$2,1+2*HEX2DEC(A478)+B478,1))</f>
        <v>4</v>
      </c>
      <c r="D478" s="1" t="str">
        <f t="shared" si="76"/>
        <v>1DC</v>
      </c>
      <c r="E478">
        <f>HEX2DEC(MID(Hex!$C$8,1+HEX2DEC(Edit!D478)*2,2))</f>
        <v>0</v>
      </c>
      <c r="F478">
        <f t="shared" si="77"/>
        <v>476</v>
      </c>
      <c r="G478" t="str">
        <f>_xlfn.LET(_xlpm.custom,_xlfn.XLOOKUP(F478,Data!A:A,Data!C:C),IF(_xlpm.custom="",_xlfn.XLOOKUP(F478,Data!A:A,Data!B:B),_xlpm.custom))</f>
        <v>Basement Key</v>
      </c>
      <c r="H478" t="str">
        <f>_xlfn.XLOOKUP(C478,Data!A:A,Data!E:E)</f>
        <v>Key</v>
      </c>
      <c r="J478">
        <f>IF(I478="",C478,_xlfn.XLOOKUP(I478,Data!E:E,Data!A:A,""))</f>
        <v>4</v>
      </c>
      <c r="L478">
        <f t="shared" si="71"/>
        <v>0</v>
      </c>
      <c r="M478">
        <f t="shared" si="72"/>
        <v>0</v>
      </c>
      <c r="N478">
        <f t="shared" si="80"/>
        <v>0</v>
      </c>
      <c r="O478">
        <f t="shared" si="73"/>
        <v>0</v>
      </c>
      <c r="P478">
        <f t="shared" si="74"/>
        <v>0</v>
      </c>
      <c r="R478" t="str">
        <f t="shared" si="75"/>
        <v>00</v>
      </c>
    </row>
    <row r="479" spans="1:18" x14ac:dyDescent="0.4">
      <c r="A479" s="1" t="str">
        <f t="shared" si="78"/>
        <v>0EE</v>
      </c>
      <c r="B479">
        <f t="shared" si="79"/>
        <v>1</v>
      </c>
      <c r="C479">
        <f>VALUE(MID(Hex!$C$2,1+2*HEX2DEC(A479)+B479,1))</f>
        <v>4</v>
      </c>
      <c r="D479" s="1" t="str">
        <f t="shared" si="76"/>
        <v>1DD</v>
      </c>
      <c r="E479">
        <f>HEX2DEC(MID(Hex!$C$8,1+HEX2DEC(Edit!D479)*2,2))</f>
        <v>0</v>
      </c>
      <c r="F479">
        <f t="shared" si="77"/>
        <v>477</v>
      </c>
      <c r="G479" t="str">
        <f>_xlfn.LET(_xlpm.custom,_xlfn.XLOOKUP(F479,Data!A:A,Data!C:C),IF(_xlpm.custom="",_xlfn.XLOOKUP(F479,Data!A:A,Data!B:B),_xlpm.custom))</f>
        <v>Squirt Bottle</v>
      </c>
      <c r="H479" t="str">
        <f>_xlfn.XLOOKUP(C479,Data!A:A,Data!E:E)</f>
        <v>Key</v>
      </c>
      <c r="J479">
        <f>IF(I479="",C479,_xlfn.XLOOKUP(I479,Data!E:E,Data!A:A,""))</f>
        <v>4</v>
      </c>
      <c r="L479">
        <f t="shared" si="71"/>
        <v>0</v>
      </c>
      <c r="M479">
        <f t="shared" si="72"/>
        <v>0</v>
      </c>
      <c r="N479">
        <f t="shared" si="80"/>
        <v>0</v>
      </c>
      <c r="O479">
        <f t="shared" si="73"/>
        <v>0</v>
      </c>
      <c r="P479">
        <f t="shared" si="74"/>
        <v>0</v>
      </c>
      <c r="R479" t="str">
        <f t="shared" si="75"/>
        <v>00</v>
      </c>
    </row>
    <row r="480" spans="1:18" x14ac:dyDescent="0.4">
      <c r="A480" s="1" t="str">
        <f t="shared" si="78"/>
        <v>0EF</v>
      </c>
      <c r="B480">
        <f t="shared" si="79"/>
        <v>0</v>
      </c>
      <c r="C480">
        <f>VALUE(MID(Hex!$C$2,1+2*HEX2DEC(A480)+B480,1))</f>
        <v>4</v>
      </c>
      <c r="D480" s="1" t="str">
        <f t="shared" si="76"/>
        <v>1DE</v>
      </c>
      <c r="E480">
        <f>HEX2DEC(MID(Hex!$C$8,1+HEX2DEC(Edit!D480)*2,2))</f>
        <v>0</v>
      </c>
      <c r="F480">
        <f t="shared" si="77"/>
        <v>478</v>
      </c>
      <c r="G480" t="str">
        <f>_xlfn.LET(_xlpm.custom,_xlfn.XLOOKUP(F480,Data!A:A,Data!C:C),IF(_xlpm.custom="",_xlfn.XLOOKUP(F480,Data!A:A,Data!B:B),_xlpm.custom))</f>
        <v>Red Scale</v>
      </c>
      <c r="H480" t="str">
        <f>_xlfn.XLOOKUP(C480,Data!A:A,Data!E:E)</f>
        <v>Key</v>
      </c>
      <c r="J480">
        <f>IF(I480="",C480,_xlfn.XLOOKUP(I480,Data!E:E,Data!A:A,""))</f>
        <v>4</v>
      </c>
      <c r="L480">
        <f t="shared" si="71"/>
        <v>0</v>
      </c>
      <c r="M480">
        <f t="shared" si="72"/>
        <v>0</v>
      </c>
      <c r="N480">
        <f t="shared" si="80"/>
        <v>0</v>
      </c>
      <c r="O480">
        <f t="shared" si="73"/>
        <v>0</v>
      </c>
      <c r="P480">
        <f t="shared" si="74"/>
        <v>0</v>
      </c>
      <c r="R480" t="str">
        <f t="shared" si="75"/>
        <v>00</v>
      </c>
    </row>
    <row r="481" spans="1:18" x14ac:dyDescent="0.4">
      <c r="A481" s="1" t="str">
        <f t="shared" si="78"/>
        <v>0EF</v>
      </c>
      <c r="B481">
        <f t="shared" si="79"/>
        <v>1</v>
      </c>
      <c r="C481">
        <f>VALUE(MID(Hex!$C$2,1+2*HEX2DEC(A481)+B481,1))</f>
        <v>4</v>
      </c>
      <c r="D481" s="1" t="str">
        <f t="shared" si="76"/>
        <v>1DF</v>
      </c>
      <c r="E481">
        <f>HEX2DEC(MID(Hex!$C$8,1+HEX2DEC(Edit!D481)*2,2))</f>
        <v>0</v>
      </c>
      <c r="F481">
        <f t="shared" si="77"/>
        <v>479</v>
      </c>
      <c r="G481" t="str">
        <f>_xlfn.LET(_xlpm.custom,_xlfn.XLOOKUP(F481,Data!A:A,Data!C:C),IF(_xlpm.custom="",_xlfn.XLOOKUP(F481,Data!A:A,Data!B:B),_xlpm.custom))</f>
        <v>Lost Item</v>
      </c>
      <c r="H481" t="str">
        <f>_xlfn.XLOOKUP(C481,Data!A:A,Data!E:E)</f>
        <v>Key</v>
      </c>
      <c r="J481">
        <f>IF(I481="",C481,_xlfn.XLOOKUP(I481,Data!E:E,Data!A:A,""))</f>
        <v>4</v>
      </c>
      <c r="L481">
        <f t="shared" si="71"/>
        <v>0</v>
      </c>
      <c r="M481">
        <f t="shared" si="72"/>
        <v>0</v>
      </c>
      <c r="N481">
        <f t="shared" si="80"/>
        <v>0</v>
      </c>
      <c r="O481">
        <f t="shared" si="73"/>
        <v>0</v>
      </c>
      <c r="P481">
        <f t="shared" si="74"/>
        <v>0</v>
      </c>
      <c r="R481" t="str">
        <f t="shared" si="75"/>
        <v>00</v>
      </c>
    </row>
    <row r="482" spans="1:18" x14ac:dyDescent="0.4">
      <c r="A482" s="1" t="str">
        <f t="shared" si="78"/>
        <v>0F0</v>
      </c>
      <c r="B482">
        <f t="shared" si="79"/>
        <v>0</v>
      </c>
      <c r="C482">
        <f>VALUE(MID(Hex!$C$2,1+2*HEX2DEC(A482)+B482,1))</f>
        <v>4</v>
      </c>
      <c r="D482" s="1" t="str">
        <f t="shared" si="76"/>
        <v>1E0</v>
      </c>
      <c r="E482">
        <f>HEX2DEC(MID(Hex!$C$8,1+HEX2DEC(Edit!D482)*2,2))</f>
        <v>0</v>
      </c>
      <c r="F482">
        <f t="shared" si="77"/>
        <v>480</v>
      </c>
      <c r="G482" t="str">
        <f>_xlfn.LET(_xlpm.custom,_xlfn.XLOOKUP(F482,Data!A:A,Data!C:C),IF(_xlpm.custom="",_xlfn.XLOOKUP(F482,Data!A:A,Data!B:B),_xlpm.custom))</f>
        <v>Pass</v>
      </c>
      <c r="H482" t="str">
        <f>_xlfn.XLOOKUP(C482,Data!A:A,Data!E:E)</f>
        <v>Key</v>
      </c>
      <c r="J482">
        <f>IF(I482="",C482,_xlfn.XLOOKUP(I482,Data!E:E,Data!A:A,""))</f>
        <v>4</v>
      </c>
      <c r="L482">
        <f t="shared" si="71"/>
        <v>0</v>
      </c>
      <c r="M482">
        <f t="shared" si="72"/>
        <v>0</v>
      </c>
      <c r="N482">
        <f t="shared" si="80"/>
        <v>0</v>
      </c>
      <c r="O482">
        <f t="shared" si="73"/>
        <v>0</v>
      </c>
      <c r="P482">
        <f t="shared" si="74"/>
        <v>0</v>
      </c>
      <c r="R482" t="str">
        <f t="shared" si="75"/>
        <v>00</v>
      </c>
    </row>
    <row r="483" spans="1:18" x14ac:dyDescent="0.4">
      <c r="A483" s="1" t="str">
        <f t="shared" si="78"/>
        <v>0F0</v>
      </c>
      <c r="B483">
        <f t="shared" si="79"/>
        <v>1</v>
      </c>
      <c r="C483">
        <f>VALUE(MID(Hex!$C$2,1+2*HEX2DEC(A483)+B483,1))</f>
        <v>4</v>
      </c>
      <c r="D483" s="1" t="str">
        <f t="shared" si="76"/>
        <v>1E1</v>
      </c>
      <c r="E483">
        <f>HEX2DEC(MID(Hex!$C$8,1+HEX2DEC(Edit!D483)*2,2))</f>
        <v>0</v>
      </c>
      <c r="F483">
        <f t="shared" si="77"/>
        <v>481</v>
      </c>
      <c r="G483" t="str">
        <f>_xlfn.LET(_xlpm.custom,_xlfn.XLOOKUP(F483,Data!A:A,Data!C:C),IF(_xlpm.custom="",_xlfn.XLOOKUP(F483,Data!A:A,Data!B:B),_xlpm.custom))</f>
        <v>Machine Part</v>
      </c>
      <c r="H483" t="str">
        <f>_xlfn.XLOOKUP(C483,Data!A:A,Data!E:E)</f>
        <v>Key</v>
      </c>
      <c r="J483">
        <f>IF(I483="",C483,_xlfn.XLOOKUP(I483,Data!E:E,Data!A:A,""))</f>
        <v>4</v>
      </c>
      <c r="L483">
        <f t="shared" si="71"/>
        <v>0</v>
      </c>
      <c r="M483">
        <f t="shared" si="72"/>
        <v>0</v>
      </c>
      <c r="N483">
        <f t="shared" si="80"/>
        <v>0</v>
      </c>
      <c r="O483">
        <f t="shared" si="73"/>
        <v>0</v>
      </c>
      <c r="P483">
        <f t="shared" si="74"/>
        <v>0</v>
      </c>
      <c r="R483" t="str">
        <f t="shared" si="75"/>
        <v>00</v>
      </c>
    </row>
    <row r="484" spans="1:18" x14ac:dyDescent="0.4">
      <c r="A484" s="1" t="str">
        <f t="shared" si="78"/>
        <v>0F1</v>
      </c>
      <c r="B484">
        <f t="shared" si="79"/>
        <v>0</v>
      </c>
      <c r="C484">
        <f>VALUE(MID(Hex!$C$2,1+2*HEX2DEC(A484)+B484,1))</f>
        <v>4</v>
      </c>
      <c r="D484" s="1" t="str">
        <f t="shared" si="76"/>
        <v>1E2</v>
      </c>
      <c r="E484">
        <f>HEX2DEC(MID(Hex!$C$8,1+HEX2DEC(Edit!D484)*2,2))</f>
        <v>0</v>
      </c>
      <c r="F484">
        <f t="shared" si="77"/>
        <v>482</v>
      </c>
      <c r="G484" t="str">
        <f>_xlfn.LET(_xlpm.custom,_xlfn.XLOOKUP(F484,Data!A:A,Data!C:C),IF(_xlpm.custom="",_xlfn.XLOOKUP(F484,Data!A:A,Data!B:B),_xlpm.custom))</f>
        <v>Silver Wing</v>
      </c>
      <c r="H484" t="str">
        <f>_xlfn.XLOOKUP(C484,Data!A:A,Data!E:E)</f>
        <v>Key</v>
      </c>
      <c r="J484">
        <f>IF(I484="",C484,_xlfn.XLOOKUP(I484,Data!E:E,Data!A:A,""))</f>
        <v>4</v>
      </c>
      <c r="L484">
        <f t="shared" si="71"/>
        <v>0</v>
      </c>
      <c r="M484">
        <f t="shared" si="72"/>
        <v>0</v>
      </c>
      <c r="N484">
        <f t="shared" si="80"/>
        <v>0</v>
      </c>
      <c r="O484">
        <f t="shared" si="73"/>
        <v>0</v>
      </c>
      <c r="P484">
        <f t="shared" si="74"/>
        <v>0</v>
      </c>
      <c r="R484" t="str">
        <f t="shared" si="75"/>
        <v>00</v>
      </c>
    </row>
    <row r="485" spans="1:18" x14ac:dyDescent="0.4">
      <c r="A485" s="1" t="str">
        <f t="shared" si="78"/>
        <v>0F1</v>
      </c>
      <c r="B485">
        <f t="shared" si="79"/>
        <v>1</v>
      </c>
      <c r="C485">
        <f>VALUE(MID(Hex!$C$2,1+2*HEX2DEC(A485)+B485,1))</f>
        <v>4</v>
      </c>
      <c r="D485" s="1" t="str">
        <f t="shared" si="76"/>
        <v>1E3</v>
      </c>
      <c r="E485">
        <f>HEX2DEC(MID(Hex!$C$8,1+HEX2DEC(Edit!D485)*2,2))</f>
        <v>0</v>
      </c>
      <c r="F485">
        <f t="shared" si="77"/>
        <v>483</v>
      </c>
      <c r="G485" t="str">
        <f>_xlfn.LET(_xlpm.custom,_xlfn.XLOOKUP(F485,Data!A:A,Data!C:C),IF(_xlpm.custom="",_xlfn.XLOOKUP(F485,Data!A:A,Data!B:B),_xlpm.custom))</f>
        <v>Rainbow Wing</v>
      </c>
      <c r="H485" t="str">
        <f>_xlfn.XLOOKUP(C485,Data!A:A,Data!E:E)</f>
        <v>Key</v>
      </c>
      <c r="J485">
        <f>IF(I485="",C485,_xlfn.XLOOKUP(I485,Data!E:E,Data!A:A,""))</f>
        <v>4</v>
      </c>
      <c r="L485">
        <f t="shared" si="71"/>
        <v>0</v>
      </c>
      <c r="M485">
        <f t="shared" si="72"/>
        <v>0</v>
      </c>
      <c r="N485">
        <f t="shared" si="80"/>
        <v>0</v>
      </c>
      <c r="O485">
        <f t="shared" si="73"/>
        <v>0</v>
      </c>
      <c r="P485">
        <f t="shared" si="74"/>
        <v>0</v>
      </c>
      <c r="R485" t="str">
        <f t="shared" si="75"/>
        <v>00</v>
      </c>
    </row>
    <row r="486" spans="1:18" x14ac:dyDescent="0.4">
      <c r="A486" s="1" t="str">
        <f t="shared" si="78"/>
        <v>0F2</v>
      </c>
      <c r="B486">
        <f t="shared" si="79"/>
        <v>0</v>
      </c>
      <c r="C486">
        <f>VALUE(MID(Hex!$C$2,1+2*HEX2DEC(A486)+B486,1))</f>
        <v>4</v>
      </c>
      <c r="D486" s="1" t="str">
        <f t="shared" si="76"/>
        <v>1E4</v>
      </c>
      <c r="E486">
        <f>HEX2DEC(MID(Hex!$C$8,1+HEX2DEC(Edit!D486)*2,2))</f>
        <v>0</v>
      </c>
      <c r="F486">
        <f t="shared" si="77"/>
        <v>484</v>
      </c>
      <c r="G486" t="str">
        <f>_xlfn.LET(_xlpm.custom,_xlfn.XLOOKUP(F486,Data!A:A,Data!C:C),IF(_xlpm.custom="",_xlfn.XLOOKUP(F486,Data!A:A,Data!B:B),_xlpm.custom))</f>
        <v>Mystery Egg</v>
      </c>
      <c r="H486" t="str">
        <f>_xlfn.XLOOKUP(C486,Data!A:A,Data!E:E)</f>
        <v>Key</v>
      </c>
      <c r="J486">
        <f>IF(I486="",C486,_xlfn.XLOOKUP(I486,Data!E:E,Data!A:A,""))</f>
        <v>4</v>
      </c>
      <c r="L486">
        <f t="shared" si="71"/>
        <v>0</v>
      </c>
      <c r="M486">
        <f t="shared" si="72"/>
        <v>0</v>
      </c>
      <c r="N486">
        <f t="shared" si="80"/>
        <v>0</v>
      </c>
      <c r="O486">
        <f t="shared" si="73"/>
        <v>0</v>
      </c>
      <c r="P486">
        <f t="shared" si="74"/>
        <v>0</v>
      </c>
      <c r="R486" t="str">
        <f t="shared" si="75"/>
        <v>00</v>
      </c>
    </row>
    <row r="487" spans="1:18" x14ac:dyDescent="0.4">
      <c r="A487" s="1" t="str">
        <f t="shared" si="78"/>
        <v>0F2</v>
      </c>
      <c r="B487">
        <f t="shared" si="79"/>
        <v>1</v>
      </c>
      <c r="C487">
        <f>VALUE(MID(Hex!$C$2,1+2*HEX2DEC(A487)+B487,1))</f>
        <v>0</v>
      </c>
      <c r="D487" s="1" t="str">
        <f t="shared" si="76"/>
        <v>1E5</v>
      </c>
      <c r="E487">
        <f>HEX2DEC(MID(Hex!$C$8,1+HEX2DEC(Edit!D487)*2,2))</f>
        <v>0</v>
      </c>
      <c r="F487">
        <f t="shared" si="77"/>
        <v>485</v>
      </c>
      <c r="G487" t="str">
        <f>_xlfn.LET(_xlpm.custom,_xlfn.XLOOKUP(F487,Data!A:A,Data!C:C),IF(_xlpm.custom="",_xlfn.XLOOKUP(F487,Data!A:A,Data!B:B),_xlpm.custom))</f>
        <v>Red Apricorn</v>
      </c>
      <c r="H487" t="str">
        <f>_xlfn.XLOOKUP(C487,Data!A:A,Data!E:E)</f>
        <v>General</v>
      </c>
      <c r="J487">
        <f>IF(I487="",C487,_xlfn.XLOOKUP(I487,Data!E:E,Data!A:A,""))</f>
        <v>0</v>
      </c>
      <c r="L487">
        <f t="shared" si="71"/>
        <v>0</v>
      </c>
      <c r="M487">
        <f t="shared" si="72"/>
        <v>0</v>
      </c>
      <c r="N487">
        <f t="shared" si="80"/>
        <v>0</v>
      </c>
      <c r="O487">
        <f t="shared" si="73"/>
        <v>0</v>
      </c>
      <c r="P487">
        <f t="shared" si="74"/>
        <v>0</v>
      </c>
      <c r="R487" t="str">
        <f t="shared" si="75"/>
        <v>00</v>
      </c>
    </row>
    <row r="488" spans="1:18" x14ac:dyDescent="0.4">
      <c r="A488" s="1" t="str">
        <f t="shared" si="78"/>
        <v>0F3</v>
      </c>
      <c r="B488">
        <f t="shared" si="79"/>
        <v>0</v>
      </c>
      <c r="C488">
        <f>VALUE(MID(Hex!$C$2,1+2*HEX2DEC(A488)+B488,1))</f>
        <v>0</v>
      </c>
      <c r="D488" s="1" t="str">
        <f t="shared" si="76"/>
        <v>1E6</v>
      </c>
      <c r="E488">
        <f>HEX2DEC(MID(Hex!$C$8,1+HEX2DEC(Edit!D488)*2,2))</f>
        <v>0</v>
      </c>
      <c r="F488">
        <f t="shared" si="77"/>
        <v>486</v>
      </c>
      <c r="G488" t="str">
        <f>_xlfn.LET(_xlpm.custom,_xlfn.XLOOKUP(F488,Data!A:A,Data!C:C),IF(_xlpm.custom="",_xlfn.XLOOKUP(F488,Data!A:A,Data!B:B),_xlpm.custom))</f>
        <v>Blue Apricorn</v>
      </c>
      <c r="H488" t="str">
        <f>_xlfn.XLOOKUP(C488,Data!A:A,Data!E:E)</f>
        <v>General</v>
      </c>
      <c r="J488">
        <f>IF(I488="",C488,_xlfn.XLOOKUP(I488,Data!E:E,Data!A:A,""))</f>
        <v>0</v>
      </c>
      <c r="L488">
        <f t="shared" si="71"/>
        <v>0</v>
      </c>
      <c r="M488">
        <f t="shared" si="72"/>
        <v>0</v>
      </c>
      <c r="N488">
        <f t="shared" si="80"/>
        <v>0</v>
      </c>
      <c r="O488">
        <f t="shared" si="73"/>
        <v>0</v>
      </c>
      <c r="P488">
        <f t="shared" si="74"/>
        <v>0</v>
      </c>
      <c r="R488" t="str">
        <f t="shared" si="75"/>
        <v>00</v>
      </c>
    </row>
    <row r="489" spans="1:18" x14ac:dyDescent="0.4">
      <c r="A489" s="1" t="str">
        <f t="shared" si="78"/>
        <v>0F3</v>
      </c>
      <c r="B489">
        <f t="shared" si="79"/>
        <v>1</v>
      </c>
      <c r="C489">
        <f>VALUE(MID(Hex!$C$2,1+2*HEX2DEC(A489)+B489,1))</f>
        <v>0</v>
      </c>
      <c r="D489" s="1" t="str">
        <f t="shared" si="76"/>
        <v>1E7</v>
      </c>
      <c r="E489">
        <f>HEX2DEC(MID(Hex!$C$8,1+HEX2DEC(Edit!D489)*2,2))</f>
        <v>0</v>
      </c>
      <c r="F489">
        <f t="shared" si="77"/>
        <v>487</v>
      </c>
      <c r="G489" t="str">
        <f>_xlfn.LET(_xlpm.custom,_xlfn.XLOOKUP(F489,Data!A:A,Data!C:C),IF(_xlpm.custom="",_xlfn.XLOOKUP(F489,Data!A:A,Data!B:B),_xlpm.custom))</f>
        <v>Yellow Apricorn</v>
      </c>
      <c r="H489" t="str">
        <f>_xlfn.XLOOKUP(C489,Data!A:A,Data!E:E)</f>
        <v>General</v>
      </c>
      <c r="J489">
        <f>IF(I489="",C489,_xlfn.XLOOKUP(I489,Data!E:E,Data!A:A,""))</f>
        <v>0</v>
      </c>
      <c r="L489">
        <f t="shared" si="71"/>
        <v>0</v>
      </c>
      <c r="M489">
        <f t="shared" si="72"/>
        <v>0</v>
      </c>
      <c r="N489">
        <f t="shared" si="80"/>
        <v>0</v>
      </c>
      <c r="O489">
        <f t="shared" si="73"/>
        <v>0</v>
      </c>
      <c r="P489">
        <f t="shared" si="74"/>
        <v>0</v>
      </c>
      <c r="R489" t="str">
        <f t="shared" si="75"/>
        <v>00</v>
      </c>
    </row>
    <row r="490" spans="1:18" x14ac:dyDescent="0.4">
      <c r="A490" s="1" t="str">
        <f t="shared" si="78"/>
        <v>0F4</v>
      </c>
      <c r="B490">
        <f t="shared" si="79"/>
        <v>0</v>
      </c>
      <c r="C490">
        <f>VALUE(MID(Hex!$C$2,1+2*HEX2DEC(A490)+B490,1))</f>
        <v>0</v>
      </c>
      <c r="D490" s="1" t="str">
        <f t="shared" si="76"/>
        <v>1E8</v>
      </c>
      <c r="E490">
        <f>HEX2DEC(MID(Hex!$C$8,1+HEX2DEC(Edit!D490)*2,2))</f>
        <v>0</v>
      </c>
      <c r="F490">
        <f t="shared" si="77"/>
        <v>488</v>
      </c>
      <c r="G490" t="str">
        <f>_xlfn.LET(_xlpm.custom,_xlfn.XLOOKUP(F490,Data!A:A,Data!C:C),IF(_xlpm.custom="",_xlfn.XLOOKUP(F490,Data!A:A,Data!B:B),_xlpm.custom))</f>
        <v>Green Apricorn</v>
      </c>
      <c r="H490" t="str">
        <f>_xlfn.XLOOKUP(C490,Data!A:A,Data!E:E)</f>
        <v>General</v>
      </c>
      <c r="J490">
        <f>IF(I490="",C490,_xlfn.XLOOKUP(I490,Data!E:E,Data!A:A,""))</f>
        <v>0</v>
      </c>
      <c r="L490">
        <f t="shared" si="71"/>
        <v>0</v>
      </c>
      <c r="M490">
        <f t="shared" si="72"/>
        <v>0</v>
      </c>
      <c r="N490">
        <f t="shared" si="80"/>
        <v>0</v>
      </c>
      <c r="O490">
        <f t="shared" si="73"/>
        <v>0</v>
      </c>
      <c r="P490">
        <f t="shared" si="74"/>
        <v>0</v>
      </c>
      <c r="R490" t="str">
        <f t="shared" si="75"/>
        <v>00</v>
      </c>
    </row>
    <row r="491" spans="1:18" x14ac:dyDescent="0.4">
      <c r="A491" s="1" t="str">
        <f t="shared" si="78"/>
        <v>0F4</v>
      </c>
      <c r="B491">
        <f t="shared" si="79"/>
        <v>1</v>
      </c>
      <c r="C491">
        <f>VALUE(MID(Hex!$C$2,1+2*HEX2DEC(A491)+B491,1))</f>
        <v>0</v>
      </c>
      <c r="D491" s="1" t="str">
        <f t="shared" si="76"/>
        <v>1E9</v>
      </c>
      <c r="E491">
        <f>HEX2DEC(MID(Hex!$C$8,1+HEX2DEC(Edit!D491)*2,2))</f>
        <v>0</v>
      </c>
      <c r="F491">
        <f t="shared" si="77"/>
        <v>489</v>
      </c>
      <c r="G491" t="str">
        <f>_xlfn.LET(_xlpm.custom,_xlfn.XLOOKUP(F491,Data!A:A,Data!C:C),IF(_xlpm.custom="",_xlfn.XLOOKUP(F491,Data!A:A,Data!B:B),_xlpm.custom))</f>
        <v>Pink Apricorn</v>
      </c>
      <c r="H491" t="str">
        <f>_xlfn.XLOOKUP(C491,Data!A:A,Data!E:E)</f>
        <v>General</v>
      </c>
      <c r="J491">
        <f>IF(I491="",C491,_xlfn.XLOOKUP(I491,Data!E:E,Data!A:A,""))</f>
        <v>0</v>
      </c>
      <c r="L491">
        <f t="shared" si="71"/>
        <v>0</v>
      </c>
      <c r="M491">
        <f t="shared" si="72"/>
        <v>0</v>
      </c>
      <c r="N491">
        <f t="shared" si="80"/>
        <v>0</v>
      </c>
      <c r="O491">
        <f t="shared" si="73"/>
        <v>0</v>
      </c>
      <c r="P491">
        <f t="shared" si="74"/>
        <v>0</v>
      </c>
      <c r="R491" t="str">
        <f t="shared" si="75"/>
        <v>00</v>
      </c>
    </row>
    <row r="492" spans="1:18" x14ac:dyDescent="0.4">
      <c r="A492" s="1" t="str">
        <f t="shared" si="78"/>
        <v>0F5</v>
      </c>
      <c r="B492">
        <f t="shared" si="79"/>
        <v>0</v>
      </c>
      <c r="C492">
        <f>VALUE(MID(Hex!$C$2,1+2*HEX2DEC(A492)+B492,1))</f>
        <v>0</v>
      </c>
      <c r="D492" s="1" t="str">
        <f t="shared" si="76"/>
        <v>1EA</v>
      </c>
      <c r="E492">
        <f>HEX2DEC(MID(Hex!$C$8,1+HEX2DEC(Edit!D492)*2,2))</f>
        <v>0</v>
      </c>
      <c r="F492">
        <f t="shared" si="77"/>
        <v>490</v>
      </c>
      <c r="G492" t="str">
        <f>_xlfn.LET(_xlpm.custom,_xlfn.XLOOKUP(F492,Data!A:A,Data!C:C),IF(_xlpm.custom="",_xlfn.XLOOKUP(F492,Data!A:A,Data!B:B),_xlpm.custom))</f>
        <v>White Apricorn</v>
      </c>
      <c r="H492" t="str">
        <f>_xlfn.XLOOKUP(C492,Data!A:A,Data!E:E)</f>
        <v>General</v>
      </c>
      <c r="J492">
        <f>IF(I492="",C492,_xlfn.XLOOKUP(I492,Data!E:E,Data!A:A,""))</f>
        <v>0</v>
      </c>
      <c r="L492">
        <f t="shared" si="71"/>
        <v>0</v>
      </c>
      <c r="M492">
        <f t="shared" si="72"/>
        <v>0</v>
      </c>
      <c r="N492">
        <f t="shared" si="80"/>
        <v>0</v>
      </c>
      <c r="O492">
        <f t="shared" si="73"/>
        <v>0</v>
      </c>
      <c r="P492">
        <f t="shared" si="74"/>
        <v>0</v>
      </c>
      <c r="R492" t="str">
        <f t="shared" si="75"/>
        <v>00</v>
      </c>
    </row>
    <row r="493" spans="1:18" x14ac:dyDescent="0.4">
      <c r="A493" s="1" t="str">
        <f t="shared" si="78"/>
        <v>0F5</v>
      </c>
      <c r="B493">
        <f t="shared" si="79"/>
        <v>1</v>
      </c>
      <c r="C493">
        <f>VALUE(MID(Hex!$C$2,1+2*HEX2DEC(A493)+B493,1))</f>
        <v>0</v>
      </c>
      <c r="D493" s="1" t="str">
        <f t="shared" si="76"/>
        <v>1EB</v>
      </c>
      <c r="E493">
        <f>HEX2DEC(MID(Hex!$C$8,1+HEX2DEC(Edit!D493)*2,2))</f>
        <v>0</v>
      </c>
      <c r="F493">
        <f t="shared" si="77"/>
        <v>491</v>
      </c>
      <c r="G493" t="str">
        <f>_xlfn.LET(_xlpm.custom,_xlfn.XLOOKUP(F493,Data!A:A,Data!C:C),IF(_xlpm.custom="",_xlfn.XLOOKUP(F493,Data!A:A,Data!B:B),_xlpm.custom))</f>
        <v>Black Apricorn</v>
      </c>
      <c r="H493" t="str">
        <f>_xlfn.XLOOKUP(C493,Data!A:A,Data!E:E)</f>
        <v>General</v>
      </c>
      <c r="J493">
        <f>IF(I493="",C493,_xlfn.XLOOKUP(I493,Data!E:E,Data!A:A,""))</f>
        <v>0</v>
      </c>
      <c r="L493">
        <f t="shared" si="71"/>
        <v>0</v>
      </c>
      <c r="M493">
        <f t="shared" si="72"/>
        <v>0</v>
      </c>
      <c r="N493">
        <f t="shared" si="80"/>
        <v>0</v>
      </c>
      <c r="O493">
        <f t="shared" si="73"/>
        <v>0</v>
      </c>
      <c r="P493">
        <f t="shared" si="74"/>
        <v>0</v>
      </c>
      <c r="R493" t="str">
        <f t="shared" si="75"/>
        <v>00</v>
      </c>
    </row>
    <row r="494" spans="1:18" x14ac:dyDescent="0.4">
      <c r="A494" s="1" t="str">
        <f t="shared" si="78"/>
        <v>0F6</v>
      </c>
      <c r="B494">
        <f t="shared" si="79"/>
        <v>0</v>
      </c>
      <c r="C494">
        <f>VALUE(MID(Hex!$C$2,1+2*HEX2DEC(A494)+B494,1))</f>
        <v>0</v>
      </c>
      <c r="D494" s="1" t="str">
        <f t="shared" si="76"/>
        <v>1EC</v>
      </c>
      <c r="E494">
        <f>HEX2DEC(MID(Hex!$C$8,1+HEX2DEC(Edit!D494)*2,2))</f>
        <v>1</v>
      </c>
      <c r="F494">
        <f t="shared" si="77"/>
        <v>492</v>
      </c>
      <c r="G494" t="str">
        <f>_xlfn.LET(_xlpm.custom,_xlfn.XLOOKUP(F494,Data!A:A,Data!C:C),IF(_xlpm.custom="",_xlfn.XLOOKUP(F494,Data!A:A,Data!B:B),_xlpm.custom))</f>
        <v>Fast Ball</v>
      </c>
      <c r="H494" t="str">
        <f>_xlfn.XLOOKUP(C494,Data!A:A,Data!E:E)</f>
        <v>General</v>
      </c>
      <c r="J494">
        <f>IF(I494="",C494,_xlfn.XLOOKUP(I494,Data!E:E,Data!A:A,""))</f>
        <v>0</v>
      </c>
      <c r="L494">
        <f t="shared" si="71"/>
        <v>1</v>
      </c>
      <c r="M494">
        <f t="shared" si="72"/>
        <v>0</v>
      </c>
      <c r="N494">
        <f t="shared" si="80"/>
        <v>0</v>
      </c>
      <c r="O494">
        <f t="shared" si="73"/>
        <v>0</v>
      </c>
      <c r="P494">
        <f t="shared" si="74"/>
        <v>0</v>
      </c>
      <c r="R494" t="str">
        <f t="shared" si="75"/>
        <v>01</v>
      </c>
    </row>
    <row r="495" spans="1:18" x14ac:dyDescent="0.4">
      <c r="A495" s="1" t="str">
        <f t="shared" si="78"/>
        <v>0F6</v>
      </c>
      <c r="B495">
        <f t="shared" si="79"/>
        <v>1</v>
      </c>
      <c r="C495">
        <f>VALUE(MID(Hex!$C$2,1+2*HEX2DEC(A495)+B495,1))</f>
        <v>0</v>
      </c>
      <c r="D495" s="1" t="str">
        <f t="shared" si="76"/>
        <v>1ED</v>
      </c>
      <c r="E495">
        <f>HEX2DEC(MID(Hex!$C$8,1+HEX2DEC(Edit!D495)*2,2))</f>
        <v>1</v>
      </c>
      <c r="F495">
        <f t="shared" si="77"/>
        <v>493</v>
      </c>
      <c r="G495" t="str">
        <f>_xlfn.LET(_xlpm.custom,_xlfn.XLOOKUP(F495,Data!A:A,Data!C:C),IF(_xlpm.custom="",_xlfn.XLOOKUP(F495,Data!A:A,Data!B:B),_xlpm.custom))</f>
        <v>Level Ball</v>
      </c>
      <c r="H495" t="str">
        <f>_xlfn.XLOOKUP(C495,Data!A:A,Data!E:E)</f>
        <v>General</v>
      </c>
      <c r="J495">
        <f>IF(I495="",C495,_xlfn.XLOOKUP(I495,Data!E:E,Data!A:A,""))</f>
        <v>0</v>
      </c>
      <c r="L495">
        <f t="shared" si="71"/>
        <v>1</v>
      </c>
      <c r="M495">
        <f t="shared" si="72"/>
        <v>0</v>
      </c>
      <c r="N495">
        <f t="shared" si="80"/>
        <v>0</v>
      </c>
      <c r="O495">
        <f t="shared" si="73"/>
        <v>0</v>
      </c>
      <c r="P495">
        <f t="shared" si="74"/>
        <v>0</v>
      </c>
      <c r="R495" t="str">
        <f t="shared" si="75"/>
        <v>01</v>
      </c>
    </row>
    <row r="496" spans="1:18" x14ac:dyDescent="0.4">
      <c r="A496" s="1" t="str">
        <f t="shared" si="78"/>
        <v>0F7</v>
      </c>
      <c r="B496">
        <f t="shared" si="79"/>
        <v>0</v>
      </c>
      <c r="C496">
        <f>VALUE(MID(Hex!$C$2,1+2*HEX2DEC(A496)+B496,1))</f>
        <v>0</v>
      </c>
      <c r="D496" s="1" t="str">
        <f t="shared" si="76"/>
        <v>1EE</v>
      </c>
      <c r="E496">
        <f>HEX2DEC(MID(Hex!$C$8,1+HEX2DEC(Edit!D496)*2,2))</f>
        <v>1</v>
      </c>
      <c r="F496">
        <f t="shared" si="77"/>
        <v>494</v>
      </c>
      <c r="G496" t="str">
        <f>_xlfn.LET(_xlpm.custom,_xlfn.XLOOKUP(F496,Data!A:A,Data!C:C),IF(_xlpm.custom="",_xlfn.XLOOKUP(F496,Data!A:A,Data!B:B),_xlpm.custom))</f>
        <v>Lure Ball</v>
      </c>
      <c r="H496" t="str">
        <f>_xlfn.XLOOKUP(C496,Data!A:A,Data!E:E)</f>
        <v>General</v>
      </c>
      <c r="J496">
        <f>IF(I496="",C496,_xlfn.XLOOKUP(I496,Data!E:E,Data!A:A,""))</f>
        <v>0</v>
      </c>
      <c r="L496">
        <f t="shared" si="71"/>
        <v>1</v>
      </c>
      <c r="M496">
        <f t="shared" si="72"/>
        <v>0</v>
      </c>
      <c r="N496">
        <f t="shared" si="80"/>
        <v>0</v>
      </c>
      <c r="O496">
        <f t="shared" si="73"/>
        <v>0</v>
      </c>
      <c r="P496">
        <f t="shared" si="74"/>
        <v>0</v>
      </c>
      <c r="R496" t="str">
        <f t="shared" si="75"/>
        <v>01</v>
      </c>
    </row>
    <row r="497" spans="1:18" x14ac:dyDescent="0.4">
      <c r="A497" s="1" t="str">
        <f t="shared" si="78"/>
        <v>0F7</v>
      </c>
      <c r="B497">
        <f t="shared" si="79"/>
        <v>1</v>
      </c>
      <c r="C497">
        <f>VALUE(MID(Hex!$C$2,1+2*HEX2DEC(A497)+B497,1))</f>
        <v>0</v>
      </c>
      <c r="D497" s="1" t="str">
        <f t="shared" si="76"/>
        <v>1EF</v>
      </c>
      <c r="E497">
        <f>HEX2DEC(MID(Hex!$C$8,1+HEX2DEC(Edit!D497)*2,2))</f>
        <v>1</v>
      </c>
      <c r="F497">
        <f t="shared" si="77"/>
        <v>495</v>
      </c>
      <c r="G497" t="str">
        <f>_xlfn.LET(_xlpm.custom,_xlfn.XLOOKUP(F497,Data!A:A,Data!C:C),IF(_xlpm.custom="",_xlfn.XLOOKUP(F497,Data!A:A,Data!B:B),_xlpm.custom))</f>
        <v>Heavy Ball</v>
      </c>
      <c r="H497" t="str">
        <f>_xlfn.XLOOKUP(C497,Data!A:A,Data!E:E)</f>
        <v>General</v>
      </c>
      <c r="J497">
        <f>IF(I497="",C497,_xlfn.XLOOKUP(I497,Data!E:E,Data!A:A,""))</f>
        <v>0</v>
      </c>
      <c r="L497">
        <f t="shared" si="71"/>
        <v>1</v>
      </c>
      <c r="M497">
        <f t="shared" si="72"/>
        <v>0</v>
      </c>
      <c r="N497">
        <f t="shared" si="80"/>
        <v>0</v>
      </c>
      <c r="O497">
        <f t="shared" si="73"/>
        <v>0</v>
      </c>
      <c r="P497">
        <f t="shared" si="74"/>
        <v>0</v>
      </c>
      <c r="R497" t="str">
        <f t="shared" si="75"/>
        <v>01</v>
      </c>
    </row>
    <row r="498" spans="1:18" x14ac:dyDescent="0.4">
      <c r="A498" s="1" t="str">
        <f t="shared" si="78"/>
        <v>0F8</v>
      </c>
      <c r="B498">
        <f t="shared" si="79"/>
        <v>0</v>
      </c>
      <c r="C498">
        <f>VALUE(MID(Hex!$C$2,1+2*HEX2DEC(A498)+B498,1))</f>
        <v>0</v>
      </c>
      <c r="D498" s="1" t="str">
        <f t="shared" si="76"/>
        <v>1F0</v>
      </c>
      <c r="E498">
        <f>HEX2DEC(MID(Hex!$C$8,1+HEX2DEC(Edit!D498)*2,2))</f>
        <v>1</v>
      </c>
      <c r="F498">
        <f t="shared" si="77"/>
        <v>496</v>
      </c>
      <c r="G498" t="str">
        <f>_xlfn.LET(_xlpm.custom,_xlfn.XLOOKUP(F498,Data!A:A,Data!C:C),IF(_xlpm.custom="",_xlfn.XLOOKUP(F498,Data!A:A,Data!B:B),_xlpm.custom))</f>
        <v>Love Ball</v>
      </c>
      <c r="H498" t="str">
        <f>_xlfn.XLOOKUP(C498,Data!A:A,Data!E:E)</f>
        <v>General</v>
      </c>
      <c r="J498">
        <f>IF(I498="",C498,_xlfn.XLOOKUP(I498,Data!E:E,Data!A:A,""))</f>
        <v>0</v>
      </c>
      <c r="L498">
        <f t="shared" si="71"/>
        <v>1</v>
      </c>
      <c r="M498">
        <f t="shared" si="72"/>
        <v>0</v>
      </c>
      <c r="N498">
        <f t="shared" si="80"/>
        <v>0</v>
      </c>
      <c r="O498">
        <f t="shared" si="73"/>
        <v>0</v>
      </c>
      <c r="P498">
        <f t="shared" si="74"/>
        <v>0</v>
      </c>
      <c r="R498" t="str">
        <f t="shared" si="75"/>
        <v>01</v>
      </c>
    </row>
    <row r="499" spans="1:18" x14ac:dyDescent="0.4">
      <c r="A499" s="1" t="str">
        <f t="shared" si="78"/>
        <v>0F8</v>
      </c>
      <c r="B499">
        <f t="shared" si="79"/>
        <v>1</v>
      </c>
      <c r="C499">
        <f>VALUE(MID(Hex!$C$2,1+2*HEX2DEC(A499)+B499,1))</f>
        <v>0</v>
      </c>
      <c r="D499" s="1" t="str">
        <f t="shared" si="76"/>
        <v>1F1</v>
      </c>
      <c r="E499">
        <f>HEX2DEC(MID(Hex!$C$8,1+HEX2DEC(Edit!D499)*2,2))</f>
        <v>1</v>
      </c>
      <c r="F499">
        <f t="shared" si="77"/>
        <v>497</v>
      </c>
      <c r="G499" t="str">
        <f>_xlfn.LET(_xlpm.custom,_xlfn.XLOOKUP(F499,Data!A:A,Data!C:C),IF(_xlpm.custom="",_xlfn.XLOOKUP(F499,Data!A:A,Data!B:B),_xlpm.custom))</f>
        <v>Friend Ball</v>
      </c>
      <c r="H499" t="str">
        <f>_xlfn.XLOOKUP(C499,Data!A:A,Data!E:E)</f>
        <v>General</v>
      </c>
      <c r="J499">
        <f>IF(I499="",C499,_xlfn.XLOOKUP(I499,Data!E:E,Data!A:A,""))</f>
        <v>0</v>
      </c>
      <c r="L499">
        <f t="shared" si="71"/>
        <v>1</v>
      </c>
      <c r="M499">
        <f t="shared" si="72"/>
        <v>0</v>
      </c>
      <c r="N499">
        <f t="shared" si="80"/>
        <v>0</v>
      </c>
      <c r="O499">
        <f t="shared" si="73"/>
        <v>0</v>
      </c>
      <c r="P499">
        <f t="shared" si="74"/>
        <v>0</v>
      </c>
      <c r="R499" t="str">
        <f t="shared" si="75"/>
        <v>01</v>
      </c>
    </row>
    <row r="500" spans="1:18" x14ac:dyDescent="0.4">
      <c r="A500" s="1" t="str">
        <f t="shared" si="78"/>
        <v>0F9</v>
      </c>
      <c r="B500">
        <f t="shared" si="79"/>
        <v>0</v>
      </c>
      <c r="C500">
        <f>VALUE(MID(Hex!$C$2,1+2*HEX2DEC(A500)+B500,1))</f>
        <v>0</v>
      </c>
      <c r="D500" s="1" t="str">
        <f t="shared" si="76"/>
        <v>1F2</v>
      </c>
      <c r="E500">
        <f>HEX2DEC(MID(Hex!$C$8,1+HEX2DEC(Edit!D500)*2,2))</f>
        <v>1</v>
      </c>
      <c r="F500">
        <f t="shared" si="77"/>
        <v>498</v>
      </c>
      <c r="G500" t="str">
        <f>_xlfn.LET(_xlpm.custom,_xlfn.XLOOKUP(F500,Data!A:A,Data!C:C),IF(_xlpm.custom="",_xlfn.XLOOKUP(F500,Data!A:A,Data!B:B),_xlpm.custom))</f>
        <v>Moon Ball</v>
      </c>
      <c r="H500" t="str">
        <f>_xlfn.XLOOKUP(C500,Data!A:A,Data!E:E)</f>
        <v>General</v>
      </c>
      <c r="J500">
        <f>IF(I500="",C500,_xlfn.XLOOKUP(I500,Data!E:E,Data!A:A,""))</f>
        <v>0</v>
      </c>
      <c r="L500">
        <f t="shared" si="71"/>
        <v>1</v>
      </c>
      <c r="M500">
        <f t="shared" si="72"/>
        <v>0</v>
      </c>
      <c r="N500">
        <f t="shared" si="80"/>
        <v>0</v>
      </c>
      <c r="O500">
        <f t="shared" si="73"/>
        <v>0</v>
      </c>
      <c r="P500">
        <f t="shared" si="74"/>
        <v>0</v>
      </c>
      <c r="R500" t="str">
        <f t="shared" si="75"/>
        <v>01</v>
      </c>
    </row>
    <row r="501" spans="1:18" x14ac:dyDescent="0.4">
      <c r="A501" s="1" t="str">
        <f t="shared" si="78"/>
        <v>0F9</v>
      </c>
      <c r="B501">
        <f t="shared" si="79"/>
        <v>1</v>
      </c>
      <c r="C501">
        <f>VALUE(MID(Hex!$C$2,1+2*HEX2DEC(A501)+B501,1))</f>
        <v>0</v>
      </c>
      <c r="D501" s="1" t="str">
        <f t="shared" si="76"/>
        <v>1F3</v>
      </c>
      <c r="E501">
        <f>HEX2DEC(MID(Hex!$C$8,1+HEX2DEC(Edit!D501)*2,2))</f>
        <v>0</v>
      </c>
      <c r="F501">
        <f t="shared" si="77"/>
        <v>499</v>
      </c>
      <c r="G501" t="str">
        <f>_xlfn.LET(_xlpm.custom,_xlfn.XLOOKUP(F501,Data!A:A,Data!C:C),IF(_xlpm.custom="",_xlfn.XLOOKUP(F501,Data!A:A,Data!B:B),_xlpm.custom))</f>
        <v>Sport Ball</v>
      </c>
      <c r="H501" t="str">
        <f>_xlfn.XLOOKUP(C501,Data!A:A,Data!E:E)</f>
        <v>General</v>
      </c>
      <c r="J501">
        <f>IF(I501="",C501,_xlfn.XLOOKUP(I501,Data!E:E,Data!A:A,""))</f>
        <v>0</v>
      </c>
      <c r="L501">
        <v>1</v>
      </c>
      <c r="M501">
        <f t="shared" si="72"/>
        <v>0</v>
      </c>
      <c r="N501">
        <f t="shared" si="80"/>
        <v>0</v>
      </c>
      <c r="O501">
        <f t="shared" si="73"/>
        <v>0</v>
      </c>
      <c r="P501">
        <f t="shared" si="74"/>
        <v>0</v>
      </c>
      <c r="R501" t="str">
        <f t="shared" si="75"/>
        <v>01</v>
      </c>
    </row>
    <row r="502" spans="1:18" x14ac:dyDescent="0.4">
      <c r="A502" s="1" t="str">
        <f t="shared" si="78"/>
        <v>0FA</v>
      </c>
      <c r="B502">
        <f t="shared" si="79"/>
        <v>0</v>
      </c>
      <c r="C502">
        <f>VALUE(MID(Hex!$C$2,1+2*HEX2DEC(A502)+B502,1))</f>
        <v>0</v>
      </c>
      <c r="D502" s="1" t="str">
        <f t="shared" si="76"/>
        <v>1F4</v>
      </c>
      <c r="E502">
        <f>HEX2DEC(MID(Hex!$C$8,1+HEX2DEC(Edit!D502)*2,2))</f>
        <v>0</v>
      </c>
      <c r="F502">
        <f t="shared" si="77"/>
        <v>500</v>
      </c>
      <c r="G502" t="str">
        <f>_xlfn.LET(_xlpm.custom,_xlfn.XLOOKUP(F502,Data!A:A,Data!C:C),IF(_xlpm.custom="",_xlfn.XLOOKUP(F502,Data!A:A,Data!B:B),_xlpm.custom))</f>
        <v>Park Ball</v>
      </c>
      <c r="H502" t="str">
        <f>_xlfn.XLOOKUP(C502,Data!A:A,Data!E:E)</f>
        <v>General</v>
      </c>
      <c r="J502">
        <f>IF(I502="",C502,_xlfn.XLOOKUP(I502,Data!E:E,Data!A:A,""))</f>
        <v>0</v>
      </c>
      <c r="L502">
        <v>1</v>
      </c>
      <c r="M502">
        <f t="shared" si="72"/>
        <v>0</v>
      </c>
      <c r="N502">
        <f t="shared" si="80"/>
        <v>0</v>
      </c>
      <c r="O502">
        <f t="shared" si="73"/>
        <v>0</v>
      </c>
      <c r="P502">
        <f t="shared" si="74"/>
        <v>0</v>
      </c>
      <c r="R502" t="str">
        <f t="shared" si="75"/>
        <v>01</v>
      </c>
    </row>
    <row r="503" spans="1:18" x14ac:dyDescent="0.4">
      <c r="A503" s="1" t="str">
        <f t="shared" si="78"/>
        <v>0FA</v>
      </c>
      <c r="B503">
        <f t="shared" si="79"/>
        <v>1</v>
      </c>
      <c r="C503">
        <f>VALUE(MID(Hex!$C$2,1+2*HEX2DEC(A503)+B503,1))</f>
        <v>4</v>
      </c>
      <c r="D503" s="1" t="str">
        <f t="shared" si="76"/>
        <v>1F5</v>
      </c>
      <c r="E503">
        <f>HEX2DEC(MID(Hex!$C$8,1+HEX2DEC(Edit!D503)*2,2))</f>
        <v>0</v>
      </c>
      <c r="F503">
        <f t="shared" si="77"/>
        <v>501</v>
      </c>
      <c r="G503" t="str">
        <f>_xlfn.LET(_xlpm.custom,_xlfn.XLOOKUP(F503,Data!A:A,Data!C:C),IF(_xlpm.custom="",_xlfn.XLOOKUP(F503,Data!A:A,Data!B:B),_xlpm.custom))</f>
        <v>Photo Album</v>
      </c>
      <c r="H503" t="str">
        <f>_xlfn.XLOOKUP(C503,Data!A:A,Data!E:E)</f>
        <v>Key</v>
      </c>
      <c r="J503">
        <f>IF(I503="",C503,_xlfn.XLOOKUP(I503,Data!E:E,Data!A:A,""))</f>
        <v>4</v>
      </c>
      <c r="L503">
        <f t="shared" si="71"/>
        <v>0</v>
      </c>
      <c r="M503">
        <f t="shared" si="72"/>
        <v>0</v>
      </c>
      <c r="N503">
        <f t="shared" si="80"/>
        <v>0</v>
      </c>
      <c r="O503">
        <f t="shared" si="73"/>
        <v>0</v>
      </c>
      <c r="P503">
        <f t="shared" si="74"/>
        <v>0</v>
      </c>
      <c r="R503" t="str">
        <f t="shared" si="75"/>
        <v>00</v>
      </c>
    </row>
    <row r="504" spans="1:18" x14ac:dyDescent="0.4">
      <c r="A504" s="1" t="str">
        <f t="shared" si="78"/>
        <v>0FB</v>
      </c>
      <c r="B504">
        <f t="shared" si="79"/>
        <v>0</v>
      </c>
      <c r="C504">
        <f>VALUE(MID(Hex!$C$2,1+2*HEX2DEC(A504)+B504,1))</f>
        <v>4</v>
      </c>
      <c r="D504" s="1" t="str">
        <f t="shared" si="76"/>
        <v>1F6</v>
      </c>
      <c r="E504">
        <f>HEX2DEC(MID(Hex!$C$8,1+HEX2DEC(Edit!D504)*2,2))</f>
        <v>0</v>
      </c>
      <c r="F504">
        <f t="shared" si="77"/>
        <v>502</v>
      </c>
      <c r="G504" t="str">
        <f>_xlfn.LET(_xlpm.custom,_xlfn.XLOOKUP(F504,Data!A:A,Data!C:C),IF(_xlpm.custom="",_xlfn.XLOOKUP(F504,Data!A:A,Data!B:B),_xlpm.custom))</f>
        <v>GB Sounds</v>
      </c>
      <c r="H504" t="str">
        <f>_xlfn.XLOOKUP(C504,Data!A:A,Data!E:E)</f>
        <v>Key</v>
      </c>
      <c r="J504">
        <f>IF(I504="",C504,_xlfn.XLOOKUP(I504,Data!E:E,Data!A:A,""))</f>
        <v>4</v>
      </c>
      <c r="L504">
        <f t="shared" si="71"/>
        <v>0</v>
      </c>
      <c r="M504">
        <f t="shared" si="72"/>
        <v>0</v>
      </c>
      <c r="N504">
        <f t="shared" si="80"/>
        <v>0</v>
      </c>
      <c r="O504">
        <f t="shared" si="73"/>
        <v>0</v>
      </c>
      <c r="P504">
        <f t="shared" si="74"/>
        <v>0</v>
      </c>
      <c r="R504" t="str">
        <f t="shared" si="75"/>
        <v>00</v>
      </c>
    </row>
    <row r="505" spans="1:18" x14ac:dyDescent="0.4">
      <c r="A505" s="1" t="str">
        <f t="shared" si="78"/>
        <v>0FB</v>
      </c>
      <c r="B505">
        <f t="shared" si="79"/>
        <v>1</v>
      </c>
      <c r="C505">
        <f>VALUE(MID(Hex!$C$2,1+2*HEX2DEC(A505)+B505,1))</f>
        <v>4</v>
      </c>
      <c r="D505" s="1" t="str">
        <f t="shared" si="76"/>
        <v>1F7</v>
      </c>
      <c r="E505">
        <f>HEX2DEC(MID(Hex!$C$8,1+HEX2DEC(Edit!D505)*2,2))</f>
        <v>0</v>
      </c>
      <c r="F505">
        <f t="shared" si="77"/>
        <v>503</v>
      </c>
      <c r="G505" t="str">
        <f>_xlfn.LET(_xlpm.custom,_xlfn.XLOOKUP(F505,Data!A:A,Data!C:C),IF(_xlpm.custom="",_xlfn.XLOOKUP(F505,Data!A:A,Data!B:B),_xlpm.custom))</f>
        <v>Tidal Bell</v>
      </c>
      <c r="H505" t="str">
        <f>_xlfn.XLOOKUP(C505,Data!A:A,Data!E:E)</f>
        <v>Key</v>
      </c>
      <c r="J505">
        <f>IF(I505="",C505,_xlfn.XLOOKUP(I505,Data!E:E,Data!A:A,""))</f>
        <v>4</v>
      </c>
      <c r="L505">
        <f t="shared" si="71"/>
        <v>0</v>
      </c>
      <c r="M505">
        <f t="shared" si="72"/>
        <v>0</v>
      </c>
      <c r="N505">
        <f t="shared" si="80"/>
        <v>0</v>
      </c>
      <c r="O505">
        <f t="shared" si="73"/>
        <v>0</v>
      </c>
      <c r="P505">
        <f t="shared" si="74"/>
        <v>0</v>
      </c>
      <c r="R505" t="str">
        <f t="shared" si="75"/>
        <v>00</v>
      </c>
    </row>
    <row r="506" spans="1:18" x14ac:dyDescent="0.4">
      <c r="A506" s="1" t="str">
        <f t="shared" si="78"/>
        <v>0FC</v>
      </c>
      <c r="B506">
        <f t="shared" si="79"/>
        <v>0</v>
      </c>
      <c r="C506">
        <f>VALUE(MID(Hex!$C$2,1+2*HEX2DEC(A506)+B506,1))</f>
        <v>1</v>
      </c>
      <c r="D506" s="1" t="str">
        <f t="shared" si="76"/>
        <v>1F8</v>
      </c>
      <c r="E506">
        <f>HEX2DEC(MID(Hex!$C$8,1+HEX2DEC(Edit!D506)*2,2))</f>
        <v>8</v>
      </c>
      <c r="F506">
        <f t="shared" si="77"/>
        <v>504</v>
      </c>
      <c r="G506" t="str">
        <f>_xlfn.LET(_xlpm.custom,_xlfn.XLOOKUP(F506,Data!A:A,Data!C:C),IF(_xlpm.custom="",_xlfn.XLOOKUP(F506,Data!A:A,Data!B:B),_xlpm.custom))</f>
        <v>Rage Candy Bar</v>
      </c>
      <c r="H506" t="str">
        <f>_xlfn.XLOOKUP(C506,Data!A:A,Data!E:E)</f>
        <v>Medicine</v>
      </c>
      <c r="J506">
        <f>IF(I506="",C506,_xlfn.XLOOKUP(I506,Data!E:E,Data!A:A,""))</f>
        <v>1</v>
      </c>
      <c r="L506">
        <f t="shared" si="71"/>
        <v>0</v>
      </c>
      <c r="M506">
        <f t="shared" si="72"/>
        <v>0</v>
      </c>
      <c r="N506">
        <f t="shared" si="80"/>
        <v>0</v>
      </c>
      <c r="O506">
        <f t="shared" si="73"/>
        <v>8</v>
      </c>
      <c r="P506">
        <f t="shared" si="74"/>
        <v>0</v>
      </c>
      <c r="R506" t="str">
        <f t="shared" si="75"/>
        <v>08</v>
      </c>
    </row>
    <row r="507" spans="1:18" x14ac:dyDescent="0.4">
      <c r="A507" s="1" t="str">
        <f t="shared" si="78"/>
        <v>0FC</v>
      </c>
      <c r="B507">
        <f t="shared" si="79"/>
        <v>1</v>
      </c>
      <c r="C507">
        <f>VALUE(MID(Hex!$C$2,1+2*HEX2DEC(A507)+B507,1))</f>
        <v>0</v>
      </c>
      <c r="D507" s="1" t="str">
        <f t="shared" si="76"/>
        <v>1F9</v>
      </c>
      <c r="E507">
        <f>HEX2DEC(MID(Hex!$C$8,1+HEX2DEC(Edit!D507)*2,2))</f>
        <v>0</v>
      </c>
      <c r="F507">
        <f t="shared" si="77"/>
        <v>505</v>
      </c>
      <c r="G507" t="str">
        <f>_xlfn.LET(_xlpm.custom,_xlfn.XLOOKUP(F507,Data!A:A,Data!C:C),IF(_xlpm.custom="",_xlfn.XLOOKUP(F507,Data!A:A,Data!B:B),_xlpm.custom))</f>
        <v>Data Card 01</v>
      </c>
      <c r="H507" t="str">
        <f>_xlfn.XLOOKUP(C507,Data!A:A,Data!E:E)</f>
        <v>General</v>
      </c>
      <c r="J507">
        <f>IF(I507="",C507,_xlfn.XLOOKUP(I507,Data!E:E,Data!A:A,""))</f>
        <v>0</v>
      </c>
      <c r="L507">
        <f t="shared" si="71"/>
        <v>0</v>
      </c>
      <c r="M507">
        <f t="shared" si="72"/>
        <v>0</v>
      </c>
      <c r="N507">
        <f t="shared" si="80"/>
        <v>0</v>
      </c>
      <c r="O507">
        <f t="shared" si="73"/>
        <v>0</v>
      </c>
      <c r="P507">
        <f t="shared" si="74"/>
        <v>0</v>
      </c>
      <c r="R507" t="str">
        <f t="shared" si="75"/>
        <v>00</v>
      </c>
    </row>
    <row r="508" spans="1:18" x14ac:dyDescent="0.4">
      <c r="A508" s="1" t="str">
        <f t="shared" si="78"/>
        <v>0FD</v>
      </c>
      <c r="B508">
        <f t="shared" si="79"/>
        <v>0</v>
      </c>
      <c r="C508">
        <f>VALUE(MID(Hex!$C$2,1+2*HEX2DEC(A508)+B508,1))</f>
        <v>0</v>
      </c>
      <c r="D508" s="1" t="str">
        <f t="shared" si="76"/>
        <v>1FA</v>
      </c>
      <c r="E508">
        <f>HEX2DEC(MID(Hex!$C$8,1+HEX2DEC(Edit!D508)*2,2))</f>
        <v>0</v>
      </c>
      <c r="F508">
        <f t="shared" si="77"/>
        <v>506</v>
      </c>
      <c r="G508" t="str">
        <f>_xlfn.LET(_xlpm.custom,_xlfn.XLOOKUP(F508,Data!A:A,Data!C:C),IF(_xlpm.custom="",_xlfn.XLOOKUP(F508,Data!A:A,Data!B:B),_xlpm.custom))</f>
        <v>Data Card 02</v>
      </c>
      <c r="H508" t="str">
        <f>_xlfn.XLOOKUP(C508,Data!A:A,Data!E:E)</f>
        <v>General</v>
      </c>
      <c r="J508">
        <f>IF(I508="",C508,_xlfn.XLOOKUP(I508,Data!E:E,Data!A:A,""))</f>
        <v>0</v>
      </c>
      <c r="L508">
        <f t="shared" si="71"/>
        <v>0</v>
      </c>
      <c r="M508">
        <f t="shared" si="72"/>
        <v>0</v>
      </c>
      <c r="N508">
        <f t="shared" si="80"/>
        <v>0</v>
      </c>
      <c r="O508">
        <f t="shared" si="73"/>
        <v>0</v>
      </c>
      <c r="P508">
        <f t="shared" si="74"/>
        <v>0</v>
      </c>
      <c r="R508" t="str">
        <f t="shared" si="75"/>
        <v>00</v>
      </c>
    </row>
    <row r="509" spans="1:18" x14ac:dyDescent="0.4">
      <c r="A509" s="1" t="str">
        <f t="shared" si="78"/>
        <v>0FD</v>
      </c>
      <c r="B509">
        <f t="shared" si="79"/>
        <v>1</v>
      </c>
      <c r="C509">
        <f>VALUE(MID(Hex!$C$2,1+2*HEX2DEC(A509)+B509,1))</f>
        <v>0</v>
      </c>
      <c r="D509" s="1" t="str">
        <f t="shared" si="76"/>
        <v>1FB</v>
      </c>
      <c r="E509">
        <f>HEX2DEC(MID(Hex!$C$8,1+HEX2DEC(Edit!D509)*2,2))</f>
        <v>0</v>
      </c>
      <c r="F509">
        <f t="shared" si="77"/>
        <v>507</v>
      </c>
      <c r="G509" t="str">
        <f>_xlfn.LET(_xlpm.custom,_xlfn.XLOOKUP(F509,Data!A:A,Data!C:C),IF(_xlpm.custom="",_xlfn.XLOOKUP(F509,Data!A:A,Data!B:B),_xlpm.custom))</f>
        <v>Data Card 03</v>
      </c>
      <c r="H509" t="str">
        <f>_xlfn.XLOOKUP(C509,Data!A:A,Data!E:E)</f>
        <v>General</v>
      </c>
      <c r="J509">
        <f>IF(I509="",C509,_xlfn.XLOOKUP(I509,Data!E:E,Data!A:A,""))</f>
        <v>0</v>
      </c>
      <c r="L509">
        <f t="shared" si="71"/>
        <v>0</v>
      </c>
      <c r="M509">
        <f t="shared" si="72"/>
        <v>0</v>
      </c>
      <c r="N509">
        <f t="shared" si="80"/>
        <v>0</v>
      </c>
      <c r="O509">
        <f t="shared" si="73"/>
        <v>0</v>
      </c>
      <c r="P509">
        <f t="shared" si="74"/>
        <v>0</v>
      </c>
      <c r="R509" t="str">
        <f t="shared" si="75"/>
        <v>00</v>
      </c>
    </row>
    <row r="510" spans="1:18" x14ac:dyDescent="0.4">
      <c r="A510" s="1" t="str">
        <f t="shared" si="78"/>
        <v>0FE</v>
      </c>
      <c r="B510">
        <f t="shared" si="79"/>
        <v>0</v>
      </c>
      <c r="C510">
        <f>VALUE(MID(Hex!$C$2,1+2*HEX2DEC(A510)+B510,1))</f>
        <v>0</v>
      </c>
      <c r="D510" s="1" t="str">
        <f t="shared" si="76"/>
        <v>1FC</v>
      </c>
      <c r="E510">
        <f>HEX2DEC(MID(Hex!$C$8,1+HEX2DEC(Edit!D510)*2,2))</f>
        <v>0</v>
      </c>
      <c r="F510">
        <f t="shared" si="77"/>
        <v>508</v>
      </c>
      <c r="G510" t="str">
        <f>_xlfn.LET(_xlpm.custom,_xlfn.XLOOKUP(F510,Data!A:A,Data!C:C),IF(_xlpm.custom="",_xlfn.XLOOKUP(F510,Data!A:A,Data!B:B),_xlpm.custom))</f>
        <v>Data Card 04</v>
      </c>
      <c r="H510" t="str">
        <f>_xlfn.XLOOKUP(C510,Data!A:A,Data!E:E)</f>
        <v>General</v>
      </c>
      <c r="J510">
        <f>IF(I510="",C510,_xlfn.XLOOKUP(I510,Data!E:E,Data!A:A,""))</f>
        <v>0</v>
      </c>
      <c r="L510">
        <f t="shared" si="71"/>
        <v>0</v>
      </c>
      <c r="M510">
        <f t="shared" si="72"/>
        <v>0</v>
      </c>
      <c r="N510">
        <f t="shared" si="80"/>
        <v>0</v>
      </c>
      <c r="O510">
        <f t="shared" si="73"/>
        <v>0</v>
      </c>
      <c r="P510">
        <f t="shared" si="74"/>
        <v>0</v>
      </c>
      <c r="R510" t="str">
        <f t="shared" si="75"/>
        <v>00</v>
      </c>
    </row>
    <row r="511" spans="1:18" x14ac:dyDescent="0.4">
      <c r="A511" s="1" t="str">
        <f t="shared" si="78"/>
        <v>0FE</v>
      </c>
      <c r="B511">
        <f t="shared" si="79"/>
        <v>1</v>
      </c>
      <c r="C511">
        <f>VALUE(MID(Hex!$C$2,1+2*HEX2DEC(A511)+B511,1))</f>
        <v>0</v>
      </c>
      <c r="D511" s="1" t="str">
        <f t="shared" si="76"/>
        <v>1FD</v>
      </c>
      <c r="E511">
        <f>HEX2DEC(MID(Hex!$C$8,1+HEX2DEC(Edit!D511)*2,2))</f>
        <v>0</v>
      </c>
      <c r="F511">
        <f t="shared" si="77"/>
        <v>509</v>
      </c>
      <c r="G511" t="str">
        <f>_xlfn.LET(_xlpm.custom,_xlfn.XLOOKUP(F511,Data!A:A,Data!C:C),IF(_xlpm.custom="",_xlfn.XLOOKUP(F511,Data!A:A,Data!B:B),_xlpm.custom))</f>
        <v>Data Card 05</v>
      </c>
      <c r="H511" t="str">
        <f>_xlfn.XLOOKUP(C511,Data!A:A,Data!E:E)</f>
        <v>General</v>
      </c>
      <c r="J511">
        <f>IF(I511="",C511,_xlfn.XLOOKUP(I511,Data!E:E,Data!A:A,""))</f>
        <v>0</v>
      </c>
      <c r="L511">
        <f t="shared" si="71"/>
        <v>0</v>
      </c>
      <c r="M511">
        <f t="shared" si="72"/>
        <v>0</v>
      </c>
      <c r="N511">
        <f t="shared" si="80"/>
        <v>0</v>
      </c>
      <c r="O511">
        <f t="shared" si="73"/>
        <v>0</v>
      </c>
      <c r="P511">
        <f t="shared" si="74"/>
        <v>0</v>
      </c>
      <c r="R511" t="str">
        <f t="shared" si="75"/>
        <v>00</v>
      </c>
    </row>
    <row r="512" spans="1:18" x14ac:dyDescent="0.4">
      <c r="A512" s="1" t="str">
        <f t="shared" si="78"/>
        <v>0FF</v>
      </c>
      <c r="B512">
        <f t="shared" si="79"/>
        <v>0</v>
      </c>
      <c r="C512">
        <f>VALUE(MID(Hex!$C$2,1+2*HEX2DEC(A512)+B512,1))</f>
        <v>0</v>
      </c>
      <c r="D512" s="1" t="str">
        <f t="shared" si="76"/>
        <v>1FE</v>
      </c>
      <c r="E512">
        <f>HEX2DEC(MID(Hex!$C$8,1+HEX2DEC(Edit!D512)*2,2))</f>
        <v>0</v>
      </c>
      <c r="F512">
        <f t="shared" si="77"/>
        <v>510</v>
      </c>
      <c r="G512" t="str">
        <f>_xlfn.LET(_xlpm.custom,_xlfn.XLOOKUP(F512,Data!A:A,Data!C:C),IF(_xlpm.custom="",_xlfn.XLOOKUP(F512,Data!A:A,Data!B:B),_xlpm.custom))</f>
        <v>Data Card 06</v>
      </c>
      <c r="H512" t="str">
        <f>_xlfn.XLOOKUP(C512,Data!A:A,Data!E:E)</f>
        <v>General</v>
      </c>
      <c r="J512">
        <f>IF(I512="",C512,_xlfn.XLOOKUP(I512,Data!E:E,Data!A:A,""))</f>
        <v>0</v>
      </c>
      <c r="L512">
        <f t="shared" si="71"/>
        <v>0</v>
      </c>
      <c r="M512">
        <f t="shared" si="72"/>
        <v>0</v>
      </c>
      <c r="N512">
        <f t="shared" si="80"/>
        <v>0</v>
      </c>
      <c r="O512">
        <f t="shared" si="73"/>
        <v>0</v>
      </c>
      <c r="P512">
        <f t="shared" si="74"/>
        <v>0</v>
      </c>
      <c r="R512" t="str">
        <f t="shared" si="75"/>
        <v>00</v>
      </c>
    </row>
    <row r="513" spans="1:18" x14ac:dyDescent="0.4">
      <c r="A513" s="1" t="str">
        <f t="shared" si="78"/>
        <v>0FF</v>
      </c>
      <c r="B513">
        <f t="shared" si="79"/>
        <v>1</v>
      </c>
      <c r="C513">
        <f>VALUE(MID(Hex!$C$2,1+2*HEX2DEC(A513)+B513,1))</f>
        <v>0</v>
      </c>
      <c r="D513" s="1" t="str">
        <f t="shared" si="76"/>
        <v>1FF</v>
      </c>
      <c r="E513">
        <f>HEX2DEC(MID(Hex!$C$8,1+HEX2DEC(Edit!D513)*2,2))</f>
        <v>0</v>
      </c>
      <c r="F513">
        <f t="shared" si="77"/>
        <v>511</v>
      </c>
      <c r="G513" t="str">
        <f>_xlfn.LET(_xlpm.custom,_xlfn.XLOOKUP(F513,Data!A:A,Data!C:C),IF(_xlpm.custom="",_xlfn.XLOOKUP(F513,Data!A:A,Data!B:B),_xlpm.custom))</f>
        <v>Data Card 07</v>
      </c>
      <c r="H513" t="str">
        <f>_xlfn.XLOOKUP(C513,Data!A:A,Data!E:E)</f>
        <v>General</v>
      </c>
      <c r="J513">
        <f>IF(I513="",C513,_xlfn.XLOOKUP(I513,Data!E:E,Data!A:A,""))</f>
        <v>0</v>
      </c>
      <c r="L513">
        <f t="shared" si="71"/>
        <v>0</v>
      </c>
      <c r="M513">
        <f t="shared" si="72"/>
        <v>0</v>
      </c>
      <c r="N513">
        <f t="shared" si="80"/>
        <v>0</v>
      </c>
      <c r="O513">
        <f t="shared" si="73"/>
        <v>0</v>
      </c>
      <c r="P513">
        <f t="shared" si="74"/>
        <v>0</v>
      </c>
      <c r="R513" t="str">
        <f t="shared" si="75"/>
        <v>00</v>
      </c>
    </row>
    <row r="514" spans="1:18" x14ac:dyDescent="0.4">
      <c r="A514" s="1" t="str">
        <f t="shared" si="78"/>
        <v>100</v>
      </c>
      <c r="B514">
        <f t="shared" si="79"/>
        <v>0</v>
      </c>
      <c r="C514">
        <f>VALUE(MID(Hex!$C$2,1+2*HEX2DEC(A514)+B514,1))</f>
        <v>0</v>
      </c>
      <c r="D514" s="1" t="str">
        <f t="shared" si="76"/>
        <v>200</v>
      </c>
      <c r="E514">
        <f>HEX2DEC(MID(Hex!$C$8,1+HEX2DEC(Edit!D514)*2,2))</f>
        <v>0</v>
      </c>
      <c r="F514">
        <f t="shared" si="77"/>
        <v>512</v>
      </c>
      <c r="G514" t="str">
        <f>_xlfn.LET(_xlpm.custom,_xlfn.XLOOKUP(F514,Data!A:A,Data!C:C),IF(_xlpm.custom="",_xlfn.XLOOKUP(F514,Data!A:A,Data!B:B),_xlpm.custom))</f>
        <v>Data Card 08</v>
      </c>
      <c r="H514" t="str">
        <f>_xlfn.XLOOKUP(C514,Data!A:A,Data!E:E)</f>
        <v>General</v>
      </c>
      <c r="J514">
        <f>IF(I514="",C514,_xlfn.XLOOKUP(I514,Data!E:E,Data!A:A,""))</f>
        <v>0</v>
      </c>
      <c r="L514">
        <f t="shared" si="71"/>
        <v>0</v>
      </c>
      <c r="M514">
        <f t="shared" si="72"/>
        <v>0</v>
      </c>
      <c r="N514">
        <f t="shared" si="80"/>
        <v>0</v>
      </c>
      <c r="O514">
        <f t="shared" si="73"/>
        <v>0</v>
      </c>
      <c r="P514">
        <f t="shared" si="74"/>
        <v>0</v>
      </c>
      <c r="R514" t="str">
        <f t="shared" si="75"/>
        <v>00</v>
      </c>
    </row>
    <row r="515" spans="1:18" x14ac:dyDescent="0.4">
      <c r="A515" s="1" t="str">
        <f t="shared" si="78"/>
        <v>100</v>
      </c>
      <c r="B515">
        <f t="shared" si="79"/>
        <v>1</v>
      </c>
      <c r="C515">
        <f>VALUE(MID(Hex!$C$2,1+2*HEX2DEC(A515)+B515,1))</f>
        <v>0</v>
      </c>
      <c r="D515" s="1" t="str">
        <f t="shared" si="76"/>
        <v>201</v>
      </c>
      <c r="E515">
        <f>HEX2DEC(MID(Hex!$C$8,1+HEX2DEC(Edit!D515)*2,2))</f>
        <v>0</v>
      </c>
      <c r="F515">
        <f t="shared" si="77"/>
        <v>513</v>
      </c>
      <c r="G515" t="str">
        <f>_xlfn.LET(_xlpm.custom,_xlfn.XLOOKUP(F515,Data!A:A,Data!C:C),IF(_xlpm.custom="",_xlfn.XLOOKUP(F515,Data!A:A,Data!B:B),_xlpm.custom))</f>
        <v>Data Card 09</v>
      </c>
      <c r="H515" t="str">
        <f>_xlfn.XLOOKUP(C515,Data!A:A,Data!E:E)</f>
        <v>General</v>
      </c>
      <c r="J515">
        <f>IF(I515="",C515,_xlfn.XLOOKUP(I515,Data!E:E,Data!A:A,""))</f>
        <v>0</v>
      </c>
      <c r="L515">
        <f t="shared" ref="L515:L578" si="81">_xlfn.BITAND(E515,1)</f>
        <v>0</v>
      </c>
      <c r="M515">
        <f t="shared" ref="M515:M578" si="82">_xlfn.BITAND($E515,2)</f>
        <v>0</v>
      </c>
      <c r="N515">
        <f t="shared" si="80"/>
        <v>0</v>
      </c>
      <c r="O515">
        <f t="shared" ref="O515:O578" si="83">_xlfn.BITAND($E515,8)</f>
        <v>0</v>
      </c>
      <c r="P515">
        <f t="shared" ref="P515:P578" si="84">_xlfn.BITAND($E515,16)</f>
        <v>0</v>
      </c>
      <c r="R515" t="str">
        <f t="shared" ref="R515:R578" si="85">DEC2HEX(SUM(L515:P515),2)</f>
        <v>00</v>
      </c>
    </row>
    <row r="516" spans="1:18" x14ac:dyDescent="0.4">
      <c r="A516" s="1" t="str">
        <f t="shared" si="78"/>
        <v>101</v>
      </c>
      <c r="B516">
        <f t="shared" si="79"/>
        <v>0</v>
      </c>
      <c r="C516">
        <f>VALUE(MID(Hex!$C$2,1+2*HEX2DEC(A516)+B516,1))</f>
        <v>0</v>
      </c>
      <c r="D516" s="1" t="str">
        <f t="shared" ref="D516:D579" si="86">DEC2HEX(1+HEX2DEC(D515),3)</f>
        <v>202</v>
      </c>
      <c r="E516">
        <f>HEX2DEC(MID(Hex!$C$8,1+HEX2DEC(Edit!D516)*2,2))</f>
        <v>0</v>
      </c>
      <c r="F516">
        <f t="shared" ref="F516:F579" si="87">F515+1</f>
        <v>514</v>
      </c>
      <c r="G516" t="str">
        <f>_xlfn.LET(_xlpm.custom,_xlfn.XLOOKUP(F516,Data!A:A,Data!C:C),IF(_xlpm.custom="",_xlfn.XLOOKUP(F516,Data!A:A,Data!B:B),_xlpm.custom))</f>
        <v>Data Card 10</v>
      </c>
      <c r="H516" t="str">
        <f>_xlfn.XLOOKUP(C516,Data!A:A,Data!E:E)</f>
        <v>General</v>
      </c>
      <c r="J516">
        <f>IF(I516="",C516,_xlfn.XLOOKUP(I516,Data!E:E,Data!A:A,""))</f>
        <v>0</v>
      </c>
      <c r="L516">
        <f t="shared" si="81"/>
        <v>0</v>
      </c>
      <c r="M516">
        <f t="shared" si="82"/>
        <v>0</v>
      </c>
      <c r="N516">
        <f t="shared" si="80"/>
        <v>0</v>
      </c>
      <c r="O516">
        <f t="shared" si="83"/>
        <v>0</v>
      </c>
      <c r="P516">
        <f t="shared" si="84"/>
        <v>0</v>
      </c>
      <c r="R516" t="str">
        <f t="shared" si="85"/>
        <v>00</v>
      </c>
    </row>
    <row r="517" spans="1:18" x14ac:dyDescent="0.4">
      <c r="A517" s="1" t="str">
        <f t="shared" ref="A517:A580" si="88">DEC2HEX(1+HEX2DEC(A515),3)</f>
        <v>101</v>
      </c>
      <c r="B517">
        <f t="shared" ref="B517:B580" si="89">B515</f>
        <v>1</v>
      </c>
      <c r="C517">
        <f>VALUE(MID(Hex!$C$2,1+2*HEX2DEC(A517)+B517,1))</f>
        <v>0</v>
      </c>
      <c r="D517" s="1" t="str">
        <f t="shared" si="86"/>
        <v>203</v>
      </c>
      <c r="E517">
        <f>HEX2DEC(MID(Hex!$C$8,1+HEX2DEC(Edit!D517)*2,2))</f>
        <v>0</v>
      </c>
      <c r="F517">
        <f t="shared" si="87"/>
        <v>515</v>
      </c>
      <c r="G517" t="str">
        <f>_xlfn.LET(_xlpm.custom,_xlfn.XLOOKUP(F517,Data!A:A,Data!C:C),IF(_xlpm.custom="",_xlfn.XLOOKUP(F517,Data!A:A,Data!B:B),_xlpm.custom))</f>
        <v>Data Card 11</v>
      </c>
      <c r="H517" t="str">
        <f>_xlfn.XLOOKUP(C517,Data!A:A,Data!E:E)</f>
        <v>General</v>
      </c>
      <c r="J517">
        <f>IF(I517="",C517,_xlfn.XLOOKUP(I517,Data!E:E,Data!A:A,""))</f>
        <v>0</v>
      </c>
      <c r="L517">
        <f t="shared" si="81"/>
        <v>0</v>
      </c>
      <c r="M517">
        <f t="shared" si="82"/>
        <v>0</v>
      </c>
      <c r="N517">
        <f t="shared" si="80"/>
        <v>0</v>
      </c>
      <c r="O517">
        <f t="shared" si="83"/>
        <v>0</v>
      </c>
      <c r="P517">
        <f t="shared" si="84"/>
        <v>0</v>
      </c>
      <c r="R517" t="str">
        <f t="shared" si="85"/>
        <v>00</v>
      </c>
    </row>
    <row r="518" spans="1:18" x14ac:dyDescent="0.4">
      <c r="A518" s="1" t="str">
        <f t="shared" si="88"/>
        <v>102</v>
      </c>
      <c r="B518">
        <f t="shared" si="89"/>
        <v>0</v>
      </c>
      <c r="C518">
        <f>VALUE(MID(Hex!$C$2,1+2*HEX2DEC(A518)+B518,1))</f>
        <v>0</v>
      </c>
      <c r="D518" s="1" t="str">
        <f t="shared" si="86"/>
        <v>204</v>
      </c>
      <c r="E518">
        <f>HEX2DEC(MID(Hex!$C$8,1+HEX2DEC(Edit!D518)*2,2))</f>
        <v>0</v>
      </c>
      <c r="F518">
        <f t="shared" si="87"/>
        <v>516</v>
      </c>
      <c r="G518" t="str">
        <f>_xlfn.LET(_xlpm.custom,_xlfn.XLOOKUP(F518,Data!A:A,Data!C:C),IF(_xlpm.custom="",_xlfn.XLOOKUP(F518,Data!A:A,Data!B:B),_xlpm.custom))</f>
        <v>Data Card 12</v>
      </c>
      <c r="H518" t="str">
        <f>_xlfn.XLOOKUP(C518,Data!A:A,Data!E:E)</f>
        <v>General</v>
      </c>
      <c r="J518">
        <f>IF(I518="",C518,_xlfn.XLOOKUP(I518,Data!E:E,Data!A:A,""))</f>
        <v>0</v>
      </c>
      <c r="L518">
        <f t="shared" si="81"/>
        <v>0</v>
      </c>
      <c r="M518">
        <f t="shared" si="82"/>
        <v>0</v>
      </c>
      <c r="N518">
        <f t="shared" si="80"/>
        <v>0</v>
      </c>
      <c r="O518">
        <f t="shared" si="83"/>
        <v>0</v>
      </c>
      <c r="P518">
        <f t="shared" si="84"/>
        <v>0</v>
      </c>
      <c r="R518" t="str">
        <f t="shared" si="85"/>
        <v>00</v>
      </c>
    </row>
    <row r="519" spans="1:18" x14ac:dyDescent="0.4">
      <c r="A519" s="1" t="str">
        <f t="shared" si="88"/>
        <v>102</v>
      </c>
      <c r="B519">
        <f t="shared" si="89"/>
        <v>1</v>
      </c>
      <c r="C519">
        <f>VALUE(MID(Hex!$C$2,1+2*HEX2DEC(A519)+B519,1))</f>
        <v>0</v>
      </c>
      <c r="D519" s="1" t="str">
        <f t="shared" si="86"/>
        <v>205</v>
      </c>
      <c r="E519">
        <f>HEX2DEC(MID(Hex!$C$8,1+HEX2DEC(Edit!D519)*2,2))</f>
        <v>0</v>
      </c>
      <c r="F519">
        <f t="shared" si="87"/>
        <v>517</v>
      </c>
      <c r="G519" t="str">
        <f>_xlfn.LET(_xlpm.custom,_xlfn.XLOOKUP(F519,Data!A:A,Data!C:C),IF(_xlpm.custom="",_xlfn.XLOOKUP(F519,Data!A:A,Data!B:B),_xlpm.custom))</f>
        <v>Data Card 13</v>
      </c>
      <c r="H519" t="str">
        <f>_xlfn.XLOOKUP(C519,Data!A:A,Data!E:E)</f>
        <v>General</v>
      </c>
      <c r="J519">
        <f>IF(I519="",C519,_xlfn.XLOOKUP(I519,Data!E:E,Data!A:A,""))</f>
        <v>0</v>
      </c>
      <c r="L519">
        <f t="shared" si="81"/>
        <v>0</v>
      </c>
      <c r="M519">
        <f t="shared" si="82"/>
        <v>0</v>
      </c>
      <c r="N519">
        <f t="shared" si="80"/>
        <v>0</v>
      </c>
      <c r="O519">
        <f t="shared" si="83"/>
        <v>0</v>
      </c>
      <c r="P519">
        <f t="shared" si="84"/>
        <v>0</v>
      </c>
      <c r="R519" t="str">
        <f t="shared" si="85"/>
        <v>00</v>
      </c>
    </row>
    <row r="520" spans="1:18" x14ac:dyDescent="0.4">
      <c r="A520" s="1" t="str">
        <f t="shared" si="88"/>
        <v>103</v>
      </c>
      <c r="B520">
        <f t="shared" si="89"/>
        <v>0</v>
      </c>
      <c r="C520">
        <f>VALUE(MID(Hex!$C$2,1+2*HEX2DEC(A520)+B520,1))</f>
        <v>0</v>
      </c>
      <c r="D520" s="1" t="str">
        <f t="shared" si="86"/>
        <v>206</v>
      </c>
      <c r="E520">
        <f>HEX2DEC(MID(Hex!$C$8,1+HEX2DEC(Edit!D520)*2,2))</f>
        <v>0</v>
      </c>
      <c r="F520">
        <f t="shared" si="87"/>
        <v>518</v>
      </c>
      <c r="G520" t="str">
        <f>_xlfn.LET(_xlpm.custom,_xlfn.XLOOKUP(F520,Data!A:A,Data!C:C),IF(_xlpm.custom="",_xlfn.XLOOKUP(F520,Data!A:A,Data!B:B),_xlpm.custom))</f>
        <v>Data Card 14</v>
      </c>
      <c r="H520" t="str">
        <f>_xlfn.XLOOKUP(C520,Data!A:A,Data!E:E)</f>
        <v>General</v>
      </c>
      <c r="J520">
        <f>IF(I520="",C520,_xlfn.XLOOKUP(I520,Data!E:E,Data!A:A,""))</f>
        <v>0</v>
      </c>
      <c r="L520">
        <f t="shared" si="81"/>
        <v>0</v>
      </c>
      <c r="M520">
        <f t="shared" si="82"/>
        <v>0</v>
      </c>
      <c r="N520">
        <f t="shared" si="80"/>
        <v>0</v>
      </c>
      <c r="O520">
        <f t="shared" si="83"/>
        <v>0</v>
      </c>
      <c r="P520">
        <f t="shared" si="84"/>
        <v>0</v>
      </c>
      <c r="R520" t="str">
        <f t="shared" si="85"/>
        <v>00</v>
      </c>
    </row>
    <row r="521" spans="1:18" x14ac:dyDescent="0.4">
      <c r="A521" s="1" t="str">
        <f t="shared" si="88"/>
        <v>103</v>
      </c>
      <c r="B521">
        <f t="shared" si="89"/>
        <v>1</v>
      </c>
      <c r="C521">
        <f>VALUE(MID(Hex!$C$2,1+2*HEX2DEC(A521)+B521,1))</f>
        <v>0</v>
      </c>
      <c r="D521" s="1" t="str">
        <f t="shared" si="86"/>
        <v>207</v>
      </c>
      <c r="E521">
        <f>HEX2DEC(MID(Hex!$C$8,1+HEX2DEC(Edit!D521)*2,2))</f>
        <v>0</v>
      </c>
      <c r="F521">
        <f t="shared" si="87"/>
        <v>519</v>
      </c>
      <c r="G521" t="str">
        <f>_xlfn.LET(_xlpm.custom,_xlfn.XLOOKUP(F521,Data!A:A,Data!C:C),IF(_xlpm.custom="",_xlfn.XLOOKUP(F521,Data!A:A,Data!B:B),_xlpm.custom))</f>
        <v>Data Card 15</v>
      </c>
      <c r="H521" t="str">
        <f>_xlfn.XLOOKUP(C521,Data!A:A,Data!E:E)</f>
        <v>General</v>
      </c>
      <c r="J521">
        <f>IF(I521="",C521,_xlfn.XLOOKUP(I521,Data!E:E,Data!A:A,""))</f>
        <v>0</v>
      </c>
      <c r="L521">
        <f t="shared" si="81"/>
        <v>0</v>
      </c>
      <c r="M521">
        <f t="shared" si="82"/>
        <v>0</v>
      </c>
      <c r="N521">
        <f t="shared" si="80"/>
        <v>0</v>
      </c>
      <c r="O521">
        <f t="shared" si="83"/>
        <v>0</v>
      </c>
      <c r="P521">
        <f t="shared" si="84"/>
        <v>0</v>
      </c>
      <c r="R521" t="str">
        <f t="shared" si="85"/>
        <v>00</v>
      </c>
    </row>
    <row r="522" spans="1:18" x14ac:dyDescent="0.4">
      <c r="A522" s="1" t="str">
        <f t="shared" si="88"/>
        <v>104</v>
      </c>
      <c r="B522">
        <f t="shared" si="89"/>
        <v>0</v>
      </c>
      <c r="C522">
        <f>VALUE(MID(Hex!$C$2,1+2*HEX2DEC(A522)+B522,1))</f>
        <v>0</v>
      </c>
      <c r="D522" s="1" t="str">
        <f t="shared" si="86"/>
        <v>208</v>
      </c>
      <c r="E522">
        <f>HEX2DEC(MID(Hex!$C$8,1+HEX2DEC(Edit!D522)*2,2))</f>
        <v>0</v>
      </c>
      <c r="F522">
        <f t="shared" si="87"/>
        <v>520</v>
      </c>
      <c r="G522" t="str">
        <f>_xlfn.LET(_xlpm.custom,_xlfn.XLOOKUP(F522,Data!A:A,Data!C:C),IF(_xlpm.custom="",_xlfn.XLOOKUP(F522,Data!A:A,Data!B:B),_xlpm.custom))</f>
        <v>Data Card 16</v>
      </c>
      <c r="H522" t="str">
        <f>_xlfn.XLOOKUP(C522,Data!A:A,Data!E:E)</f>
        <v>General</v>
      </c>
      <c r="J522">
        <f>IF(I522="",C522,_xlfn.XLOOKUP(I522,Data!E:E,Data!A:A,""))</f>
        <v>0</v>
      </c>
      <c r="L522">
        <f t="shared" si="81"/>
        <v>0</v>
      </c>
      <c r="M522">
        <f t="shared" si="82"/>
        <v>0</v>
      </c>
      <c r="N522">
        <f t="shared" si="80"/>
        <v>0</v>
      </c>
      <c r="O522">
        <f t="shared" si="83"/>
        <v>0</v>
      </c>
      <c r="P522">
        <f t="shared" si="84"/>
        <v>0</v>
      </c>
      <c r="R522" t="str">
        <f t="shared" si="85"/>
        <v>00</v>
      </c>
    </row>
    <row r="523" spans="1:18" x14ac:dyDescent="0.4">
      <c r="A523" s="1" t="str">
        <f t="shared" si="88"/>
        <v>104</v>
      </c>
      <c r="B523">
        <f t="shared" si="89"/>
        <v>1</v>
      </c>
      <c r="C523">
        <f>VALUE(MID(Hex!$C$2,1+2*HEX2DEC(A523)+B523,1))</f>
        <v>0</v>
      </c>
      <c r="D523" s="1" t="str">
        <f t="shared" si="86"/>
        <v>209</v>
      </c>
      <c r="E523">
        <f>HEX2DEC(MID(Hex!$C$8,1+HEX2DEC(Edit!D523)*2,2))</f>
        <v>0</v>
      </c>
      <c r="F523">
        <f t="shared" si="87"/>
        <v>521</v>
      </c>
      <c r="G523" t="str">
        <f>_xlfn.LET(_xlpm.custom,_xlfn.XLOOKUP(F523,Data!A:A,Data!C:C),IF(_xlpm.custom="",_xlfn.XLOOKUP(F523,Data!A:A,Data!B:B),_xlpm.custom))</f>
        <v>Data Card 17</v>
      </c>
      <c r="H523" t="str">
        <f>_xlfn.XLOOKUP(C523,Data!A:A,Data!E:E)</f>
        <v>General</v>
      </c>
      <c r="J523">
        <f>IF(I523="",C523,_xlfn.XLOOKUP(I523,Data!E:E,Data!A:A,""))</f>
        <v>0</v>
      </c>
      <c r="L523">
        <f t="shared" si="81"/>
        <v>0</v>
      </c>
      <c r="M523">
        <f t="shared" si="82"/>
        <v>0</v>
      </c>
      <c r="N523">
        <f t="shared" si="80"/>
        <v>0</v>
      </c>
      <c r="O523">
        <f t="shared" si="83"/>
        <v>0</v>
      </c>
      <c r="P523">
        <f t="shared" si="84"/>
        <v>0</v>
      </c>
      <c r="R523" t="str">
        <f t="shared" si="85"/>
        <v>00</v>
      </c>
    </row>
    <row r="524" spans="1:18" x14ac:dyDescent="0.4">
      <c r="A524" s="1" t="str">
        <f t="shared" si="88"/>
        <v>105</v>
      </c>
      <c r="B524">
        <f t="shared" si="89"/>
        <v>0</v>
      </c>
      <c r="C524">
        <f>VALUE(MID(Hex!$C$2,1+2*HEX2DEC(A524)+B524,1))</f>
        <v>0</v>
      </c>
      <c r="D524" s="1" t="str">
        <f t="shared" si="86"/>
        <v>20A</v>
      </c>
      <c r="E524">
        <f>HEX2DEC(MID(Hex!$C$8,1+HEX2DEC(Edit!D524)*2,2))</f>
        <v>0</v>
      </c>
      <c r="F524">
        <f t="shared" si="87"/>
        <v>522</v>
      </c>
      <c r="G524" t="str">
        <f>_xlfn.LET(_xlpm.custom,_xlfn.XLOOKUP(F524,Data!A:A,Data!C:C),IF(_xlpm.custom="",_xlfn.XLOOKUP(F524,Data!A:A,Data!B:B),_xlpm.custom))</f>
        <v>Data Card 18</v>
      </c>
      <c r="H524" t="str">
        <f>_xlfn.XLOOKUP(C524,Data!A:A,Data!E:E)</f>
        <v>General</v>
      </c>
      <c r="J524">
        <f>IF(I524="",C524,_xlfn.XLOOKUP(I524,Data!E:E,Data!A:A,""))</f>
        <v>0</v>
      </c>
      <c r="L524">
        <f t="shared" si="81"/>
        <v>0</v>
      </c>
      <c r="M524">
        <f t="shared" si="82"/>
        <v>0</v>
      </c>
      <c r="N524">
        <f t="shared" si="80"/>
        <v>0</v>
      </c>
      <c r="O524">
        <f t="shared" si="83"/>
        <v>0</v>
      </c>
      <c r="P524">
        <f t="shared" si="84"/>
        <v>0</v>
      </c>
      <c r="R524" t="str">
        <f t="shared" si="85"/>
        <v>00</v>
      </c>
    </row>
    <row r="525" spans="1:18" x14ac:dyDescent="0.4">
      <c r="A525" s="1" t="str">
        <f t="shared" si="88"/>
        <v>105</v>
      </c>
      <c r="B525">
        <f t="shared" si="89"/>
        <v>1</v>
      </c>
      <c r="C525">
        <f>VALUE(MID(Hex!$C$2,1+2*HEX2DEC(A525)+B525,1))</f>
        <v>0</v>
      </c>
      <c r="D525" s="1" t="str">
        <f t="shared" si="86"/>
        <v>20B</v>
      </c>
      <c r="E525">
        <f>HEX2DEC(MID(Hex!$C$8,1+HEX2DEC(Edit!D525)*2,2))</f>
        <v>0</v>
      </c>
      <c r="F525">
        <f t="shared" si="87"/>
        <v>523</v>
      </c>
      <c r="G525" t="str">
        <f>_xlfn.LET(_xlpm.custom,_xlfn.XLOOKUP(F525,Data!A:A,Data!C:C),IF(_xlpm.custom="",_xlfn.XLOOKUP(F525,Data!A:A,Data!B:B),_xlpm.custom))</f>
        <v>Data Card 19</v>
      </c>
      <c r="H525" t="str">
        <f>_xlfn.XLOOKUP(C525,Data!A:A,Data!E:E)</f>
        <v>General</v>
      </c>
      <c r="J525">
        <f>IF(I525="",C525,_xlfn.XLOOKUP(I525,Data!E:E,Data!A:A,""))</f>
        <v>0</v>
      </c>
      <c r="L525">
        <f t="shared" si="81"/>
        <v>0</v>
      </c>
      <c r="M525">
        <f t="shared" si="82"/>
        <v>0</v>
      </c>
      <c r="N525">
        <f t="shared" si="80"/>
        <v>0</v>
      </c>
      <c r="O525">
        <f t="shared" si="83"/>
        <v>0</v>
      </c>
      <c r="P525">
        <f t="shared" si="84"/>
        <v>0</v>
      </c>
      <c r="R525" t="str">
        <f t="shared" si="85"/>
        <v>00</v>
      </c>
    </row>
    <row r="526" spans="1:18" x14ac:dyDescent="0.4">
      <c r="A526" s="1" t="str">
        <f t="shared" si="88"/>
        <v>106</v>
      </c>
      <c r="B526">
        <f t="shared" si="89"/>
        <v>0</v>
      </c>
      <c r="C526">
        <f>VALUE(MID(Hex!$C$2,1+2*HEX2DEC(A526)+B526,1))</f>
        <v>0</v>
      </c>
      <c r="D526" s="1" t="str">
        <f t="shared" si="86"/>
        <v>20C</v>
      </c>
      <c r="E526">
        <f>HEX2DEC(MID(Hex!$C$8,1+HEX2DEC(Edit!D526)*2,2))</f>
        <v>0</v>
      </c>
      <c r="F526">
        <f t="shared" si="87"/>
        <v>524</v>
      </c>
      <c r="G526" t="str">
        <f>_xlfn.LET(_xlpm.custom,_xlfn.XLOOKUP(F526,Data!A:A,Data!C:C),IF(_xlpm.custom="",_xlfn.XLOOKUP(F526,Data!A:A,Data!B:B),_xlpm.custom))</f>
        <v>Data Card 20</v>
      </c>
      <c r="H526" t="str">
        <f>_xlfn.XLOOKUP(C526,Data!A:A,Data!E:E)</f>
        <v>General</v>
      </c>
      <c r="J526">
        <f>IF(I526="",C526,_xlfn.XLOOKUP(I526,Data!E:E,Data!A:A,""))</f>
        <v>0</v>
      </c>
      <c r="L526">
        <f t="shared" si="81"/>
        <v>0</v>
      </c>
      <c r="M526">
        <f t="shared" si="82"/>
        <v>0</v>
      </c>
      <c r="N526">
        <f t="shared" si="80"/>
        <v>0</v>
      </c>
      <c r="O526">
        <f t="shared" si="83"/>
        <v>0</v>
      </c>
      <c r="P526">
        <f t="shared" si="84"/>
        <v>0</v>
      </c>
      <c r="R526" t="str">
        <f t="shared" si="85"/>
        <v>00</v>
      </c>
    </row>
    <row r="527" spans="1:18" x14ac:dyDescent="0.4">
      <c r="A527" s="1" t="str">
        <f t="shared" si="88"/>
        <v>106</v>
      </c>
      <c r="B527">
        <f t="shared" si="89"/>
        <v>1</v>
      </c>
      <c r="C527">
        <f>VALUE(MID(Hex!$C$2,1+2*HEX2DEC(A527)+B527,1))</f>
        <v>0</v>
      </c>
      <c r="D527" s="1" t="str">
        <f t="shared" si="86"/>
        <v>20D</v>
      </c>
      <c r="E527">
        <f>HEX2DEC(MID(Hex!$C$8,1+HEX2DEC(Edit!D527)*2,2))</f>
        <v>0</v>
      </c>
      <c r="F527">
        <f t="shared" si="87"/>
        <v>525</v>
      </c>
      <c r="G527" t="str">
        <f>_xlfn.LET(_xlpm.custom,_xlfn.XLOOKUP(F527,Data!A:A,Data!C:C),IF(_xlpm.custom="",_xlfn.XLOOKUP(F527,Data!A:A,Data!B:B),_xlpm.custom))</f>
        <v>Data Card 21</v>
      </c>
      <c r="H527" t="str">
        <f>_xlfn.XLOOKUP(C527,Data!A:A,Data!E:E)</f>
        <v>General</v>
      </c>
      <c r="J527">
        <f>IF(I527="",C527,_xlfn.XLOOKUP(I527,Data!E:E,Data!A:A,""))</f>
        <v>0</v>
      </c>
      <c r="L527">
        <f t="shared" si="81"/>
        <v>0</v>
      </c>
      <c r="M527">
        <f t="shared" si="82"/>
        <v>0</v>
      </c>
      <c r="N527">
        <f t="shared" si="80"/>
        <v>0</v>
      </c>
      <c r="O527">
        <f t="shared" si="83"/>
        <v>0</v>
      </c>
      <c r="P527">
        <f t="shared" si="84"/>
        <v>0</v>
      </c>
      <c r="R527" t="str">
        <f t="shared" si="85"/>
        <v>00</v>
      </c>
    </row>
    <row r="528" spans="1:18" x14ac:dyDescent="0.4">
      <c r="A528" s="1" t="str">
        <f t="shared" si="88"/>
        <v>107</v>
      </c>
      <c r="B528">
        <f t="shared" si="89"/>
        <v>0</v>
      </c>
      <c r="C528">
        <f>VALUE(MID(Hex!$C$2,1+2*HEX2DEC(A528)+B528,1))</f>
        <v>0</v>
      </c>
      <c r="D528" s="1" t="str">
        <f t="shared" si="86"/>
        <v>20E</v>
      </c>
      <c r="E528">
        <f>HEX2DEC(MID(Hex!$C$8,1+HEX2DEC(Edit!D528)*2,2))</f>
        <v>0</v>
      </c>
      <c r="F528">
        <f t="shared" si="87"/>
        <v>526</v>
      </c>
      <c r="G528" t="str">
        <f>_xlfn.LET(_xlpm.custom,_xlfn.XLOOKUP(F528,Data!A:A,Data!C:C),IF(_xlpm.custom="",_xlfn.XLOOKUP(F528,Data!A:A,Data!B:B),_xlpm.custom))</f>
        <v>Data Card 22</v>
      </c>
      <c r="H528" t="str">
        <f>_xlfn.XLOOKUP(C528,Data!A:A,Data!E:E)</f>
        <v>General</v>
      </c>
      <c r="J528">
        <f>IF(I528="",C528,_xlfn.XLOOKUP(I528,Data!E:E,Data!A:A,""))</f>
        <v>0</v>
      </c>
      <c r="L528">
        <f t="shared" si="81"/>
        <v>0</v>
      </c>
      <c r="M528">
        <f t="shared" si="82"/>
        <v>0</v>
      </c>
      <c r="N528">
        <f t="shared" si="80"/>
        <v>0</v>
      </c>
      <c r="O528">
        <f t="shared" si="83"/>
        <v>0</v>
      </c>
      <c r="P528">
        <f t="shared" si="84"/>
        <v>0</v>
      </c>
      <c r="R528" t="str">
        <f t="shared" si="85"/>
        <v>00</v>
      </c>
    </row>
    <row r="529" spans="1:18" x14ac:dyDescent="0.4">
      <c r="A529" s="1" t="str">
        <f t="shared" si="88"/>
        <v>107</v>
      </c>
      <c r="B529">
        <f t="shared" si="89"/>
        <v>1</v>
      </c>
      <c r="C529">
        <f>VALUE(MID(Hex!$C$2,1+2*HEX2DEC(A529)+B529,1))</f>
        <v>0</v>
      </c>
      <c r="D529" s="1" t="str">
        <f t="shared" si="86"/>
        <v>20F</v>
      </c>
      <c r="E529">
        <f>HEX2DEC(MID(Hex!$C$8,1+HEX2DEC(Edit!D529)*2,2))</f>
        <v>0</v>
      </c>
      <c r="F529">
        <f t="shared" si="87"/>
        <v>527</v>
      </c>
      <c r="G529" t="str">
        <f>_xlfn.LET(_xlpm.custom,_xlfn.XLOOKUP(F529,Data!A:A,Data!C:C),IF(_xlpm.custom="",_xlfn.XLOOKUP(F529,Data!A:A,Data!B:B),_xlpm.custom))</f>
        <v>Data Card 23</v>
      </c>
      <c r="H529" t="str">
        <f>_xlfn.XLOOKUP(C529,Data!A:A,Data!E:E)</f>
        <v>General</v>
      </c>
      <c r="J529">
        <f>IF(I529="",C529,_xlfn.XLOOKUP(I529,Data!E:E,Data!A:A,""))</f>
        <v>0</v>
      </c>
      <c r="L529">
        <f t="shared" si="81"/>
        <v>0</v>
      </c>
      <c r="M529">
        <f t="shared" si="82"/>
        <v>0</v>
      </c>
      <c r="N529">
        <f t="shared" si="80"/>
        <v>0</v>
      </c>
      <c r="O529">
        <f t="shared" si="83"/>
        <v>0</v>
      </c>
      <c r="P529">
        <f t="shared" si="84"/>
        <v>0</v>
      </c>
      <c r="R529" t="str">
        <f t="shared" si="85"/>
        <v>00</v>
      </c>
    </row>
    <row r="530" spans="1:18" x14ac:dyDescent="0.4">
      <c r="A530" s="1" t="str">
        <f t="shared" si="88"/>
        <v>108</v>
      </c>
      <c r="B530">
        <f t="shared" si="89"/>
        <v>0</v>
      </c>
      <c r="C530">
        <f>VALUE(MID(Hex!$C$2,1+2*HEX2DEC(A530)+B530,1))</f>
        <v>0</v>
      </c>
      <c r="D530" s="1" t="str">
        <f t="shared" si="86"/>
        <v>210</v>
      </c>
      <c r="E530">
        <f>HEX2DEC(MID(Hex!$C$8,1+HEX2DEC(Edit!D530)*2,2))</f>
        <v>0</v>
      </c>
      <c r="F530">
        <f t="shared" si="87"/>
        <v>528</v>
      </c>
      <c r="G530" t="str">
        <f>_xlfn.LET(_xlpm.custom,_xlfn.XLOOKUP(F530,Data!A:A,Data!C:C),IF(_xlpm.custom="",_xlfn.XLOOKUP(F530,Data!A:A,Data!B:B),_xlpm.custom))</f>
        <v>Data Card 24</v>
      </c>
      <c r="H530" t="str">
        <f>_xlfn.XLOOKUP(C530,Data!A:A,Data!E:E)</f>
        <v>General</v>
      </c>
      <c r="J530">
        <f>IF(I530="",C530,_xlfn.XLOOKUP(I530,Data!E:E,Data!A:A,""))</f>
        <v>0</v>
      </c>
      <c r="L530">
        <f t="shared" si="81"/>
        <v>0</v>
      </c>
      <c r="M530">
        <f t="shared" si="82"/>
        <v>0</v>
      </c>
      <c r="N530">
        <f t="shared" si="80"/>
        <v>0</v>
      </c>
      <c r="O530">
        <f t="shared" si="83"/>
        <v>0</v>
      </c>
      <c r="P530">
        <f t="shared" si="84"/>
        <v>0</v>
      </c>
      <c r="R530" t="str">
        <f t="shared" si="85"/>
        <v>00</v>
      </c>
    </row>
    <row r="531" spans="1:18" x14ac:dyDescent="0.4">
      <c r="A531" s="1" t="str">
        <f t="shared" si="88"/>
        <v>108</v>
      </c>
      <c r="B531">
        <f t="shared" si="89"/>
        <v>1</v>
      </c>
      <c r="C531">
        <f>VALUE(MID(Hex!$C$2,1+2*HEX2DEC(A531)+B531,1))</f>
        <v>0</v>
      </c>
      <c r="D531" s="1" t="str">
        <f t="shared" si="86"/>
        <v>211</v>
      </c>
      <c r="E531">
        <f>HEX2DEC(MID(Hex!$C$8,1+HEX2DEC(Edit!D531)*2,2))</f>
        <v>0</v>
      </c>
      <c r="F531">
        <f t="shared" si="87"/>
        <v>529</v>
      </c>
      <c r="G531" t="str">
        <f>_xlfn.LET(_xlpm.custom,_xlfn.XLOOKUP(F531,Data!A:A,Data!C:C),IF(_xlpm.custom="",_xlfn.XLOOKUP(F531,Data!A:A,Data!B:B),_xlpm.custom))</f>
        <v>Data Card 25</v>
      </c>
      <c r="H531" t="str">
        <f>_xlfn.XLOOKUP(C531,Data!A:A,Data!E:E)</f>
        <v>General</v>
      </c>
      <c r="J531">
        <f>IF(I531="",C531,_xlfn.XLOOKUP(I531,Data!E:E,Data!A:A,""))</f>
        <v>0</v>
      </c>
      <c r="L531">
        <f t="shared" si="81"/>
        <v>0</v>
      </c>
      <c r="M531">
        <f t="shared" si="82"/>
        <v>0</v>
      </c>
      <c r="N531">
        <f t="shared" si="80"/>
        <v>0</v>
      </c>
      <c r="O531">
        <f t="shared" si="83"/>
        <v>0</v>
      </c>
      <c r="P531">
        <f t="shared" si="84"/>
        <v>0</v>
      </c>
      <c r="R531" t="str">
        <f t="shared" si="85"/>
        <v>00</v>
      </c>
    </row>
    <row r="532" spans="1:18" x14ac:dyDescent="0.4">
      <c r="A532" s="1" t="str">
        <f t="shared" si="88"/>
        <v>109</v>
      </c>
      <c r="B532">
        <f t="shared" si="89"/>
        <v>0</v>
      </c>
      <c r="C532">
        <f>VALUE(MID(Hex!$C$2,1+2*HEX2DEC(A532)+B532,1))</f>
        <v>0</v>
      </c>
      <c r="D532" s="1" t="str">
        <f t="shared" si="86"/>
        <v>212</v>
      </c>
      <c r="E532">
        <f>HEX2DEC(MID(Hex!$C$8,1+HEX2DEC(Edit!D532)*2,2))</f>
        <v>0</v>
      </c>
      <c r="F532">
        <f t="shared" si="87"/>
        <v>530</v>
      </c>
      <c r="G532" t="str">
        <f>_xlfn.LET(_xlpm.custom,_xlfn.XLOOKUP(F532,Data!A:A,Data!C:C),IF(_xlpm.custom="",_xlfn.XLOOKUP(F532,Data!A:A,Data!B:B),_xlpm.custom))</f>
        <v>Data Card 26</v>
      </c>
      <c r="H532" t="str">
        <f>_xlfn.XLOOKUP(C532,Data!A:A,Data!E:E)</f>
        <v>General</v>
      </c>
      <c r="J532">
        <f>IF(I532="",C532,_xlfn.XLOOKUP(I532,Data!E:E,Data!A:A,""))</f>
        <v>0</v>
      </c>
      <c r="L532">
        <f t="shared" si="81"/>
        <v>0</v>
      </c>
      <c r="M532">
        <f t="shared" si="82"/>
        <v>0</v>
      </c>
      <c r="N532">
        <f t="shared" si="80"/>
        <v>0</v>
      </c>
      <c r="O532">
        <f t="shared" si="83"/>
        <v>0</v>
      </c>
      <c r="P532">
        <f t="shared" si="84"/>
        <v>0</v>
      </c>
      <c r="R532" t="str">
        <f t="shared" si="85"/>
        <v>00</v>
      </c>
    </row>
    <row r="533" spans="1:18" x14ac:dyDescent="0.4">
      <c r="A533" s="1" t="str">
        <f t="shared" si="88"/>
        <v>109</v>
      </c>
      <c r="B533">
        <f t="shared" si="89"/>
        <v>1</v>
      </c>
      <c r="C533">
        <f>VALUE(MID(Hex!$C$2,1+2*HEX2DEC(A533)+B533,1))</f>
        <v>0</v>
      </c>
      <c r="D533" s="1" t="str">
        <f t="shared" si="86"/>
        <v>213</v>
      </c>
      <c r="E533">
        <f>HEX2DEC(MID(Hex!$C$8,1+HEX2DEC(Edit!D533)*2,2))</f>
        <v>0</v>
      </c>
      <c r="F533">
        <f t="shared" si="87"/>
        <v>531</v>
      </c>
      <c r="G533" t="str">
        <f>_xlfn.LET(_xlpm.custom,_xlfn.XLOOKUP(F533,Data!A:A,Data!C:C),IF(_xlpm.custom="",_xlfn.XLOOKUP(F533,Data!A:A,Data!B:B),_xlpm.custom))</f>
        <v>Data Card 27</v>
      </c>
      <c r="H533" t="str">
        <f>_xlfn.XLOOKUP(C533,Data!A:A,Data!E:E)</f>
        <v>General</v>
      </c>
      <c r="J533">
        <f>IF(I533="",C533,_xlfn.XLOOKUP(I533,Data!E:E,Data!A:A,""))</f>
        <v>0</v>
      </c>
      <c r="L533">
        <f t="shared" si="81"/>
        <v>0</v>
      </c>
      <c r="M533">
        <f t="shared" si="82"/>
        <v>0</v>
      </c>
      <c r="N533">
        <f t="shared" ref="N533:N596" si="90">_xlfn.BITAND($E533,4)</f>
        <v>0</v>
      </c>
      <c r="O533">
        <f t="shared" si="83"/>
        <v>0</v>
      </c>
      <c r="P533">
        <f t="shared" si="84"/>
        <v>0</v>
      </c>
      <c r="R533" t="str">
        <f t="shared" si="85"/>
        <v>00</v>
      </c>
    </row>
    <row r="534" spans="1:18" x14ac:dyDescent="0.4">
      <c r="A534" s="1" t="str">
        <f t="shared" si="88"/>
        <v>10A</v>
      </c>
      <c r="B534">
        <f t="shared" si="89"/>
        <v>0</v>
      </c>
      <c r="C534">
        <f>VALUE(MID(Hex!$C$2,1+2*HEX2DEC(A534)+B534,1))</f>
        <v>0</v>
      </c>
      <c r="D534" s="1" t="str">
        <f t="shared" si="86"/>
        <v>214</v>
      </c>
      <c r="E534">
        <f>HEX2DEC(MID(Hex!$C$8,1+HEX2DEC(Edit!D534)*2,2))</f>
        <v>0</v>
      </c>
      <c r="F534">
        <f t="shared" si="87"/>
        <v>532</v>
      </c>
      <c r="G534" t="str">
        <f>_xlfn.LET(_xlpm.custom,_xlfn.XLOOKUP(F534,Data!A:A,Data!C:C),IF(_xlpm.custom="",_xlfn.XLOOKUP(F534,Data!A:A,Data!B:B),_xlpm.custom))</f>
        <v>Jade Orb</v>
      </c>
      <c r="H534" t="str">
        <f>_xlfn.XLOOKUP(C534,Data!A:A,Data!E:E)</f>
        <v>General</v>
      </c>
      <c r="J534">
        <f>IF(I534="",C534,_xlfn.XLOOKUP(I534,Data!E:E,Data!A:A,""))</f>
        <v>0</v>
      </c>
      <c r="L534">
        <f t="shared" si="81"/>
        <v>0</v>
      </c>
      <c r="M534">
        <f t="shared" si="82"/>
        <v>0</v>
      </c>
      <c r="N534">
        <f t="shared" si="90"/>
        <v>0</v>
      </c>
      <c r="O534">
        <f t="shared" si="83"/>
        <v>0</v>
      </c>
      <c r="P534">
        <f t="shared" si="84"/>
        <v>0</v>
      </c>
      <c r="R534" t="str">
        <f t="shared" si="85"/>
        <v>00</v>
      </c>
    </row>
    <row r="535" spans="1:18" x14ac:dyDescent="0.4">
      <c r="A535" s="1" t="str">
        <f t="shared" si="88"/>
        <v>10A</v>
      </c>
      <c r="B535">
        <f t="shared" si="89"/>
        <v>1</v>
      </c>
      <c r="C535">
        <f>VALUE(MID(Hex!$C$2,1+2*HEX2DEC(A535)+B535,1))</f>
        <v>4</v>
      </c>
      <c r="D535" s="1" t="str">
        <f t="shared" si="86"/>
        <v>215</v>
      </c>
      <c r="E535">
        <f>HEX2DEC(MID(Hex!$C$8,1+HEX2DEC(Edit!D535)*2,2))</f>
        <v>0</v>
      </c>
      <c r="F535">
        <f t="shared" si="87"/>
        <v>533</v>
      </c>
      <c r="G535" t="str">
        <f>_xlfn.LET(_xlpm.custom,_xlfn.XLOOKUP(F535,Data!A:A,Data!C:C),IF(_xlpm.custom="",_xlfn.XLOOKUP(F535,Data!A:A,Data!B:B),_xlpm.custom))</f>
        <v>Lock Capsule</v>
      </c>
      <c r="H535" t="str">
        <f>_xlfn.XLOOKUP(C535,Data!A:A,Data!E:E)</f>
        <v>Key</v>
      </c>
      <c r="J535">
        <f>IF(I535="",C535,_xlfn.XLOOKUP(I535,Data!E:E,Data!A:A,""))</f>
        <v>4</v>
      </c>
      <c r="L535">
        <f t="shared" si="81"/>
        <v>0</v>
      </c>
      <c r="M535">
        <f t="shared" si="82"/>
        <v>0</v>
      </c>
      <c r="N535">
        <f t="shared" si="90"/>
        <v>0</v>
      </c>
      <c r="O535">
        <f t="shared" si="83"/>
        <v>0</v>
      </c>
      <c r="P535">
        <f t="shared" si="84"/>
        <v>0</v>
      </c>
      <c r="R535" t="str">
        <f t="shared" si="85"/>
        <v>00</v>
      </c>
    </row>
    <row r="536" spans="1:18" x14ac:dyDescent="0.4">
      <c r="A536" s="1" t="str">
        <f t="shared" si="88"/>
        <v>10B</v>
      </c>
      <c r="B536">
        <f t="shared" si="89"/>
        <v>0</v>
      </c>
      <c r="C536">
        <f>VALUE(MID(Hex!$C$2,1+2*HEX2DEC(A536)+B536,1))</f>
        <v>0</v>
      </c>
      <c r="D536" s="1" t="str">
        <f t="shared" si="86"/>
        <v>216</v>
      </c>
      <c r="E536">
        <f>HEX2DEC(MID(Hex!$C$8,1+HEX2DEC(Edit!D536)*2,2))</f>
        <v>0</v>
      </c>
      <c r="F536">
        <f t="shared" si="87"/>
        <v>534</v>
      </c>
      <c r="G536" t="str">
        <f>_xlfn.LET(_xlpm.custom,_xlfn.XLOOKUP(F536,Data!A:A,Data!C:C),IF(_xlpm.custom="",_xlfn.XLOOKUP(F536,Data!A:A,Data!B:B),_xlpm.custom))</f>
        <v>Red Orb</v>
      </c>
      <c r="H536" t="str">
        <f>_xlfn.XLOOKUP(C536,Data!A:A,Data!E:E)</f>
        <v>General</v>
      </c>
      <c r="J536">
        <f>IF(I536="",C536,_xlfn.XLOOKUP(I536,Data!E:E,Data!A:A,""))</f>
        <v>0</v>
      </c>
      <c r="L536">
        <f t="shared" si="81"/>
        <v>0</v>
      </c>
      <c r="M536">
        <f t="shared" si="82"/>
        <v>0</v>
      </c>
      <c r="N536">
        <f t="shared" si="90"/>
        <v>0</v>
      </c>
      <c r="O536">
        <f t="shared" si="83"/>
        <v>0</v>
      </c>
      <c r="P536">
        <f t="shared" si="84"/>
        <v>0</v>
      </c>
      <c r="R536" t="str">
        <f t="shared" si="85"/>
        <v>00</v>
      </c>
    </row>
    <row r="537" spans="1:18" x14ac:dyDescent="0.4">
      <c r="A537" s="1" t="str">
        <f t="shared" si="88"/>
        <v>10B</v>
      </c>
      <c r="B537">
        <f t="shared" si="89"/>
        <v>1</v>
      </c>
      <c r="C537">
        <f>VALUE(MID(Hex!$C$2,1+2*HEX2DEC(A537)+B537,1))</f>
        <v>0</v>
      </c>
      <c r="D537" s="1" t="str">
        <f t="shared" si="86"/>
        <v>217</v>
      </c>
      <c r="E537">
        <f>HEX2DEC(MID(Hex!$C$8,1+HEX2DEC(Edit!D537)*2,2))</f>
        <v>0</v>
      </c>
      <c r="F537">
        <f t="shared" si="87"/>
        <v>535</v>
      </c>
      <c r="G537" t="str">
        <f>_xlfn.LET(_xlpm.custom,_xlfn.XLOOKUP(F537,Data!A:A,Data!C:C),IF(_xlpm.custom="",_xlfn.XLOOKUP(F537,Data!A:A,Data!B:B),_xlpm.custom))</f>
        <v>Blue Orb</v>
      </c>
      <c r="H537" t="str">
        <f>_xlfn.XLOOKUP(C537,Data!A:A,Data!E:E)</f>
        <v>General</v>
      </c>
      <c r="J537">
        <f>IF(I537="",C537,_xlfn.XLOOKUP(I537,Data!E:E,Data!A:A,""))</f>
        <v>0</v>
      </c>
      <c r="L537">
        <f t="shared" si="81"/>
        <v>0</v>
      </c>
      <c r="M537">
        <f t="shared" si="82"/>
        <v>0</v>
      </c>
      <c r="N537">
        <f t="shared" si="90"/>
        <v>0</v>
      </c>
      <c r="O537">
        <f t="shared" si="83"/>
        <v>0</v>
      </c>
      <c r="P537">
        <f t="shared" si="84"/>
        <v>0</v>
      </c>
      <c r="R537" t="str">
        <f t="shared" si="85"/>
        <v>00</v>
      </c>
    </row>
    <row r="538" spans="1:18" x14ac:dyDescent="0.4">
      <c r="A538" s="1" t="str">
        <f t="shared" si="88"/>
        <v>10C</v>
      </c>
      <c r="B538">
        <f t="shared" si="89"/>
        <v>0</v>
      </c>
      <c r="C538">
        <f>VALUE(MID(Hex!$C$2,1+2*HEX2DEC(A538)+B538,1))</f>
        <v>0</v>
      </c>
      <c r="D538" s="1" t="str">
        <f t="shared" si="86"/>
        <v>218</v>
      </c>
      <c r="E538">
        <f>HEX2DEC(MID(Hex!$C$8,1+HEX2DEC(Edit!D538)*2,2))</f>
        <v>0</v>
      </c>
      <c r="F538">
        <f t="shared" si="87"/>
        <v>536</v>
      </c>
      <c r="G538" t="str">
        <f>_xlfn.LET(_xlpm.custom,_xlfn.XLOOKUP(F538,Data!A:A,Data!C:C),IF(_xlpm.custom="",_xlfn.XLOOKUP(F538,Data!A:A,Data!B:B),_xlpm.custom))</f>
        <v>Enigma Stone</v>
      </c>
      <c r="H538" t="str">
        <f>_xlfn.XLOOKUP(C538,Data!A:A,Data!E:E)</f>
        <v>General</v>
      </c>
      <c r="J538">
        <f>IF(I538="",C538,_xlfn.XLOOKUP(I538,Data!E:E,Data!A:A,""))</f>
        <v>0</v>
      </c>
      <c r="L538">
        <f t="shared" si="81"/>
        <v>0</v>
      </c>
      <c r="M538">
        <f t="shared" si="82"/>
        <v>0</v>
      </c>
      <c r="N538">
        <f t="shared" si="90"/>
        <v>0</v>
      </c>
      <c r="O538">
        <f t="shared" si="83"/>
        <v>0</v>
      </c>
      <c r="P538">
        <f t="shared" si="84"/>
        <v>0</v>
      </c>
      <c r="R538" t="str">
        <f t="shared" si="85"/>
        <v>00</v>
      </c>
    </row>
    <row r="539" spans="1:18" x14ac:dyDescent="0.4">
      <c r="A539" s="1" t="str">
        <f t="shared" si="88"/>
        <v>10C</v>
      </c>
      <c r="B539">
        <f t="shared" si="89"/>
        <v>1</v>
      </c>
      <c r="C539">
        <f>VALUE(MID(Hex!$C$2,1+2*HEX2DEC(A539)+B539,1))</f>
        <v>0</v>
      </c>
      <c r="D539" s="1" t="str">
        <f t="shared" si="86"/>
        <v>219</v>
      </c>
      <c r="E539">
        <f>HEX2DEC(MID(Hex!$C$8,1+HEX2DEC(Edit!D539)*2,2))</f>
        <v>0</v>
      </c>
      <c r="F539">
        <f t="shared" si="87"/>
        <v>537</v>
      </c>
      <c r="G539" t="str">
        <f>_xlfn.LET(_xlpm.custom,_xlfn.XLOOKUP(F539,Data!A:A,Data!C:C),IF(_xlpm.custom="",_xlfn.XLOOKUP(F539,Data!A:A,Data!B:B),_xlpm.custom))</f>
        <v>Prism Scale</v>
      </c>
      <c r="H539" t="str">
        <f>_xlfn.XLOOKUP(C539,Data!A:A,Data!E:E)</f>
        <v>General</v>
      </c>
      <c r="J539">
        <f>IF(I539="",C539,_xlfn.XLOOKUP(I539,Data!E:E,Data!A:A,""))</f>
        <v>0</v>
      </c>
      <c r="L539">
        <f t="shared" si="81"/>
        <v>0</v>
      </c>
      <c r="M539">
        <f t="shared" si="82"/>
        <v>0</v>
      </c>
      <c r="N539">
        <f t="shared" si="90"/>
        <v>0</v>
      </c>
      <c r="O539">
        <f t="shared" si="83"/>
        <v>0</v>
      </c>
      <c r="P539">
        <f t="shared" si="84"/>
        <v>0</v>
      </c>
      <c r="R539" t="str">
        <f t="shared" si="85"/>
        <v>00</v>
      </c>
    </row>
    <row r="540" spans="1:18" x14ac:dyDescent="0.4">
      <c r="A540" s="1" t="str">
        <f t="shared" si="88"/>
        <v>10D</v>
      </c>
      <c r="B540">
        <f t="shared" si="89"/>
        <v>0</v>
      </c>
      <c r="C540">
        <f>VALUE(MID(Hex!$C$2,1+2*HEX2DEC(A540)+B540,1))</f>
        <v>0</v>
      </c>
      <c r="D540" s="1" t="str">
        <f t="shared" si="86"/>
        <v>21A</v>
      </c>
      <c r="E540">
        <f>HEX2DEC(MID(Hex!$C$8,1+HEX2DEC(Edit!D540)*2,2))</f>
        <v>0</v>
      </c>
      <c r="F540">
        <f t="shared" si="87"/>
        <v>538</v>
      </c>
      <c r="G540" t="str">
        <f>_xlfn.LET(_xlpm.custom,_xlfn.XLOOKUP(F540,Data!A:A,Data!C:C),IF(_xlpm.custom="",_xlfn.XLOOKUP(F540,Data!A:A,Data!B:B),_xlpm.custom))</f>
        <v>Eviolite</v>
      </c>
      <c r="H540" t="str">
        <f>_xlfn.XLOOKUP(C540,Data!A:A,Data!E:E)</f>
        <v>General</v>
      </c>
      <c r="J540">
        <f>IF(I540="",C540,_xlfn.XLOOKUP(I540,Data!E:E,Data!A:A,""))</f>
        <v>0</v>
      </c>
      <c r="L540">
        <f t="shared" si="81"/>
        <v>0</v>
      </c>
      <c r="M540">
        <f t="shared" si="82"/>
        <v>0</v>
      </c>
      <c r="N540">
        <f t="shared" si="90"/>
        <v>0</v>
      </c>
      <c r="O540">
        <f t="shared" si="83"/>
        <v>0</v>
      </c>
      <c r="P540">
        <f t="shared" si="84"/>
        <v>0</v>
      </c>
      <c r="R540" t="str">
        <f t="shared" si="85"/>
        <v>00</v>
      </c>
    </row>
    <row r="541" spans="1:18" x14ac:dyDescent="0.4">
      <c r="A541" s="1" t="str">
        <f t="shared" si="88"/>
        <v>10D</v>
      </c>
      <c r="B541">
        <f t="shared" si="89"/>
        <v>1</v>
      </c>
      <c r="C541">
        <f>VALUE(MID(Hex!$C$2,1+2*HEX2DEC(A541)+B541,1))</f>
        <v>0</v>
      </c>
      <c r="D541" s="1" t="str">
        <f t="shared" si="86"/>
        <v>21B</v>
      </c>
      <c r="E541">
        <f>HEX2DEC(MID(Hex!$C$8,1+HEX2DEC(Edit!D541)*2,2))</f>
        <v>0</v>
      </c>
      <c r="F541">
        <f t="shared" si="87"/>
        <v>539</v>
      </c>
      <c r="G541" t="str">
        <f>_xlfn.LET(_xlpm.custom,_xlfn.XLOOKUP(F541,Data!A:A,Data!C:C),IF(_xlpm.custom="",_xlfn.XLOOKUP(F541,Data!A:A,Data!B:B),_xlpm.custom))</f>
        <v>Float Stone</v>
      </c>
      <c r="H541" t="str">
        <f>_xlfn.XLOOKUP(C541,Data!A:A,Data!E:E)</f>
        <v>General</v>
      </c>
      <c r="J541">
        <f>IF(I541="",C541,_xlfn.XLOOKUP(I541,Data!E:E,Data!A:A,""))</f>
        <v>0</v>
      </c>
      <c r="L541">
        <f t="shared" si="81"/>
        <v>0</v>
      </c>
      <c r="M541">
        <f t="shared" si="82"/>
        <v>0</v>
      </c>
      <c r="N541">
        <f t="shared" si="90"/>
        <v>0</v>
      </c>
      <c r="O541">
        <f t="shared" si="83"/>
        <v>0</v>
      </c>
      <c r="P541">
        <f t="shared" si="84"/>
        <v>0</v>
      </c>
      <c r="R541" t="str">
        <f t="shared" si="85"/>
        <v>00</v>
      </c>
    </row>
    <row r="542" spans="1:18" x14ac:dyDescent="0.4">
      <c r="A542" s="1" t="str">
        <f t="shared" si="88"/>
        <v>10E</v>
      </c>
      <c r="B542">
        <f t="shared" si="89"/>
        <v>0</v>
      </c>
      <c r="C542">
        <f>VALUE(MID(Hex!$C$2,1+2*HEX2DEC(A542)+B542,1))</f>
        <v>0</v>
      </c>
      <c r="D542" s="1" t="str">
        <f t="shared" si="86"/>
        <v>21C</v>
      </c>
      <c r="E542">
        <f>HEX2DEC(MID(Hex!$C$8,1+HEX2DEC(Edit!D542)*2,2))</f>
        <v>0</v>
      </c>
      <c r="F542">
        <f t="shared" si="87"/>
        <v>540</v>
      </c>
      <c r="G542" t="str">
        <f>_xlfn.LET(_xlpm.custom,_xlfn.XLOOKUP(F542,Data!A:A,Data!C:C),IF(_xlpm.custom="",_xlfn.XLOOKUP(F542,Data!A:A,Data!B:B),_xlpm.custom))</f>
        <v>Rocky Helmet</v>
      </c>
      <c r="H542" t="str">
        <f>_xlfn.XLOOKUP(C542,Data!A:A,Data!E:E)</f>
        <v>General</v>
      </c>
      <c r="J542">
        <f>IF(I542="",C542,_xlfn.XLOOKUP(I542,Data!E:E,Data!A:A,""))</f>
        <v>0</v>
      </c>
      <c r="L542">
        <f t="shared" si="81"/>
        <v>0</v>
      </c>
      <c r="M542">
        <f t="shared" si="82"/>
        <v>0</v>
      </c>
      <c r="N542">
        <f t="shared" si="90"/>
        <v>0</v>
      </c>
      <c r="O542">
        <f t="shared" si="83"/>
        <v>0</v>
      </c>
      <c r="P542">
        <f t="shared" si="84"/>
        <v>0</v>
      </c>
      <c r="R542" t="str">
        <f t="shared" si="85"/>
        <v>00</v>
      </c>
    </row>
    <row r="543" spans="1:18" x14ac:dyDescent="0.4">
      <c r="A543" s="1" t="str">
        <f t="shared" si="88"/>
        <v>10E</v>
      </c>
      <c r="B543">
        <f t="shared" si="89"/>
        <v>1</v>
      </c>
      <c r="C543">
        <f>VALUE(MID(Hex!$C$2,1+2*HEX2DEC(A543)+B543,1))</f>
        <v>0</v>
      </c>
      <c r="D543" s="1" t="str">
        <f t="shared" si="86"/>
        <v>21D</v>
      </c>
      <c r="E543">
        <f>HEX2DEC(MID(Hex!$C$8,1+HEX2DEC(Edit!D543)*2,2))</f>
        <v>0</v>
      </c>
      <c r="F543">
        <f t="shared" si="87"/>
        <v>541</v>
      </c>
      <c r="G543" t="str">
        <f>_xlfn.LET(_xlpm.custom,_xlfn.XLOOKUP(F543,Data!A:A,Data!C:C),IF(_xlpm.custom="",_xlfn.XLOOKUP(F543,Data!A:A,Data!B:B),_xlpm.custom))</f>
        <v>Air Balloon</v>
      </c>
      <c r="H543" t="str">
        <f>_xlfn.XLOOKUP(C543,Data!A:A,Data!E:E)</f>
        <v>General</v>
      </c>
      <c r="J543">
        <f>IF(I543="",C543,_xlfn.XLOOKUP(I543,Data!E:E,Data!A:A,""))</f>
        <v>0</v>
      </c>
      <c r="L543">
        <f t="shared" si="81"/>
        <v>0</v>
      </c>
      <c r="M543">
        <f t="shared" si="82"/>
        <v>0</v>
      </c>
      <c r="N543">
        <f t="shared" si="90"/>
        <v>0</v>
      </c>
      <c r="O543">
        <f t="shared" si="83"/>
        <v>0</v>
      </c>
      <c r="P543">
        <f t="shared" si="84"/>
        <v>0</v>
      </c>
      <c r="R543" t="str">
        <f t="shared" si="85"/>
        <v>00</v>
      </c>
    </row>
    <row r="544" spans="1:18" x14ac:dyDescent="0.4">
      <c r="A544" s="1" t="str">
        <f t="shared" si="88"/>
        <v>10F</v>
      </c>
      <c r="B544">
        <f t="shared" si="89"/>
        <v>0</v>
      </c>
      <c r="C544">
        <f>VALUE(MID(Hex!$C$2,1+2*HEX2DEC(A544)+B544,1))</f>
        <v>0</v>
      </c>
      <c r="D544" s="1" t="str">
        <f t="shared" si="86"/>
        <v>21E</v>
      </c>
      <c r="E544">
        <f>HEX2DEC(MID(Hex!$C$8,1+HEX2DEC(Edit!D544)*2,2))</f>
        <v>0</v>
      </c>
      <c r="F544">
        <f t="shared" si="87"/>
        <v>542</v>
      </c>
      <c r="G544" t="str">
        <f>_xlfn.LET(_xlpm.custom,_xlfn.XLOOKUP(F544,Data!A:A,Data!C:C),IF(_xlpm.custom="",_xlfn.XLOOKUP(F544,Data!A:A,Data!B:B),_xlpm.custom))</f>
        <v>Red Card</v>
      </c>
      <c r="H544" t="str">
        <f>_xlfn.XLOOKUP(C544,Data!A:A,Data!E:E)</f>
        <v>General</v>
      </c>
      <c r="J544">
        <f>IF(I544="",C544,_xlfn.XLOOKUP(I544,Data!E:E,Data!A:A,""))</f>
        <v>0</v>
      </c>
      <c r="L544">
        <f t="shared" si="81"/>
        <v>0</v>
      </c>
      <c r="M544">
        <f t="shared" si="82"/>
        <v>0</v>
      </c>
      <c r="N544">
        <f t="shared" si="90"/>
        <v>0</v>
      </c>
      <c r="O544">
        <f t="shared" si="83"/>
        <v>0</v>
      </c>
      <c r="P544">
        <f t="shared" si="84"/>
        <v>0</v>
      </c>
      <c r="R544" t="str">
        <f t="shared" si="85"/>
        <v>00</v>
      </c>
    </row>
    <row r="545" spans="1:18" x14ac:dyDescent="0.4">
      <c r="A545" s="1" t="str">
        <f t="shared" si="88"/>
        <v>10F</v>
      </c>
      <c r="B545">
        <f t="shared" si="89"/>
        <v>1</v>
      </c>
      <c r="C545">
        <f>VALUE(MID(Hex!$C$2,1+2*HEX2DEC(A545)+B545,1))</f>
        <v>0</v>
      </c>
      <c r="D545" s="1" t="str">
        <f t="shared" si="86"/>
        <v>21F</v>
      </c>
      <c r="E545">
        <f>HEX2DEC(MID(Hex!$C$8,1+HEX2DEC(Edit!D545)*2,2))</f>
        <v>0</v>
      </c>
      <c r="F545">
        <f t="shared" si="87"/>
        <v>543</v>
      </c>
      <c r="G545" t="str">
        <f>_xlfn.LET(_xlpm.custom,_xlfn.XLOOKUP(F545,Data!A:A,Data!C:C),IF(_xlpm.custom="",_xlfn.XLOOKUP(F545,Data!A:A,Data!B:B),_xlpm.custom))</f>
        <v>Ring Target</v>
      </c>
      <c r="H545" t="str">
        <f>_xlfn.XLOOKUP(C545,Data!A:A,Data!E:E)</f>
        <v>General</v>
      </c>
      <c r="J545">
        <f>IF(I545="",C545,_xlfn.XLOOKUP(I545,Data!E:E,Data!A:A,""))</f>
        <v>0</v>
      </c>
      <c r="L545">
        <f t="shared" si="81"/>
        <v>0</v>
      </c>
      <c r="M545">
        <f t="shared" si="82"/>
        <v>0</v>
      </c>
      <c r="N545">
        <f t="shared" si="90"/>
        <v>0</v>
      </c>
      <c r="O545">
        <f t="shared" si="83"/>
        <v>0</v>
      </c>
      <c r="P545">
        <f t="shared" si="84"/>
        <v>0</v>
      </c>
      <c r="R545" t="str">
        <f t="shared" si="85"/>
        <v>00</v>
      </c>
    </row>
    <row r="546" spans="1:18" x14ac:dyDescent="0.4">
      <c r="A546" s="1" t="str">
        <f t="shared" si="88"/>
        <v>110</v>
      </c>
      <c r="B546">
        <f t="shared" si="89"/>
        <v>0</v>
      </c>
      <c r="C546">
        <f>VALUE(MID(Hex!$C$2,1+2*HEX2DEC(A546)+B546,1))</f>
        <v>0</v>
      </c>
      <c r="D546" s="1" t="str">
        <f t="shared" si="86"/>
        <v>220</v>
      </c>
      <c r="E546">
        <f>HEX2DEC(MID(Hex!$C$8,1+HEX2DEC(Edit!D546)*2,2))</f>
        <v>0</v>
      </c>
      <c r="F546">
        <f t="shared" si="87"/>
        <v>544</v>
      </c>
      <c r="G546" t="str">
        <f>_xlfn.LET(_xlpm.custom,_xlfn.XLOOKUP(F546,Data!A:A,Data!C:C),IF(_xlpm.custom="",_xlfn.XLOOKUP(F546,Data!A:A,Data!B:B),_xlpm.custom))</f>
        <v>Binding Band</v>
      </c>
      <c r="H546" t="str">
        <f>_xlfn.XLOOKUP(C546,Data!A:A,Data!E:E)</f>
        <v>General</v>
      </c>
      <c r="J546">
        <f>IF(I546="",C546,_xlfn.XLOOKUP(I546,Data!E:E,Data!A:A,""))</f>
        <v>0</v>
      </c>
      <c r="L546">
        <f t="shared" si="81"/>
        <v>0</v>
      </c>
      <c r="M546">
        <f t="shared" si="82"/>
        <v>0</v>
      </c>
      <c r="N546">
        <f t="shared" si="90"/>
        <v>0</v>
      </c>
      <c r="O546">
        <f t="shared" si="83"/>
        <v>0</v>
      </c>
      <c r="P546">
        <f t="shared" si="84"/>
        <v>0</v>
      </c>
      <c r="R546" t="str">
        <f t="shared" si="85"/>
        <v>00</v>
      </c>
    </row>
    <row r="547" spans="1:18" x14ac:dyDescent="0.4">
      <c r="A547" s="1" t="str">
        <f t="shared" si="88"/>
        <v>110</v>
      </c>
      <c r="B547">
        <f t="shared" si="89"/>
        <v>1</v>
      </c>
      <c r="C547">
        <f>VALUE(MID(Hex!$C$2,1+2*HEX2DEC(A547)+B547,1))</f>
        <v>0</v>
      </c>
      <c r="D547" s="1" t="str">
        <f t="shared" si="86"/>
        <v>221</v>
      </c>
      <c r="E547">
        <f>HEX2DEC(MID(Hex!$C$8,1+HEX2DEC(Edit!D547)*2,2))</f>
        <v>0</v>
      </c>
      <c r="F547">
        <f t="shared" si="87"/>
        <v>545</v>
      </c>
      <c r="G547" t="str">
        <f>_xlfn.LET(_xlpm.custom,_xlfn.XLOOKUP(F547,Data!A:A,Data!C:C),IF(_xlpm.custom="",_xlfn.XLOOKUP(F547,Data!A:A,Data!B:B),_xlpm.custom))</f>
        <v>Absorb Bulb</v>
      </c>
      <c r="H547" t="str">
        <f>_xlfn.XLOOKUP(C547,Data!A:A,Data!E:E)</f>
        <v>General</v>
      </c>
      <c r="J547">
        <f>IF(I547="",C547,_xlfn.XLOOKUP(I547,Data!E:E,Data!A:A,""))</f>
        <v>0</v>
      </c>
      <c r="L547">
        <f t="shared" si="81"/>
        <v>0</v>
      </c>
      <c r="M547">
        <f t="shared" si="82"/>
        <v>0</v>
      </c>
      <c r="N547">
        <f t="shared" si="90"/>
        <v>0</v>
      </c>
      <c r="O547">
        <f t="shared" si="83"/>
        <v>0</v>
      </c>
      <c r="P547">
        <f t="shared" si="84"/>
        <v>0</v>
      </c>
      <c r="R547" t="str">
        <f t="shared" si="85"/>
        <v>00</v>
      </c>
    </row>
    <row r="548" spans="1:18" x14ac:dyDescent="0.4">
      <c r="A548" s="1" t="str">
        <f t="shared" si="88"/>
        <v>111</v>
      </c>
      <c r="B548">
        <f t="shared" si="89"/>
        <v>0</v>
      </c>
      <c r="C548">
        <f>VALUE(MID(Hex!$C$2,1+2*HEX2DEC(A548)+B548,1))</f>
        <v>0</v>
      </c>
      <c r="D548" s="1" t="str">
        <f t="shared" si="86"/>
        <v>222</v>
      </c>
      <c r="E548">
        <f>HEX2DEC(MID(Hex!$C$8,1+HEX2DEC(Edit!D548)*2,2))</f>
        <v>0</v>
      </c>
      <c r="F548">
        <f t="shared" si="87"/>
        <v>546</v>
      </c>
      <c r="G548" t="str">
        <f>_xlfn.LET(_xlpm.custom,_xlfn.XLOOKUP(F548,Data!A:A,Data!C:C),IF(_xlpm.custom="",_xlfn.XLOOKUP(F548,Data!A:A,Data!B:B),_xlpm.custom))</f>
        <v>Cell Battery</v>
      </c>
      <c r="H548" t="str">
        <f>_xlfn.XLOOKUP(C548,Data!A:A,Data!E:E)</f>
        <v>General</v>
      </c>
      <c r="J548">
        <f>IF(I548="",C548,_xlfn.XLOOKUP(I548,Data!E:E,Data!A:A,""))</f>
        <v>0</v>
      </c>
      <c r="L548">
        <f t="shared" si="81"/>
        <v>0</v>
      </c>
      <c r="M548">
        <f t="shared" si="82"/>
        <v>0</v>
      </c>
      <c r="N548">
        <f t="shared" si="90"/>
        <v>0</v>
      </c>
      <c r="O548">
        <f t="shared" si="83"/>
        <v>0</v>
      </c>
      <c r="P548">
        <f t="shared" si="84"/>
        <v>0</v>
      </c>
      <c r="R548" t="str">
        <f t="shared" si="85"/>
        <v>00</v>
      </c>
    </row>
    <row r="549" spans="1:18" x14ac:dyDescent="0.4">
      <c r="A549" s="1" t="str">
        <f t="shared" si="88"/>
        <v>111</v>
      </c>
      <c r="B549">
        <f t="shared" si="89"/>
        <v>1</v>
      </c>
      <c r="C549">
        <f>VALUE(MID(Hex!$C$2,1+2*HEX2DEC(A549)+B549,1))</f>
        <v>0</v>
      </c>
      <c r="D549" s="1" t="str">
        <f t="shared" si="86"/>
        <v>223</v>
      </c>
      <c r="E549">
        <f>HEX2DEC(MID(Hex!$C$8,1+HEX2DEC(Edit!D549)*2,2))</f>
        <v>0</v>
      </c>
      <c r="F549">
        <f t="shared" si="87"/>
        <v>547</v>
      </c>
      <c r="G549" t="str">
        <f>_xlfn.LET(_xlpm.custom,_xlfn.XLOOKUP(F549,Data!A:A,Data!C:C),IF(_xlpm.custom="",_xlfn.XLOOKUP(F549,Data!A:A,Data!B:B),_xlpm.custom))</f>
        <v>Eject Button</v>
      </c>
      <c r="H549" t="str">
        <f>_xlfn.XLOOKUP(C549,Data!A:A,Data!E:E)</f>
        <v>General</v>
      </c>
      <c r="J549">
        <f>IF(I549="",C549,_xlfn.XLOOKUP(I549,Data!E:E,Data!A:A,""))</f>
        <v>0</v>
      </c>
      <c r="L549">
        <f t="shared" si="81"/>
        <v>0</v>
      </c>
      <c r="M549">
        <f t="shared" si="82"/>
        <v>0</v>
      </c>
      <c r="N549">
        <f t="shared" si="90"/>
        <v>0</v>
      </c>
      <c r="O549">
        <f t="shared" si="83"/>
        <v>0</v>
      </c>
      <c r="P549">
        <f t="shared" si="84"/>
        <v>0</v>
      </c>
      <c r="R549" t="str">
        <f t="shared" si="85"/>
        <v>00</v>
      </c>
    </row>
    <row r="550" spans="1:18" x14ac:dyDescent="0.4">
      <c r="A550" s="1" t="str">
        <f t="shared" si="88"/>
        <v>112</v>
      </c>
      <c r="B550">
        <f t="shared" si="89"/>
        <v>0</v>
      </c>
      <c r="C550">
        <f>VALUE(MID(Hex!$C$2,1+2*HEX2DEC(A550)+B550,1))</f>
        <v>0</v>
      </c>
      <c r="D550" s="1" t="str">
        <f t="shared" si="86"/>
        <v>224</v>
      </c>
      <c r="E550">
        <f>HEX2DEC(MID(Hex!$C$8,1+HEX2DEC(Edit!D550)*2,2))</f>
        <v>0</v>
      </c>
      <c r="F550">
        <f t="shared" si="87"/>
        <v>548</v>
      </c>
      <c r="G550" t="str">
        <f>_xlfn.LET(_xlpm.custom,_xlfn.XLOOKUP(F550,Data!A:A,Data!C:C),IF(_xlpm.custom="",_xlfn.XLOOKUP(F550,Data!A:A,Data!B:B),_xlpm.custom))</f>
        <v>Fire Gem</v>
      </c>
      <c r="H550" t="str">
        <f>_xlfn.XLOOKUP(C550,Data!A:A,Data!E:E)</f>
        <v>General</v>
      </c>
      <c r="J550">
        <f>IF(I550="",C550,_xlfn.XLOOKUP(I550,Data!E:E,Data!A:A,""))</f>
        <v>0</v>
      </c>
      <c r="L550">
        <f t="shared" si="81"/>
        <v>0</v>
      </c>
      <c r="M550">
        <f t="shared" si="82"/>
        <v>0</v>
      </c>
      <c r="N550">
        <f t="shared" si="90"/>
        <v>0</v>
      </c>
      <c r="O550">
        <f t="shared" si="83"/>
        <v>0</v>
      </c>
      <c r="P550">
        <f t="shared" si="84"/>
        <v>0</v>
      </c>
      <c r="R550" t="str">
        <f t="shared" si="85"/>
        <v>00</v>
      </c>
    </row>
    <row r="551" spans="1:18" x14ac:dyDescent="0.4">
      <c r="A551" s="1" t="str">
        <f t="shared" si="88"/>
        <v>112</v>
      </c>
      <c r="B551">
        <f t="shared" si="89"/>
        <v>1</v>
      </c>
      <c r="C551">
        <f>VALUE(MID(Hex!$C$2,1+2*HEX2DEC(A551)+B551,1))</f>
        <v>0</v>
      </c>
      <c r="D551" s="1" t="str">
        <f t="shared" si="86"/>
        <v>225</v>
      </c>
      <c r="E551">
        <f>HEX2DEC(MID(Hex!$C$8,1+HEX2DEC(Edit!D551)*2,2))</f>
        <v>0</v>
      </c>
      <c r="F551">
        <f t="shared" si="87"/>
        <v>549</v>
      </c>
      <c r="G551" t="str">
        <f>_xlfn.LET(_xlpm.custom,_xlfn.XLOOKUP(F551,Data!A:A,Data!C:C),IF(_xlpm.custom="",_xlfn.XLOOKUP(F551,Data!A:A,Data!B:B),_xlpm.custom))</f>
        <v>Water Gem</v>
      </c>
      <c r="H551" t="str">
        <f>_xlfn.XLOOKUP(C551,Data!A:A,Data!E:E)</f>
        <v>General</v>
      </c>
      <c r="J551">
        <f>IF(I551="",C551,_xlfn.XLOOKUP(I551,Data!E:E,Data!A:A,""))</f>
        <v>0</v>
      </c>
      <c r="L551">
        <f t="shared" si="81"/>
        <v>0</v>
      </c>
      <c r="M551">
        <f t="shared" si="82"/>
        <v>0</v>
      </c>
      <c r="N551">
        <f t="shared" si="90"/>
        <v>0</v>
      </c>
      <c r="O551">
        <f t="shared" si="83"/>
        <v>0</v>
      </c>
      <c r="P551">
        <f t="shared" si="84"/>
        <v>0</v>
      </c>
      <c r="R551" t="str">
        <f t="shared" si="85"/>
        <v>00</v>
      </c>
    </row>
    <row r="552" spans="1:18" x14ac:dyDescent="0.4">
      <c r="A552" s="1" t="str">
        <f t="shared" si="88"/>
        <v>113</v>
      </c>
      <c r="B552">
        <f t="shared" si="89"/>
        <v>0</v>
      </c>
      <c r="C552">
        <f>VALUE(MID(Hex!$C$2,1+2*HEX2DEC(A552)+B552,1))</f>
        <v>0</v>
      </c>
      <c r="D552" s="1" t="str">
        <f t="shared" si="86"/>
        <v>226</v>
      </c>
      <c r="E552">
        <f>HEX2DEC(MID(Hex!$C$8,1+HEX2DEC(Edit!D552)*2,2))</f>
        <v>0</v>
      </c>
      <c r="F552">
        <f t="shared" si="87"/>
        <v>550</v>
      </c>
      <c r="G552" t="str">
        <f>_xlfn.LET(_xlpm.custom,_xlfn.XLOOKUP(F552,Data!A:A,Data!C:C),IF(_xlpm.custom="",_xlfn.XLOOKUP(F552,Data!A:A,Data!B:B),_xlpm.custom))</f>
        <v>Electric Gem</v>
      </c>
      <c r="H552" t="str">
        <f>_xlfn.XLOOKUP(C552,Data!A:A,Data!E:E)</f>
        <v>General</v>
      </c>
      <c r="J552">
        <f>IF(I552="",C552,_xlfn.XLOOKUP(I552,Data!E:E,Data!A:A,""))</f>
        <v>0</v>
      </c>
      <c r="L552">
        <f t="shared" si="81"/>
        <v>0</v>
      </c>
      <c r="M552">
        <f t="shared" si="82"/>
        <v>0</v>
      </c>
      <c r="N552">
        <f t="shared" si="90"/>
        <v>0</v>
      </c>
      <c r="O552">
        <f t="shared" si="83"/>
        <v>0</v>
      </c>
      <c r="P552">
        <f t="shared" si="84"/>
        <v>0</v>
      </c>
      <c r="R552" t="str">
        <f t="shared" si="85"/>
        <v>00</v>
      </c>
    </row>
    <row r="553" spans="1:18" x14ac:dyDescent="0.4">
      <c r="A553" s="1" t="str">
        <f t="shared" si="88"/>
        <v>113</v>
      </c>
      <c r="B553">
        <f t="shared" si="89"/>
        <v>1</v>
      </c>
      <c r="C553">
        <f>VALUE(MID(Hex!$C$2,1+2*HEX2DEC(A553)+B553,1))</f>
        <v>0</v>
      </c>
      <c r="D553" s="1" t="str">
        <f t="shared" si="86"/>
        <v>227</v>
      </c>
      <c r="E553">
        <f>HEX2DEC(MID(Hex!$C$8,1+HEX2DEC(Edit!D553)*2,2))</f>
        <v>0</v>
      </c>
      <c r="F553">
        <f t="shared" si="87"/>
        <v>551</v>
      </c>
      <c r="G553" t="str">
        <f>_xlfn.LET(_xlpm.custom,_xlfn.XLOOKUP(F553,Data!A:A,Data!C:C),IF(_xlpm.custom="",_xlfn.XLOOKUP(F553,Data!A:A,Data!B:B),_xlpm.custom))</f>
        <v>Grass Gem</v>
      </c>
      <c r="H553" t="str">
        <f>_xlfn.XLOOKUP(C553,Data!A:A,Data!E:E)</f>
        <v>General</v>
      </c>
      <c r="J553">
        <f>IF(I553="",C553,_xlfn.XLOOKUP(I553,Data!E:E,Data!A:A,""))</f>
        <v>0</v>
      </c>
      <c r="L553">
        <f t="shared" si="81"/>
        <v>0</v>
      </c>
      <c r="M553">
        <f t="shared" si="82"/>
        <v>0</v>
      </c>
      <c r="N553">
        <f t="shared" si="90"/>
        <v>0</v>
      </c>
      <c r="O553">
        <f t="shared" si="83"/>
        <v>0</v>
      </c>
      <c r="P553">
        <f t="shared" si="84"/>
        <v>0</v>
      </c>
      <c r="R553" t="str">
        <f t="shared" si="85"/>
        <v>00</v>
      </c>
    </row>
    <row r="554" spans="1:18" x14ac:dyDescent="0.4">
      <c r="A554" s="1" t="str">
        <f t="shared" si="88"/>
        <v>114</v>
      </c>
      <c r="B554">
        <f t="shared" si="89"/>
        <v>0</v>
      </c>
      <c r="C554">
        <f>VALUE(MID(Hex!$C$2,1+2*HEX2DEC(A554)+B554,1))</f>
        <v>0</v>
      </c>
      <c r="D554" s="1" t="str">
        <f t="shared" si="86"/>
        <v>228</v>
      </c>
      <c r="E554">
        <f>HEX2DEC(MID(Hex!$C$8,1+HEX2DEC(Edit!D554)*2,2))</f>
        <v>0</v>
      </c>
      <c r="F554">
        <f t="shared" si="87"/>
        <v>552</v>
      </c>
      <c r="G554" t="str">
        <f>_xlfn.LET(_xlpm.custom,_xlfn.XLOOKUP(F554,Data!A:A,Data!C:C),IF(_xlpm.custom="",_xlfn.XLOOKUP(F554,Data!A:A,Data!B:B),_xlpm.custom))</f>
        <v>Ice Gem</v>
      </c>
      <c r="H554" t="str">
        <f>_xlfn.XLOOKUP(C554,Data!A:A,Data!E:E)</f>
        <v>General</v>
      </c>
      <c r="J554">
        <f>IF(I554="",C554,_xlfn.XLOOKUP(I554,Data!E:E,Data!A:A,""))</f>
        <v>0</v>
      </c>
      <c r="L554">
        <f t="shared" si="81"/>
        <v>0</v>
      </c>
      <c r="M554">
        <f t="shared" si="82"/>
        <v>0</v>
      </c>
      <c r="N554">
        <f t="shared" si="90"/>
        <v>0</v>
      </c>
      <c r="O554">
        <f t="shared" si="83"/>
        <v>0</v>
      </c>
      <c r="P554">
        <f t="shared" si="84"/>
        <v>0</v>
      </c>
      <c r="R554" t="str">
        <f t="shared" si="85"/>
        <v>00</v>
      </c>
    </row>
    <row r="555" spans="1:18" x14ac:dyDescent="0.4">
      <c r="A555" s="1" t="str">
        <f t="shared" si="88"/>
        <v>114</v>
      </c>
      <c r="B555">
        <f t="shared" si="89"/>
        <v>1</v>
      </c>
      <c r="C555">
        <f>VALUE(MID(Hex!$C$2,1+2*HEX2DEC(A555)+B555,1))</f>
        <v>0</v>
      </c>
      <c r="D555" s="1" t="str">
        <f t="shared" si="86"/>
        <v>229</v>
      </c>
      <c r="E555">
        <f>HEX2DEC(MID(Hex!$C$8,1+HEX2DEC(Edit!D555)*2,2))</f>
        <v>0</v>
      </c>
      <c r="F555">
        <f t="shared" si="87"/>
        <v>553</v>
      </c>
      <c r="G555" t="str">
        <f>_xlfn.LET(_xlpm.custom,_xlfn.XLOOKUP(F555,Data!A:A,Data!C:C),IF(_xlpm.custom="",_xlfn.XLOOKUP(F555,Data!A:A,Data!B:B),_xlpm.custom))</f>
        <v>Fighting Gem</v>
      </c>
      <c r="H555" t="str">
        <f>_xlfn.XLOOKUP(C555,Data!A:A,Data!E:E)</f>
        <v>General</v>
      </c>
      <c r="J555">
        <f>IF(I555="",C555,_xlfn.XLOOKUP(I555,Data!E:E,Data!A:A,""))</f>
        <v>0</v>
      </c>
      <c r="L555">
        <f t="shared" si="81"/>
        <v>0</v>
      </c>
      <c r="M555">
        <f t="shared" si="82"/>
        <v>0</v>
      </c>
      <c r="N555">
        <f t="shared" si="90"/>
        <v>0</v>
      </c>
      <c r="O555">
        <f t="shared" si="83"/>
        <v>0</v>
      </c>
      <c r="P555">
        <f t="shared" si="84"/>
        <v>0</v>
      </c>
      <c r="R555" t="str">
        <f t="shared" si="85"/>
        <v>00</v>
      </c>
    </row>
    <row r="556" spans="1:18" x14ac:dyDescent="0.4">
      <c r="A556" s="1" t="str">
        <f t="shared" si="88"/>
        <v>115</v>
      </c>
      <c r="B556">
        <f t="shared" si="89"/>
        <v>0</v>
      </c>
      <c r="C556">
        <f>VALUE(MID(Hex!$C$2,1+2*HEX2DEC(A556)+B556,1))</f>
        <v>0</v>
      </c>
      <c r="D556" s="1" t="str">
        <f t="shared" si="86"/>
        <v>22A</v>
      </c>
      <c r="E556">
        <f>HEX2DEC(MID(Hex!$C$8,1+HEX2DEC(Edit!D556)*2,2))</f>
        <v>0</v>
      </c>
      <c r="F556">
        <f t="shared" si="87"/>
        <v>554</v>
      </c>
      <c r="G556" t="str">
        <f>_xlfn.LET(_xlpm.custom,_xlfn.XLOOKUP(F556,Data!A:A,Data!C:C),IF(_xlpm.custom="",_xlfn.XLOOKUP(F556,Data!A:A,Data!B:B),_xlpm.custom))</f>
        <v>Poison Gem</v>
      </c>
      <c r="H556" t="str">
        <f>_xlfn.XLOOKUP(C556,Data!A:A,Data!E:E)</f>
        <v>General</v>
      </c>
      <c r="J556">
        <f>IF(I556="",C556,_xlfn.XLOOKUP(I556,Data!E:E,Data!A:A,""))</f>
        <v>0</v>
      </c>
      <c r="L556">
        <f t="shared" si="81"/>
        <v>0</v>
      </c>
      <c r="M556">
        <f t="shared" si="82"/>
        <v>0</v>
      </c>
      <c r="N556">
        <f t="shared" si="90"/>
        <v>0</v>
      </c>
      <c r="O556">
        <f t="shared" si="83"/>
        <v>0</v>
      </c>
      <c r="P556">
        <f t="shared" si="84"/>
        <v>0</v>
      </c>
      <c r="R556" t="str">
        <f t="shared" si="85"/>
        <v>00</v>
      </c>
    </row>
    <row r="557" spans="1:18" x14ac:dyDescent="0.4">
      <c r="A557" s="1" t="str">
        <f t="shared" si="88"/>
        <v>115</v>
      </c>
      <c r="B557">
        <f t="shared" si="89"/>
        <v>1</v>
      </c>
      <c r="C557">
        <f>VALUE(MID(Hex!$C$2,1+2*HEX2DEC(A557)+B557,1))</f>
        <v>0</v>
      </c>
      <c r="D557" s="1" t="str">
        <f t="shared" si="86"/>
        <v>22B</v>
      </c>
      <c r="E557">
        <f>HEX2DEC(MID(Hex!$C$8,1+HEX2DEC(Edit!D557)*2,2))</f>
        <v>0</v>
      </c>
      <c r="F557">
        <f t="shared" si="87"/>
        <v>555</v>
      </c>
      <c r="G557" t="str">
        <f>_xlfn.LET(_xlpm.custom,_xlfn.XLOOKUP(F557,Data!A:A,Data!C:C),IF(_xlpm.custom="",_xlfn.XLOOKUP(F557,Data!A:A,Data!B:B),_xlpm.custom))</f>
        <v>Ground Gem</v>
      </c>
      <c r="H557" t="str">
        <f>_xlfn.XLOOKUP(C557,Data!A:A,Data!E:E)</f>
        <v>General</v>
      </c>
      <c r="J557">
        <f>IF(I557="",C557,_xlfn.XLOOKUP(I557,Data!E:E,Data!A:A,""))</f>
        <v>0</v>
      </c>
      <c r="L557">
        <f t="shared" si="81"/>
        <v>0</v>
      </c>
      <c r="M557">
        <f t="shared" si="82"/>
        <v>0</v>
      </c>
      <c r="N557">
        <f t="shared" si="90"/>
        <v>0</v>
      </c>
      <c r="O557">
        <f t="shared" si="83"/>
        <v>0</v>
      </c>
      <c r="P557">
        <f t="shared" si="84"/>
        <v>0</v>
      </c>
      <c r="R557" t="str">
        <f t="shared" si="85"/>
        <v>00</v>
      </c>
    </row>
    <row r="558" spans="1:18" x14ac:dyDescent="0.4">
      <c r="A558" s="1" t="str">
        <f t="shared" si="88"/>
        <v>116</v>
      </c>
      <c r="B558">
        <f t="shared" si="89"/>
        <v>0</v>
      </c>
      <c r="C558">
        <f>VALUE(MID(Hex!$C$2,1+2*HEX2DEC(A558)+B558,1))</f>
        <v>0</v>
      </c>
      <c r="D558" s="1" t="str">
        <f t="shared" si="86"/>
        <v>22C</v>
      </c>
      <c r="E558">
        <f>HEX2DEC(MID(Hex!$C$8,1+HEX2DEC(Edit!D558)*2,2))</f>
        <v>0</v>
      </c>
      <c r="F558">
        <f t="shared" si="87"/>
        <v>556</v>
      </c>
      <c r="G558" t="str">
        <f>_xlfn.LET(_xlpm.custom,_xlfn.XLOOKUP(F558,Data!A:A,Data!C:C),IF(_xlpm.custom="",_xlfn.XLOOKUP(F558,Data!A:A,Data!B:B),_xlpm.custom))</f>
        <v>Flying Gem</v>
      </c>
      <c r="H558" t="str">
        <f>_xlfn.XLOOKUP(C558,Data!A:A,Data!E:E)</f>
        <v>General</v>
      </c>
      <c r="J558">
        <f>IF(I558="",C558,_xlfn.XLOOKUP(I558,Data!E:E,Data!A:A,""))</f>
        <v>0</v>
      </c>
      <c r="L558">
        <f t="shared" si="81"/>
        <v>0</v>
      </c>
      <c r="M558">
        <f t="shared" si="82"/>
        <v>0</v>
      </c>
      <c r="N558">
        <f t="shared" si="90"/>
        <v>0</v>
      </c>
      <c r="O558">
        <f t="shared" si="83"/>
        <v>0</v>
      </c>
      <c r="P558">
        <f t="shared" si="84"/>
        <v>0</v>
      </c>
      <c r="R558" t="str">
        <f t="shared" si="85"/>
        <v>00</v>
      </c>
    </row>
    <row r="559" spans="1:18" x14ac:dyDescent="0.4">
      <c r="A559" s="1" t="str">
        <f t="shared" si="88"/>
        <v>116</v>
      </c>
      <c r="B559">
        <f t="shared" si="89"/>
        <v>1</v>
      </c>
      <c r="C559">
        <f>VALUE(MID(Hex!$C$2,1+2*HEX2DEC(A559)+B559,1))</f>
        <v>0</v>
      </c>
      <c r="D559" s="1" t="str">
        <f t="shared" si="86"/>
        <v>22D</v>
      </c>
      <c r="E559">
        <f>HEX2DEC(MID(Hex!$C$8,1+HEX2DEC(Edit!D559)*2,2))</f>
        <v>0</v>
      </c>
      <c r="F559">
        <f t="shared" si="87"/>
        <v>557</v>
      </c>
      <c r="G559" t="str">
        <f>_xlfn.LET(_xlpm.custom,_xlfn.XLOOKUP(F559,Data!A:A,Data!C:C),IF(_xlpm.custom="",_xlfn.XLOOKUP(F559,Data!A:A,Data!B:B),_xlpm.custom))</f>
        <v>Psychic Gem</v>
      </c>
      <c r="H559" t="str">
        <f>_xlfn.XLOOKUP(C559,Data!A:A,Data!E:E)</f>
        <v>General</v>
      </c>
      <c r="J559">
        <f>IF(I559="",C559,_xlfn.XLOOKUP(I559,Data!E:E,Data!A:A,""))</f>
        <v>0</v>
      </c>
      <c r="L559">
        <f t="shared" si="81"/>
        <v>0</v>
      </c>
      <c r="M559">
        <f t="shared" si="82"/>
        <v>0</v>
      </c>
      <c r="N559">
        <f t="shared" si="90"/>
        <v>0</v>
      </c>
      <c r="O559">
        <f t="shared" si="83"/>
        <v>0</v>
      </c>
      <c r="P559">
        <f t="shared" si="84"/>
        <v>0</v>
      </c>
      <c r="R559" t="str">
        <f t="shared" si="85"/>
        <v>00</v>
      </c>
    </row>
    <row r="560" spans="1:18" x14ac:dyDescent="0.4">
      <c r="A560" s="1" t="str">
        <f t="shared" si="88"/>
        <v>117</v>
      </c>
      <c r="B560">
        <f t="shared" si="89"/>
        <v>0</v>
      </c>
      <c r="C560">
        <f>VALUE(MID(Hex!$C$2,1+2*HEX2DEC(A560)+B560,1))</f>
        <v>0</v>
      </c>
      <c r="D560" s="1" t="str">
        <f t="shared" si="86"/>
        <v>22E</v>
      </c>
      <c r="E560">
        <f>HEX2DEC(MID(Hex!$C$8,1+HEX2DEC(Edit!D560)*2,2))</f>
        <v>0</v>
      </c>
      <c r="F560">
        <f t="shared" si="87"/>
        <v>558</v>
      </c>
      <c r="G560" t="str">
        <f>_xlfn.LET(_xlpm.custom,_xlfn.XLOOKUP(F560,Data!A:A,Data!C:C),IF(_xlpm.custom="",_xlfn.XLOOKUP(F560,Data!A:A,Data!B:B),_xlpm.custom))</f>
        <v>Bug Gem</v>
      </c>
      <c r="H560" t="str">
        <f>_xlfn.XLOOKUP(C560,Data!A:A,Data!E:E)</f>
        <v>General</v>
      </c>
      <c r="J560">
        <f>IF(I560="",C560,_xlfn.XLOOKUP(I560,Data!E:E,Data!A:A,""))</f>
        <v>0</v>
      </c>
      <c r="L560">
        <f t="shared" si="81"/>
        <v>0</v>
      </c>
      <c r="M560">
        <f t="shared" si="82"/>
        <v>0</v>
      </c>
      <c r="N560">
        <f t="shared" si="90"/>
        <v>0</v>
      </c>
      <c r="O560">
        <f t="shared" si="83"/>
        <v>0</v>
      </c>
      <c r="P560">
        <f t="shared" si="84"/>
        <v>0</v>
      </c>
      <c r="R560" t="str">
        <f t="shared" si="85"/>
        <v>00</v>
      </c>
    </row>
    <row r="561" spans="1:18" x14ac:dyDescent="0.4">
      <c r="A561" s="1" t="str">
        <f t="shared" si="88"/>
        <v>117</v>
      </c>
      <c r="B561">
        <f t="shared" si="89"/>
        <v>1</v>
      </c>
      <c r="C561">
        <f>VALUE(MID(Hex!$C$2,1+2*HEX2DEC(A561)+B561,1))</f>
        <v>0</v>
      </c>
      <c r="D561" s="1" t="str">
        <f t="shared" si="86"/>
        <v>22F</v>
      </c>
      <c r="E561">
        <f>HEX2DEC(MID(Hex!$C$8,1+HEX2DEC(Edit!D561)*2,2))</f>
        <v>0</v>
      </c>
      <c r="F561">
        <f t="shared" si="87"/>
        <v>559</v>
      </c>
      <c r="G561" t="str">
        <f>_xlfn.LET(_xlpm.custom,_xlfn.XLOOKUP(F561,Data!A:A,Data!C:C),IF(_xlpm.custom="",_xlfn.XLOOKUP(F561,Data!A:A,Data!B:B),_xlpm.custom))</f>
        <v>Rock Gem</v>
      </c>
      <c r="H561" t="str">
        <f>_xlfn.XLOOKUP(C561,Data!A:A,Data!E:E)</f>
        <v>General</v>
      </c>
      <c r="J561">
        <f>IF(I561="",C561,_xlfn.XLOOKUP(I561,Data!E:E,Data!A:A,""))</f>
        <v>0</v>
      </c>
      <c r="L561">
        <f t="shared" si="81"/>
        <v>0</v>
      </c>
      <c r="M561">
        <f t="shared" si="82"/>
        <v>0</v>
      </c>
      <c r="N561">
        <f t="shared" si="90"/>
        <v>0</v>
      </c>
      <c r="O561">
        <f t="shared" si="83"/>
        <v>0</v>
      </c>
      <c r="P561">
        <f t="shared" si="84"/>
        <v>0</v>
      </c>
      <c r="R561" t="str">
        <f t="shared" si="85"/>
        <v>00</v>
      </c>
    </row>
    <row r="562" spans="1:18" x14ac:dyDescent="0.4">
      <c r="A562" s="1" t="str">
        <f t="shared" si="88"/>
        <v>118</v>
      </c>
      <c r="B562">
        <f t="shared" si="89"/>
        <v>0</v>
      </c>
      <c r="C562">
        <f>VALUE(MID(Hex!$C$2,1+2*HEX2DEC(A562)+B562,1))</f>
        <v>0</v>
      </c>
      <c r="D562" s="1" t="str">
        <f t="shared" si="86"/>
        <v>230</v>
      </c>
      <c r="E562">
        <f>HEX2DEC(MID(Hex!$C$8,1+HEX2DEC(Edit!D562)*2,2))</f>
        <v>0</v>
      </c>
      <c r="F562">
        <f t="shared" si="87"/>
        <v>560</v>
      </c>
      <c r="G562" t="str">
        <f>_xlfn.LET(_xlpm.custom,_xlfn.XLOOKUP(F562,Data!A:A,Data!C:C),IF(_xlpm.custom="",_xlfn.XLOOKUP(F562,Data!A:A,Data!B:B),_xlpm.custom))</f>
        <v>Ghost Gem</v>
      </c>
      <c r="H562" t="str">
        <f>_xlfn.XLOOKUP(C562,Data!A:A,Data!E:E)</f>
        <v>General</v>
      </c>
      <c r="J562">
        <f>IF(I562="",C562,_xlfn.XLOOKUP(I562,Data!E:E,Data!A:A,""))</f>
        <v>0</v>
      </c>
      <c r="L562">
        <f t="shared" si="81"/>
        <v>0</v>
      </c>
      <c r="M562">
        <f t="shared" si="82"/>
        <v>0</v>
      </c>
      <c r="N562">
        <f t="shared" si="90"/>
        <v>0</v>
      </c>
      <c r="O562">
        <f t="shared" si="83"/>
        <v>0</v>
      </c>
      <c r="P562">
        <f t="shared" si="84"/>
        <v>0</v>
      </c>
      <c r="R562" t="str">
        <f t="shared" si="85"/>
        <v>00</v>
      </c>
    </row>
    <row r="563" spans="1:18" x14ac:dyDescent="0.4">
      <c r="A563" s="1" t="str">
        <f t="shared" si="88"/>
        <v>118</v>
      </c>
      <c r="B563">
        <f t="shared" si="89"/>
        <v>1</v>
      </c>
      <c r="C563">
        <f>VALUE(MID(Hex!$C$2,1+2*HEX2DEC(A563)+B563,1))</f>
        <v>0</v>
      </c>
      <c r="D563" s="1" t="str">
        <f t="shared" si="86"/>
        <v>231</v>
      </c>
      <c r="E563">
        <f>HEX2DEC(MID(Hex!$C$8,1+HEX2DEC(Edit!D563)*2,2))</f>
        <v>0</v>
      </c>
      <c r="F563">
        <f t="shared" si="87"/>
        <v>561</v>
      </c>
      <c r="G563" t="str">
        <f>_xlfn.LET(_xlpm.custom,_xlfn.XLOOKUP(F563,Data!A:A,Data!C:C),IF(_xlpm.custom="",_xlfn.XLOOKUP(F563,Data!A:A,Data!B:B),_xlpm.custom))</f>
        <v>Dragon Gem</v>
      </c>
      <c r="H563" t="str">
        <f>_xlfn.XLOOKUP(C563,Data!A:A,Data!E:E)</f>
        <v>General</v>
      </c>
      <c r="J563">
        <f>IF(I563="",C563,_xlfn.XLOOKUP(I563,Data!E:E,Data!A:A,""))</f>
        <v>0</v>
      </c>
      <c r="L563">
        <f t="shared" si="81"/>
        <v>0</v>
      </c>
      <c r="M563">
        <f t="shared" si="82"/>
        <v>0</v>
      </c>
      <c r="N563">
        <f t="shared" si="90"/>
        <v>0</v>
      </c>
      <c r="O563">
        <f t="shared" si="83"/>
        <v>0</v>
      </c>
      <c r="P563">
        <f t="shared" si="84"/>
        <v>0</v>
      </c>
      <c r="R563" t="str">
        <f t="shared" si="85"/>
        <v>00</v>
      </c>
    </row>
    <row r="564" spans="1:18" x14ac:dyDescent="0.4">
      <c r="A564" s="1" t="str">
        <f t="shared" si="88"/>
        <v>119</v>
      </c>
      <c r="B564">
        <f t="shared" si="89"/>
        <v>0</v>
      </c>
      <c r="C564">
        <f>VALUE(MID(Hex!$C$2,1+2*HEX2DEC(A564)+B564,1))</f>
        <v>0</v>
      </c>
      <c r="D564" s="1" t="str">
        <f t="shared" si="86"/>
        <v>232</v>
      </c>
      <c r="E564">
        <f>HEX2DEC(MID(Hex!$C$8,1+HEX2DEC(Edit!D564)*2,2))</f>
        <v>0</v>
      </c>
      <c r="F564">
        <f t="shared" si="87"/>
        <v>562</v>
      </c>
      <c r="G564" t="str">
        <f>_xlfn.LET(_xlpm.custom,_xlfn.XLOOKUP(F564,Data!A:A,Data!C:C),IF(_xlpm.custom="",_xlfn.XLOOKUP(F564,Data!A:A,Data!B:B),_xlpm.custom))</f>
        <v>Dark Gem</v>
      </c>
      <c r="H564" t="str">
        <f>_xlfn.XLOOKUP(C564,Data!A:A,Data!E:E)</f>
        <v>General</v>
      </c>
      <c r="J564">
        <f>IF(I564="",C564,_xlfn.XLOOKUP(I564,Data!E:E,Data!A:A,""))</f>
        <v>0</v>
      </c>
      <c r="L564">
        <f t="shared" si="81"/>
        <v>0</v>
      </c>
      <c r="M564">
        <f t="shared" si="82"/>
        <v>0</v>
      </c>
      <c r="N564">
        <f t="shared" si="90"/>
        <v>0</v>
      </c>
      <c r="O564">
        <f t="shared" si="83"/>
        <v>0</v>
      </c>
      <c r="P564">
        <f t="shared" si="84"/>
        <v>0</v>
      </c>
      <c r="R564" t="str">
        <f t="shared" si="85"/>
        <v>00</v>
      </c>
    </row>
    <row r="565" spans="1:18" x14ac:dyDescent="0.4">
      <c r="A565" s="1" t="str">
        <f t="shared" si="88"/>
        <v>119</v>
      </c>
      <c r="B565">
        <f t="shared" si="89"/>
        <v>1</v>
      </c>
      <c r="C565">
        <f>VALUE(MID(Hex!$C$2,1+2*HEX2DEC(A565)+B565,1))</f>
        <v>0</v>
      </c>
      <c r="D565" s="1" t="str">
        <f t="shared" si="86"/>
        <v>233</v>
      </c>
      <c r="E565">
        <f>HEX2DEC(MID(Hex!$C$8,1+HEX2DEC(Edit!D565)*2,2))</f>
        <v>0</v>
      </c>
      <c r="F565">
        <f t="shared" si="87"/>
        <v>563</v>
      </c>
      <c r="G565" t="str">
        <f>_xlfn.LET(_xlpm.custom,_xlfn.XLOOKUP(F565,Data!A:A,Data!C:C),IF(_xlpm.custom="",_xlfn.XLOOKUP(F565,Data!A:A,Data!B:B),_xlpm.custom))</f>
        <v>Steel Gem</v>
      </c>
      <c r="H565" t="str">
        <f>_xlfn.XLOOKUP(C565,Data!A:A,Data!E:E)</f>
        <v>General</v>
      </c>
      <c r="J565">
        <f>IF(I565="",C565,_xlfn.XLOOKUP(I565,Data!E:E,Data!A:A,""))</f>
        <v>0</v>
      </c>
      <c r="L565">
        <f t="shared" si="81"/>
        <v>0</v>
      </c>
      <c r="M565">
        <f t="shared" si="82"/>
        <v>0</v>
      </c>
      <c r="N565">
        <f t="shared" si="90"/>
        <v>0</v>
      </c>
      <c r="O565">
        <f t="shared" si="83"/>
        <v>0</v>
      </c>
      <c r="P565">
        <f t="shared" si="84"/>
        <v>0</v>
      </c>
      <c r="R565" t="str">
        <f t="shared" si="85"/>
        <v>00</v>
      </c>
    </row>
    <row r="566" spans="1:18" x14ac:dyDescent="0.4">
      <c r="A566" s="1" t="str">
        <f t="shared" si="88"/>
        <v>11A</v>
      </c>
      <c r="B566">
        <f t="shared" si="89"/>
        <v>0</v>
      </c>
      <c r="C566">
        <f>VALUE(MID(Hex!$C$2,1+2*HEX2DEC(A566)+B566,1))</f>
        <v>0</v>
      </c>
      <c r="D566" s="1" t="str">
        <f t="shared" si="86"/>
        <v>234</v>
      </c>
      <c r="E566">
        <f>HEX2DEC(MID(Hex!$C$8,1+HEX2DEC(Edit!D566)*2,2))</f>
        <v>0</v>
      </c>
      <c r="F566">
        <f t="shared" si="87"/>
        <v>564</v>
      </c>
      <c r="G566" t="str">
        <f>_xlfn.LET(_xlpm.custom,_xlfn.XLOOKUP(F566,Data!A:A,Data!C:C),IF(_xlpm.custom="",_xlfn.XLOOKUP(F566,Data!A:A,Data!B:B),_xlpm.custom))</f>
        <v>Normal Gem</v>
      </c>
      <c r="H566" t="str">
        <f>_xlfn.XLOOKUP(C566,Data!A:A,Data!E:E)</f>
        <v>General</v>
      </c>
      <c r="J566">
        <f>IF(I566="",C566,_xlfn.XLOOKUP(I566,Data!E:E,Data!A:A,""))</f>
        <v>0</v>
      </c>
      <c r="L566">
        <f t="shared" si="81"/>
        <v>0</v>
      </c>
      <c r="M566">
        <f t="shared" si="82"/>
        <v>0</v>
      </c>
      <c r="N566">
        <f t="shared" si="90"/>
        <v>0</v>
      </c>
      <c r="O566">
        <f t="shared" si="83"/>
        <v>0</v>
      </c>
      <c r="P566">
        <f t="shared" si="84"/>
        <v>0</v>
      </c>
      <c r="R566" t="str">
        <f t="shared" si="85"/>
        <v>00</v>
      </c>
    </row>
    <row r="567" spans="1:18" x14ac:dyDescent="0.4">
      <c r="A567" s="1" t="str">
        <f t="shared" si="88"/>
        <v>11A</v>
      </c>
      <c r="B567">
        <f t="shared" si="89"/>
        <v>1</v>
      </c>
      <c r="C567">
        <f>VALUE(MID(Hex!$C$2,1+2*HEX2DEC(A567)+B567,1))</f>
        <v>1</v>
      </c>
      <c r="D567" s="1" t="str">
        <f t="shared" si="86"/>
        <v>235</v>
      </c>
      <c r="E567">
        <f>HEX2DEC(MID(Hex!$C$8,1+HEX2DEC(Edit!D567)*2,2))</f>
        <v>0</v>
      </c>
      <c r="F567">
        <f t="shared" si="87"/>
        <v>565</v>
      </c>
      <c r="G567" t="str">
        <f>_xlfn.LET(_xlpm.custom,_xlfn.XLOOKUP(F567,Data!A:A,Data!C:C),IF(_xlpm.custom="",_xlfn.XLOOKUP(F567,Data!A:A,Data!B:B),_xlpm.custom))</f>
        <v>Health Wing</v>
      </c>
      <c r="H567" t="str">
        <f>_xlfn.XLOOKUP(C567,Data!A:A,Data!E:E)</f>
        <v>Medicine</v>
      </c>
      <c r="J567">
        <f>IF(I567="",C567,_xlfn.XLOOKUP(I567,Data!E:E,Data!A:A,""))</f>
        <v>1</v>
      </c>
      <c r="L567">
        <f t="shared" si="81"/>
        <v>0</v>
      </c>
      <c r="M567">
        <f t="shared" si="82"/>
        <v>0</v>
      </c>
      <c r="N567">
        <f t="shared" si="90"/>
        <v>0</v>
      </c>
      <c r="O567">
        <f t="shared" si="83"/>
        <v>0</v>
      </c>
      <c r="P567">
        <f t="shared" si="84"/>
        <v>0</v>
      </c>
      <c r="R567" t="str">
        <f t="shared" si="85"/>
        <v>00</v>
      </c>
    </row>
    <row r="568" spans="1:18" x14ac:dyDescent="0.4">
      <c r="A568" s="1" t="str">
        <f t="shared" si="88"/>
        <v>11B</v>
      </c>
      <c r="B568">
        <f t="shared" si="89"/>
        <v>0</v>
      </c>
      <c r="C568">
        <f>VALUE(MID(Hex!$C$2,1+2*HEX2DEC(A568)+B568,1))</f>
        <v>1</v>
      </c>
      <c r="D568" s="1" t="str">
        <f t="shared" si="86"/>
        <v>236</v>
      </c>
      <c r="E568">
        <f>HEX2DEC(MID(Hex!$C$8,1+HEX2DEC(Edit!D568)*2,2))</f>
        <v>0</v>
      </c>
      <c r="F568">
        <f t="shared" si="87"/>
        <v>566</v>
      </c>
      <c r="G568" t="str">
        <f>_xlfn.LET(_xlpm.custom,_xlfn.XLOOKUP(F568,Data!A:A,Data!C:C),IF(_xlpm.custom="",_xlfn.XLOOKUP(F568,Data!A:A,Data!B:B),_xlpm.custom))</f>
        <v>Muscle Wing</v>
      </c>
      <c r="H568" t="str">
        <f>_xlfn.XLOOKUP(C568,Data!A:A,Data!E:E)</f>
        <v>Medicine</v>
      </c>
      <c r="J568">
        <f>IF(I568="",C568,_xlfn.XLOOKUP(I568,Data!E:E,Data!A:A,""))</f>
        <v>1</v>
      </c>
      <c r="L568">
        <f t="shared" si="81"/>
        <v>0</v>
      </c>
      <c r="M568">
        <f t="shared" si="82"/>
        <v>0</v>
      </c>
      <c r="N568">
        <f t="shared" si="90"/>
        <v>0</v>
      </c>
      <c r="O568">
        <f t="shared" si="83"/>
        <v>0</v>
      </c>
      <c r="P568">
        <f t="shared" si="84"/>
        <v>0</v>
      </c>
      <c r="R568" t="str">
        <f t="shared" si="85"/>
        <v>00</v>
      </c>
    </row>
    <row r="569" spans="1:18" x14ac:dyDescent="0.4">
      <c r="A569" s="1" t="str">
        <f t="shared" si="88"/>
        <v>11B</v>
      </c>
      <c r="B569">
        <f t="shared" si="89"/>
        <v>1</v>
      </c>
      <c r="C569">
        <f>VALUE(MID(Hex!$C$2,1+2*HEX2DEC(A569)+B569,1))</f>
        <v>1</v>
      </c>
      <c r="D569" s="1" t="str">
        <f t="shared" si="86"/>
        <v>237</v>
      </c>
      <c r="E569">
        <f>HEX2DEC(MID(Hex!$C$8,1+HEX2DEC(Edit!D569)*2,2))</f>
        <v>0</v>
      </c>
      <c r="F569">
        <f t="shared" si="87"/>
        <v>567</v>
      </c>
      <c r="G569" t="str">
        <f>_xlfn.LET(_xlpm.custom,_xlfn.XLOOKUP(F569,Data!A:A,Data!C:C),IF(_xlpm.custom="",_xlfn.XLOOKUP(F569,Data!A:A,Data!B:B),_xlpm.custom))</f>
        <v>Resist Wing</v>
      </c>
      <c r="H569" t="str">
        <f>_xlfn.XLOOKUP(C569,Data!A:A,Data!E:E)</f>
        <v>Medicine</v>
      </c>
      <c r="J569">
        <f>IF(I569="",C569,_xlfn.XLOOKUP(I569,Data!E:E,Data!A:A,""))</f>
        <v>1</v>
      </c>
      <c r="L569">
        <f t="shared" si="81"/>
        <v>0</v>
      </c>
      <c r="M569">
        <f t="shared" si="82"/>
        <v>0</v>
      </c>
      <c r="N569">
        <f t="shared" si="90"/>
        <v>0</v>
      </c>
      <c r="O569">
        <f t="shared" si="83"/>
        <v>0</v>
      </c>
      <c r="P569">
        <f t="shared" si="84"/>
        <v>0</v>
      </c>
      <c r="R569" t="str">
        <f t="shared" si="85"/>
        <v>00</v>
      </c>
    </row>
    <row r="570" spans="1:18" x14ac:dyDescent="0.4">
      <c r="A570" s="1" t="str">
        <f t="shared" si="88"/>
        <v>11C</v>
      </c>
      <c r="B570">
        <f t="shared" si="89"/>
        <v>0</v>
      </c>
      <c r="C570">
        <f>VALUE(MID(Hex!$C$2,1+2*HEX2DEC(A570)+B570,1))</f>
        <v>1</v>
      </c>
      <c r="D570" s="1" t="str">
        <f t="shared" si="86"/>
        <v>238</v>
      </c>
      <c r="E570">
        <f>HEX2DEC(MID(Hex!$C$8,1+HEX2DEC(Edit!D570)*2,2))</f>
        <v>0</v>
      </c>
      <c r="F570">
        <f t="shared" si="87"/>
        <v>568</v>
      </c>
      <c r="G570" t="str">
        <f>_xlfn.LET(_xlpm.custom,_xlfn.XLOOKUP(F570,Data!A:A,Data!C:C),IF(_xlpm.custom="",_xlfn.XLOOKUP(F570,Data!A:A,Data!B:B),_xlpm.custom))</f>
        <v>Genius Wing</v>
      </c>
      <c r="H570" t="str">
        <f>_xlfn.XLOOKUP(C570,Data!A:A,Data!E:E)</f>
        <v>Medicine</v>
      </c>
      <c r="J570">
        <f>IF(I570="",C570,_xlfn.XLOOKUP(I570,Data!E:E,Data!A:A,""))</f>
        <v>1</v>
      </c>
      <c r="L570">
        <f t="shared" si="81"/>
        <v>0</v>
      </c>
      <c r="M570">
        <f t="shared" si="82"/>
        <v>0</v>
      </c>
      <c r="N570">
        <f t="shared" si="90"/>
        <v>0</v>
      </c>
      <c r="O570">
        <f t="shared" si="83"/>
        <v>0</v>
      </c>
      <c r="P570">
        <f t="shared" si="84"/>
        <v>0</v>
      </c>
      <c r="R570" t="str">
        <f t="shared" si="85"/>
        <v>00</v>
      </c>
    </row>
    <row r="571" spans="1:18" x14ac:dyDescent="0.4">
      <c r="A571" s="1" t="str">
        <f t="shared" si="88"/>
        <v>11C</v>
      </c>
      <c r="B571">
        <f t="shared" si="89"/>
        <v>1</v>
      </c>
      <c r="C571">
        <f>VALUE(MID(Hex!$C$2,1+2*HEX2DEC(A571)+B571,1))</f>
        <v>1</v>
      </c>
      <c r="D571" s="1" t="str">
        <f t="shared" si="86"/>
        <v>239</v>
      </c>
      <c r="E571">
        <f>HEX2DEC(MID(Hex!$C$8,1+HEX2DEC(Edit!D571)*2,2))</f>
        <v>0</v>
      </c>
      <c r="F571">
        <f t="shared" si="87"/>
        <v>569</v>
      </c>
      <c r="G571" t="str">
        <f>_xlfn.LET(_xlpm.custom,_xlfn.XLOOKUP(F571,Data!A:A,Data!C:C),IF(_xlpm.custom="",_xlfn.XLOOKUP(F571,Data!A:A,Data!B:B),_xlpm.custom))</f>
        <v>Clever Wing</v>
      </c>
      <c r="H571" t="str">
        <f>_xlfn.XLOOKUP(C571,Data!A:A,Data!E:E)</f>
        <v>Medicine</v>
      </c>
      <c r="J571">
        <f>IF(I571="",C571,_xlfn.XLOOKUP(I571,Data!E:E,Data!A:A,""))</f>
        <v>1</v>
      </c>
      <c r="L571">
        <f t="shared" si="81"/>
        <v>0</v>
      </c>
      <c r="M571">
        <f t="shared" si="82"/>
        <v>0</v>
      </c>
      <c r="N571">
        <f t="shared" si="90"/>
        <v>0</v>
      </c>
      <c r="O571">
        <f t="shared" si="83"/>
        <v>0</v>
      </c>
      <c r="P571">
        <f t="shared" si="84"/>
        <v>0</v>
      </c>
      <c r="R571" t="str">
        <f t="shared" si="85"/>
        <v>00</v>
      </c>
    </row>
    <row r="572" spans="1:18" x14ac:dyDescent="0.4">
      <c r="A572" s="1" t="str">
        <f t="shared" si="88"/>
        <v>11D</v>
      </c>
      <c r="B572">
        <f t="shared" si="89"/>
        <v>0</v>
      </c>
      <c r="C572">
        <f>VALUE(MID(Hex!$C$2,1+2*HEX2DEC(A572)+B572,1))</f>
        <v>1</v>
      </c>
      <c r="D572" s="1" t="str">
        <f t="shared" si="86"/>
        <v>23A</v>
      </c>
      <c r="E572">
        <f>HEX2DEC(MID(Hex!$C$8,1+HEX2DEC(Edit!D572)*2,2))</f>
        <v>0</v>
      </c>
      <c r="F572">
        <f t="shared" si="87"/>
        <v>570</v>
      </c>
      <c r="G572" t="str">
        <f>_xlfn.LET(_xlpm.custom,_xlfn.XLOOKUP(F572,Data!A:A,Data!C:C),IF(_xlpm.custom="",_xlfn.XLOOKUP(F572,Data!A:A,Data!B:B),_xlpm.custom))</f>
        <v>Swift Wing</v>
      </c>
      <c r="H572" t="str">
        <f>_xlfn.XLOOKUP(C572,Data!A:A,Data!E:E)</f>
        <v>Medicine</v>
      </c>
      <c r="J572">
        <f>IF(I572="",C572,_xlfn.XLOOKUP(I572,Data!E:E,Data!A:A,""))</f>
        <v>1</v>
      </c>
      <c r="L572">
        <f t="shared" si="81"/>
        <v>0</v>
      </c>
      <c r="M572">
        <f t="shared" si="82"/>
        <v>0</v>
      </c>
      <c r="N572">
        <f t="shared" si="90"/>
        <v>0</v>
      </c>
      <c r="O572">
        <f t="shared" si="83"/>
        <v>0</v>
      </c>
      <c r="P572">
        <f t="shared" si="84"/>
        <v>0</v>
      </c>
      <c r="R572" t="str">
        <f t="shared" si="85"/>
        <v>00</v>
      </c>
    </row>
    <row r="573" spans="1:18" x14ac:dyDescent="0.4">
      <c r="A573" s="1" t="str">
        <f t="shared" si="88"/>
        <v>11D</v>
      </c>
      <c r="B573">
        <f t="shared" si="89"/>
        <v>1</v>
      </c>
      <c r="C573">
        <f>VALUE(MID(Hex!$C$2,1+2*HEX2DEC(A573)+B573,1))</f>
        <v>1</v>
      </c>
      <c r="D573" s="1" t="str">
        <f t="shared" si="86"/>
        <v>23B</v>
      </c>
      <c r="E573">
        <f>HEX2DEC(MID(Hex!$C$8,1+HEX2DEC(Edit!D573)*2,2))</f>
        <v>0</v>
      </c>
      <c r="F573">
        <f t="shared" si="87"/>
        <v>571</v>
      </c>
      <c r="G573" t="str">
        <f>_xlfn.LET(_xlpm.custom,_xlfn.XLOOKUP(F573,Data!A:A,Data!C:C),IF(_xlpm.custom="",_xlfn.XLOOKUP(F573,Data!A:A,Data!B:B),_xlpm.custom))</f>
        <v>Healing Wing</v>
      </c>
      <c r="H573" t="str">
        <f>_xlfn.XLOOKUP(C573,Data!A:A,Data!E:E)</f>
        <v>Medicine</v>
      </c>
      <c r="J573">
        <f>IF(I573="",C573,_xlfn.XLOOKUP(I573,Data!E:E,Data!A:A,""))</f>
        <v>1</v>
      </c>
      <c r="L573">
        <f t="shared" si="81"/>
        <v>0</v>
      </c>
      <c r="M573">
        <f t="shared" si="82"/>
        <v>0</v>
      </c>
      <c r="N573">
        <f t="shared" si="90"/>
        <v>0</v>
      </c>
      <c r="O573">
        <f t="shared" si="83"/>
        <v>0</v>
      </c>
      <c r="P573">
        <f t="shared" si="84"/>
        <v>0</v>
      </c>
      <c r="R573" t="str">
        <f t="shared" si="85"/>
        <v>00</v>
      </c>
    </row>
    <row r="574" spans="1:18" x14ac:dyDescent="0.4">
      <c r="A574" s="1" t="str">
        <f t="shared" si="88"/>
        <v>11E</v>
      </c>
      <c r="B574">
        <f t="shared" si="89"/>
        <v>0</v>
      </c>
      <c r="C574">
        <f>VALUE(MID(Hex!$C$2,1+2*HEX2DEC(A574)+B574,1))</f>
        <v>0</v>
      </c>
      <c r="D574" s="1" t="str">
        <f t="shared" si="86"/>
        <v>23C</v>
      </c>
      <c r="E574">
        <f>HEX2DEC(MID(Hex!$C$8,1+HEX2DEC(Edit!D574)*2,2))</f>
        <v>0</v>
      </c>
      <c r="F574">
        <f t="shared" si="87"/>
        <v>572</v>
      </c>
      <c r="G574" t="str">
        <f>_xlfn.LET(_xlpm.custom,_xlfn.XLOOKUP(F574,Data!A:A,Data!C:C),IF(_xlpm.custom="",_xlfn.XLOOKUP(F574,Data!A:A,Data!B:B),_xlpm.custom))</f>
        <v>Cover Fossil</v>
      </c>
      <c r="H574" t="str">
        <f>_xlfn.XLOOKUP(C574,Data!A:A,Data!E:E)</f>
        <v>General</v>
      </c>
      <c r="J574">
        <f>IF(I574="",C574,_xlfn.XLOOKUP(I574,Data!E:E,Data!A:A,""))</f>
        <v>0</v>
      </c>
      <c r="L574">
        <f t="shared" si="81"/>
        <v>0</v>
      </c>
      <c r="M574">
        <f t="shared" si="82"/>
        <v>0</v>
      </c>
      <c r="N574">
        <f t="shared" si="90"/>
        <v>0</v>
      </c>
      <c r="O574">
        <f t="shared" si="83"/>
        <v>0</v>
      </c>
      <c r="P574">
        <f t="shared" si="84"/>
        <v>0</v>
      </c>
      <c r="R574" t="str">
        <f t="shared" si="85"/>
        <v>00</v>
      </c>
    </row>
    <row r="575" spans="1:18" x14ac:dyDescent="0.4">
      <c r="A575" s="1" t="str">
        <f t="shared" si="88"/>
        <v>11E</v>
      </c>
      <c r="B575">
        <f t="shared" si="89"/>
        <v>1</v>
      </c>
      <c r="C575">
        <f>VALUE(MID(Hex!$C$2,1+2*HEX2DEC(A575)+B575,1))</f>
        <v>0</v>
      </c>
      <c r="D575" s="1" t="str">
        <f t="shared" si="86"/>
        <v>23D</v>
      </c>
      <c r="E575">
        <f>HEX2DEC(MID(Hex!$C$8,1+HEX2DEC(Edit!D575)*2,2))</f>
        <v>0</v>
      </c>
      <c r="F575">
        <f t="shared" si="87"/>
        <v>573</v>
      </c>
      <c r="G575" t="str">
        <f>_xlfn.LET(_xlpm.custom,_xlfn.XLOOKUP(F575,Data!A:A,Data!C:C),IF(_xlpm.custom="",_xlfn.XLOOKUP(F575,Data!A:A,Data!B:B),_xlpm.custom))</f>
        <v>Plume Fossil</v>
      </c>
      <c r="H575" t="str">
        <f>_xlfn.XLOOKUP(C575,Data!A:A,Data!E:E)</f>
        <v>General</v>
      </c>
      <c r="J575">
        <f>IF(I575="",C575,_xlfn.XLOOKUP(I575,Data!E:E,Data!A:A,""))</f>
        <v>0</v>
      </c>
      <c r="L575">
        <f t="shared" si="81"/>
        <v>0</v>
      </c>
      <c r="M575">
        <f t="shared" si="82"/>
        <v>0</v>
      </c>
      <c r="N575">
        <f t="shared" si="90"/>
        <v>0</v>
      </c>
      <c r="O575">
        <f t="shared" si="83"/>
        <v>0</v>
      </c>
      <c r="P575">
        <f t="shared" si="84"/>
        <v>0</v>
      </c>
      <c r="R575" t="str">
        <f t="shared" si="85"/>
        <v>00</v>
      </c>
    </row>
    <row r="576" spans="1:18" x14ac:dyDescent="0.4">
      <c r="A576" s="1" t="str">
        <f t="shared" si="88"/>
        <v>11F</v>
      </c>
      <c r="B576">
        <f t="shared" si="89"/>
        <v>0</v>
      </c>
      <c r="C576">
        <f>VALUE(MID(Hex!$C$2,1+2*HEX2DEC(A576)+B576,1))</f>
        <v>4</v>
      </c>
      <c r="D576" s="1" t="str">
        <f t="shared" si="86"/>
        <v>23E</v>
      </c>
      <c r="E576">
        <f>HEX2DEC(MID(Hex!$C$8,1+HEX2DEC(Edit!D576)*2,2))</f>
        <v>0</v>
      </c>
      <c r="F576">
        <f t="shared" si="87"/>
        <v>574</v>
      </c>
      <c r="G576" t="str">
        <f>_xlfn.LET(_xlpm.custom,_xlfn.XLOOKUP(F576,Data!A:A,Data!C:C),IF(_xlpm.custom="",_xlfn.XLOOKUP(F576,Data!A:A,Data!B:B),_xlpm.custom))</f>
        <v>Liberty Pass</v>
      </c>
      <c r="H576" t="str">
        <f>_xlfn.XLOOKUP(C576,Data!A:A,Data!E:E)</f>
        <v>Key</v>
      </c>
      <c r="J576">
        <f>IF(I576="",C576,_xlfn.XLOOKUP(I576,Data!E:E,Data!A:A,""))</f>
        <v>4</v>
      </c>
      <c r="L576">
        <f t="shared" si="81"/>
        <v>0</v>
      </c>
      <c r="M576">
        <f t="shared" si="82"/>
        <v>0</v>
      </c>
      <c r="N576">
        <f t="shared" si="90"/>
        <v>0</v>
      </c>
      <c r="O576">
        <f t="shared" si="83"/>
        <v>0</v>
      </c>
      <c r="P576">
        <f t="shared" si="84"/>
        <v>0</v>
      </c>
      <c r="R576" t="str">
        <f t="shared" si="85"/>
        <v>00</v>
      </c>
    </row>
    <row r="577" spans="1:18" x14ac:dyDescent="0.4">
      <c r="A577" s="1" t="str">
        <f t="shared" si="88"/>
        <v>11F</v>
      </c>
      <c r="B577">
        <f t="shared" si="89"/>
        <v>1</v>
      </c>
      <c r="C577">
        <f>VALUE(MID(Hex!$C$2,1+2*HEX2DEC(A577)+B577,1))</f>
        <v>0</v>
      </c>
      <c r="D577" s="1" t="str">
        <f t="shared" si="86"/>
        <v>23F</v>
      </c>
      <c r="E577">
        <f>HEX2DEC(MID(Hex!$C$8,1+HEX2DEC(Edit!D577)*2,2))</f>
        <v>0</v>
      </c>
      <c r="F577">
        <f t="shared" si="87"/>
        <v>575</v>
      </c>
      <c r="G577" t="str">
        <f>_xlfn.LET(_xlpm.custom,_xlfn.XLOOKUP(F577,Data!A:A,Data!C:C),IF(_xlpm.custom="",_xlfn.XLOOKUP(F577,Data!A:A,Data!B:B),_xlpm.custom))</f>
        <v>Pass Orb</v>
      </c>
      <c r="H577" t="str">
        <f>_xlfn.XLOOKUP(C577,Data!A:A,Data!E:E)</f>
        <v>General</v>
      </c>
      <c r="J577">
        <f>IF(I577="",C577,_xlfn.XLOOKUP(I577,Data!E:E,Data!A:A,""))</f>
        <v>0</v>
      </c>
      <c r="L577">
        <f t="shared" si="81"/>
        <v>0</v>
      </c>
      <c r="M577">
        <f t="shared" si="82"/>
        <v>0</v>
      </c>
      <c r="N577">
        <f t="shared" si="90"/>
        <v>0</v>
      </c>
      <c r="O577">
        <f t="shared" si="83"/>
        <v>0</v>
      </c>
      <c r="P577">
        <f t="shared" si="84"/>
        <v>0</v>
      </c>
      <c r="R577" t="str">
        <f t="shared" si="85"/>
        <v>00</v>
      </c>
    </row>
    <row r="578" spans="1:18" x14ac:dyDescent="0.4">
      <c r="A578" s="1" t="str">
        <f t="shared" si="88"/>
        <v>120</v>
      </c>
      <c r="B578">
        <f t="shared" si="89"/>
        <v>0</v>
      </c>
      <c r="C578">
        <f>VALUE(MID(Hex!$C$2,1+2*HEX2DEC(A578)+B578,1))</f>
        <v>0</v>
      </c>
      <c r="D578" s="1" t="str">
        <f t="shared" si="86"/>
        <v>240</v>
      </c>
      <c r="E578">
        <f>HEX2DEC(MID(Hex!$C$8,1+HEX2DEC(Edit!D578)*2,2))</f>
        <v>1</v>
      </c>
      <c r="F578">
        <f t="shared" si="87"/>
        <v>576</v>
      </c>
      <c r="G578" t="str">
        <f>_xlfn.LET(_xlpm.custom,_xlfn.XLOOKUP(F578,Data!A:A,Data!C:C),IF(_xlpm.custom="",_xlfn.XLOOKUP(F578,Data!A:A,Data!B:B),_xlpm.custom))</f>
        <v>Dream Ball</v>
      </c>
      <c r="H578" t="str">
        <f>_xlfn.XLOOKUP(C578,Data!A:A,Data!E:E)</f>
        <v>General</v>
      </c>
      <c r="J578">
        <f>IF(I578="",C578,_xlfn.XLOOKUP(I578,Data!E:E,Data!A:A,""))</f>
        <v>0</v>
      </c>
      <c r="L578">
        <f t="shared" si="81"/>
        <v>1</v>
      </c>
      <c r="M578">
        <f t="shared" si="82"/>
        <v>0</v>
      </c>
      <c r="N578">
        <f t="shared" si="90"/>
        <v>0</v>
      </c>
      <c r="O578">
        <f t="shared" si="83"/>
        <v>0</v>
      </c>
      <c r="P578">
        <f t="shared" si="84"/>
        <v>0</v>
      </c>
      <c r="R578" t="str">
        <f t="shared" si="85"/>
        <v>01</v>
      </c>
    </row>
    <row r="579" spans="1:18" x14ac:dyDescent="0.4">
      <c r="A579" s="1" t="str">
        <f t="shared" si="88"/>
        <v>120</v>
      </c>
      <c r="B579">
        <f t="shared" si="89"/>
        <v>1</v>
      </c>
      <c r="C579">
        <f>VALUE(MID(Hex!$C$2,1+2*HEX2DEC(A579)+B579,1))</f>
        <v>0</v>
      </c>
      <c r="D579" s="1" t="str">
        <f t="shared" si="86"/>
        <v>241</v>
      </c>
      <c r="E579">
        <f>HEX2DEC(MID(Hex!$C$8,1+HEX2DEC(Edit!D579)*2,2))</f>
        <v>2</v>
      </c>
      <c r="F579">
        <f t="shared" si="87"/>
        <v>577</v>
      </c>
      <c r="G579" t="str">
        <f>_xlfn.LET(_xlpm.custom,_xlfn.XLOOKUP(F579,Data!A:A,Data!C:C),IF(_xlpm.custom="",_xlfn.XLOOKUP(F579,Data!A:A,Data!B:B),_xlpm.custom))</f>
        <v>Poké Toy</v>
      </c>
      <c r="H579" t="str">
        <f>_xlfn.XLOOKUP(C579,Data!A:A,Data!E:E)</f>
        <v>General</v>
      </c>
      <c r="J579">
        <f>IF(I579="",C579,_xlfn.XLOOKUP(I579,Data!E:E,Data!A:A,""))</f>
        <v>0</v>
      </c>
      <c r="L579">
        <f t="shared" ref="L579:L642" si="91">_xlfn.BITAND(E579,1)</f>
        <v>0</v>
      </c>
      <c r="M579">
        <f t="shared" ref="M579:M642" si="92">_xlfn.BITAND($E579,2)</f>
        <v>2</v>
      </c>
      <c r="N579">
        <f t="shared" si="90"/>
        <v>0</v>
      </c>
      <c r="O579">
        <f t="shared" ref="O579:O642" si="93">_xlfn.BITAND($E579,8)</f>
        <v>0</v>
      </c>
      <c r="P579">
        <f t="shared" ref="P579:P642" si="94">_xlfn.BITAND($E579,16)</f>
        <v>0</v>
      </c>
      <c r="R579" t="str">
        <f t="shared" ref="R579:R642" si="95">DEC2HEX(SUM(L579:P579),2)</f>
        <v>02</v>
      </c>
    </row>
    <row r="580" spans="1:18" x14ac:dyDescent="0.4">
      <c r="A580" s="1" t="str">
        <f t="shared" si="88"/>
        <v>121</v>
      </c>
      <c r="B580">
        <f t="shared" si="89"/>
        <v>0</v>
      </c>
      <c r="C580">
        <f>VALUE(MID(Hex!$C$2,1+2*HEX2DEC(A580)+B580,1))</f>
        <v>4</v>
      </c>
      <c r="D580" s="1" t="str">
        <f t="shared" ref="D580:D643" si="96">DEC2HEX(1+HEX2DEC(D579),3)</f>
        <v>242</v>
      </c>
      <c r="E580">
        <f>HEX2DEC(MID(Hex!$C$8,1+HEX2DEC(Edit!D580)*2,2))</f>
        <v>0</v>
      </c>
      <c r="F580">
        <f t="shared" ref="F580:F643" si="97">F579+1</f>
        <v>578</v>
      </c>
      <c r="G580" t="str">
        <f>_xlfn.LET(_xlpm.custom,_xlfn.XLOOKUP(F580,Data!A:A,Data!C:C),IF(_xlpm.custom="",_xlfn.XLOOKUP(F580,Data!A:A,Data!B:B),_xlpm.custom))</f>
        <v>Prop Case</v>
      </c>
      <c r="H580" t="str">
        <f>_xlfn.XLOOKUP(C580,Data!A:A,Data!E:E)</f>
        <v>Key</v>
      </c>
      <c r="J580">
        <f>IF(I580="",C580,_xlfn.XLOOKUP(I580,Data!E:E,Data!A:A,""))</f>
        <v>4</v>
      </c>
      <c r="L580">
        <f t="shared" si="91"/>
        <v>0</v>
      </c>
      <c r="M580">
        <f t="shared" si="92"/>
        <v>0</v>
      </c>
      <c r="N580">
        <f t="shared" si="90"/>
        <v>0</v>
      </c>
      <c r="O580">
        <f t="shared" si="93"/>
        <v>0</v>
      </c>
      <c r="P580">
        <f t="shared" si="94"/>
        <v>0</v>
      </c>
      <c r="R580" t="str">
        <f t="shared" si="95"/>
        <v>00</v>
      </c>
    </row>
    <row r="581" spans="1:18" x14ac:dyDescent="0.4">
      <c r="A581" s="1" t="str">
        <f t="shared" ref="A581:A644" si="98">DEC2HEX(1+HEX2DEC(A579),3)</f>
        <v>121</v>
      </c>
      <c r="B581">
        <f t="shared" ref="B581:B644" si="99">B579</f>
        <v>1</v>
      </c>
      <c r="C581">
        <f>VALUE(MID(Hex!$C$2,1+2*HEX2DEC(A581)+B581,1))</f>
        <v>4</v>
      </c>
      <c r="D581" s="1" t="str">
        <f t="shared" si="96"/>
        <v>243</v>
      </c>
      <c r="E581">
        <f>HEX2DEC(MID(Hex!$C$8,1+HEX2DEC(Edit!D581)*2,2))</f>
        <v>0</v>
      </c>
      <c r="F581">
        <f t="shared" si="97"/>
        <v>579</v>
      </c>
      <c r="G581" t="str">
        <f>_xlfn.LET(_xlpm.custom,_xlfn.XLOOKUP(F581,Data!A:A,Data!C:C),IF(_xlpm.custom="",_xlfn.XLOOKUP(F581,Data!A:A,Data!B:B),_xlpm.custom))</f>
        <v>Dragon Skull</v>
      </c>
      <c r="H581" t="str">
        <f>_xlfn.XLOOKUP(C581,Data!A:A,Data!E:E)</f>
        <v>Key</v>
      </c>
      <c r="J581">
        <f>IF(I581="",C581,_xlfn.XLOOKUP(I581,Data!E:E,Data!A:A,""))</f>
        <v>4</v>
      </c>
      <c r="L581">
        <f t="shared" si="91"/>
        <v>0</v>
      </c>
      <c r="M581">
        <f t="shared" si="92"/>
        <v>0</v>
      </c>
      <c r="N581">
        <f t="shared" si="90"/>
        <v>0</v>
      </c>
      <c r="O581">
        <f t="shared" si="93"/>
        <v>0</v>
      </c>
      <c r="P581">
        <f t="shared" si="94"/>
        <v>0</v>
      </c>
      <c r="R581" t="str">
        <f t="shared" si="95"/>
        <v>00</v>
      </c>
    </row>
    <row r="582" spans="1:18" x14ac:dyDescent="0.4">
      <c r="A582" s="1" t="str">
        <f t="shared" si="98"/>
        <v>122</v>
      </c>
      <c r="B582">
        <f t="shared" si="99"/>
        <v>0</v>
      </c>
      <c r="C582">
        <f>VALUE(MID(Hex!$C$2,1+2*HEX2DEC(A582)+B582,1))</f>
        <v>0</v>
      </c>
      <c r="D582" s="1" t="str">
        <f t="shared" si="96"/>
        <v>244</v>
      </c>
      <c r="E582">
        <f>HEX2DEC(MID(Hex!$C$8,1+HEX2DEC(Edit!D582)*2,2))</f>
        <v>0</v>
      </c>
      <c r="F582">
        <f t="shared" si="97"/>
        <v>580</v>
      </c>
      <c r="G582" t="str">
        <f>_xlfn.LET(_xlpm.custom,_xlfn.XLOOKUP(F582,Data!A:A,Data!C:C),IF(_xlpm.custom="",_xlfn.XLOOKUP(F582,Data!A:A,Data!B:B),_xlpm.custom))</f>
        <v>Balm Mushroom</v>
      </c>
      <c r="H582" t="str">
        <f>_xlfn.XLOOKUP(C582,Data!A:A,Data!E:E)</f>
        <v>General</v>
      </c>
      <c r="J582">
        <f>IF(I582="",C582,_xlfn.XLOOKUP(I582,Data!E:E,Data!A:A,""))</f>
        <v>0</v>
      </c>
      <c r="L582">
        <f t="shared" si="91"/>
        <v>0</v>
      </c>
      <c r="M582">
        <f t="shared" si="92"/>
        <v>0</v>
      </c>
      <c r="N582">
        <f t="shared" si="90"/>
        <v>0</v>
      </c>
      <c r="O582">
        <f t="shared" si="93"/>
        <v>0</v>
      </c>
      <c r="P582">
        <f t="shared" si="94"/>
        <v>0</v>
      </c>
      <c r="R582" t="str">
        <f t="shared" si="95"/>
        <v>00</v>
      </c>
    </row>
    <row r="583" spans="1:18" x14ac:dyDescent="0.4">
      <c r="A583" s="1" t="str">
        <f t="shared" si="98"/>
        <v>122</v>
      </c>
      <c r="B583">
        <f t="shared" si="99"/>
        <v>1</v>
      </c>
      <c r="C583">
        <f>VALUE(MID(Hex!$C$2,1+2*HEX2DEC(A583)+B583,1))</f>
        <v>0</v>
      </c>
      <c r="D583" s="1" t="str">
        <f t="shared" si="96"/>
        <v>245</v>
      </c>
      <c r="E583">
        <f>HEX2DEC(MID(Hex!$C$8,1+HEX2DEC(Edit!D583)*2,2))</f>
        <v>0</v>
      </c>
      <c r="F583">
        <f t="shared" si="97"/>
        <v>581</v>
      </c>
      <c r="G583" t="str">
        <f>_xlfn.LET(_xlpm.custom,_xlfn.XLOOKUP(F583,Data!A:A,Data!C:C),IF(_xlpm.custom="",_xlfn.XLOOKUP(F583,Data!A:A,Data!B:B),_xlpm.custom))</f>
        <v>Big Nugget</v>
      </c>
      <c r="H583" t="str">
        <f>_xlfn.XLOOKUP(C583,Data!A:A,Data!E:E)</f>
        <v>General</v>
      </c>
      <c r="J583">
        <f>IF(I583="",C583,_xlfn.XLOOKUP(I583,Data!E:E,Data!A:A,""))</f>
        <v>0</v>
      </c>
      <c r="L583">
        <f t="shared" si="91"/>
        <v>0</v>
      </c>
      <c r="M583">
        <f t="shared" si="92"/>
        <v>0</v>
      </c>
      <c r="N583">
        <f t="shared" si="90"/>
        <v>0</v>
      </c>
      <c r="O583">
        <f t="shared" si="93"/>
        <v>0</v>
      </c>
      <c r="P583">
        <f t="shared" si="94"/>
        <v>0</v>
      </c>
      <c r="R583" t="str">
        <f t="shared" si="95"/>
        <v>00</v>
      </c>
    </row>
    <row r="584" spans="1:18" x14ac:dyDescent="0.4">
      <c r="A584" s="1" t="str">
        <f t="shared" si="98"/>
        <v>123</v>
      </c>
      <c r="B584">
        <f t="shared" si="99"/>
        <v>0</v>
      </c>
      <c r="C584">
        <f>VALUE(MID(Hex!$C$2,1+2*HEX2DEC(A584)+B584,1))</f>
        <v>0</v>
      </c>
      <c r="D584" s="1" t="str">
        <f t="shared" si="96"/>
        <v>246</v>
      </c>
      <c r="E584">
        <f>HEX2DEC(MID(Hex!$C$8,1+HEX2DEC(Edit!D584)*2,2))</f>
        <v>0</v>
      </c>
      <c r="F584">
        <f t="shared" si="97"/>
        <v>582</v>
      </c>
      <c r="G584" t="str">
        <f>_xlfn.LET(_xlpm.custom,_xlfn.XLOOKUP(F584,Data!A:A,Data!C:C),IF(_xlpm.custom="",_xlfn.XLOOKUP(F584,Data!A:A,Data!B:B),_xlpm.custom))</f>
        <v>Pearl String</v>
      </c>
      <c r="H584" t="str">
        <f>_xlfn.XLOOKUP(C584,Data!A:A,Data!E:E)</f>
        <v>General</v>
      </c>
      <c r="J584">
        <f>IF(I584="",C584,_xlfn.XLOOKUP(I584,Data!E:E,Data!A:A,""))</f>
        <v>0</v>
      </c>
      <c r="L584">
        <f t="shared" si="91"/>
        <v>0</v>
      </c>
      <c r="M584">
        <f t="shared" si="92"/>
        <v>0</v>
      </c>
      <c r="N584">
        <f t="shared" si="90"/>
        <v>0</v>
      </c>
      <c r="O584">
        <f t="shared" si="93"/>
        <v>0</v>
      </c>
      <c r="P584">
        <f t="shared" si="94"/>
        <v>0</v>
      </c>
      <c r="R584" t="str">
        <f t="shared" si="95"/>
        <v>00</v>
      </c>
    </row>
    <row r="585" spans="1:18" x14ac:dyDescent="0.4">
      <c r="A585" s="1" t="str">
        <f t="shared" si="98"/>
        <v>123</v>
      </c>
      <c r="B585">
        <f t="shared" si="99"/>
        <v>1</v>
      </c>
      <c r="C585">
        <f>VALUE(MID(Hex!$C$2,1+2*HEX2DEC(A585)+B585,1))</f>
        <v>0</v>
      </c>
      <c r="D585" s="1" t="str">
        <f t="shared" si="96"/>
        <v>247</v>
      </c>
      <c r="E585">
        <f>HEX2DEC(MID(Hex!$C$8,1+HEX2DEC(Edit!D585)*2,2))</f>
        <v>0</v>
      </c>
      <c r="F585">
        <f t="shared" si="97"/>
        <v>583</v>
      </c>
      <c r="G585" t="str">
        <f>_xlfn.LET(_xlpm.custom,_xlfn.XLOOKUP(F585,Data!A:A,Data!C:C),IF(_xlpm.custom="",_xlfn.XLOOKUP(F585,Data!A:A,Data!B:B),_xlpm.custom))</f>
        <v>Comet Shard</v>
      </c>
      <c r="H585" t="str">
        <f>_xlfn.XLOOKUP(C585,Data!A:A,Data!E:E)</f>
        <v>General</v>
      </c>
      <c r="J585">
        <f>IF(I585="",C585,_xlfn.XLOOKUP(I585,Data!E:E,Data!A:A,""))</f>
        <v>0</v>
      </c>
      <c r="L585">
        <f t="shared" si="91"/>
        <v>0</v>
      </c>
      <c r="M585">
        <f t="shared" si="92"/>
        <v>0</v>
      </c>
      <c r="N585">
        <f t="shared" si="90"/>
        <v>0</v>
      </c>
      <c r="O585">
        <f t="shared" si="93"/>
        <v>0</v>
      </c>
      <c r="P585">
        <f t="shared" si="94"/>
        <v>0</v>
      </c>
      <c r="R585" t="str">
        <f t="shared" si="95"/>
        <v>00</v>
      </c>
    </row>
    <row r="586" spans="1:18" x14ac:dyDescent="0.4">
      <c r="A586" s="1" t="str">
        <f t="shared" si="98"/>
        <v>124</v>
      </c>
      <c r="B586">
        <f t="shared" si="99"/>
        <v>0</v>
      </c>
      <c r="C586">
        <f>VALUE(MID(Hex!$C$2,1+2*HEX2DEC(A586)+B586,1))</f>
        <v>0</v>
      </c>
      <c r="D586" s="1" t="str">
        <f t="shared" si="96"/>
        <v>248</v>
      </c>
      <c r="E586">
        <f>HEX2DEC(MID(Hex!$C$8,1+HEX2DEC(Edit!D586)*2,2))</f>
        <v>0</v>
      </c>
      <c r="F586">
        <f t="shared" si="97"/>
        <v>584</v>
      </c>
      <c r="G586" t="str">
        <f>_xlfn.LET(_xlpm.custom,_xlfn.XLOOKUP(F586,Data!A:A,Data!C:C),IF(_xlpm.custom="",_xlfn.XLOOKUP(F586,Data!A:A,Data!B:B),_xlpm.custom))</f>
        <v>Relic Copper</v>
      </c>
      <c r="H586" t="str">
        <f>_xlfn.XLOOKUP(C586,Data!A:A,Data!E:E)</f>
        <v>General</v>
      </c>
      <c r="J586">
        <f>IF(I586="",C586,_xlfn.XLOOKUP(I586,Data!E:E,Data!A:A,""))</f>
        <v>0</v>
      </c>
      <c r="L586">
        <f t="shared" si="91"/>
        <v>0</v>
      </c>
      <c r="M586">
        <f t="shared" si="92"/>
        <v>0</v>
      </c>
      <c r="N586">
        <f t="shared" si="90"/>
        <v>0</v>
      </c>
      <c r="O586">
        <f t="shared" si="93"/>
        <v>0</v>
      </c>
      <c r="P586">
        <f t="shared" si="94"/>
        <v>0</v>
      </c>
      <c r="R586" t="str">
        <f t="shared" si="95"/>
        <v>00</v>
      </c>
    </row>
    <row r="587" spans="1:18" x14ac:dyDescent="0.4">
      <c r="A587" s="1" t="str">
        <f t="shared" si="98"/>
        <v>124</v>
      </c>
      <c r="B587">
        <f t="shared" si="99"/>
        <v>1</v>
      </c>
      <c r="C587">
        <f>VALUE(MID(Hex!$C$2,1+2*HEX2DEC(A587)+B587,1))</f>
        <v>0</v>
      </c>
      <c r="D587" s="1" t="str">
        <f t="shared" si="96"/>
        <v>249</v>
      </c>
      <c r="E587">
        <f>HEX2DEC(MID(Hex!$C$8,1+HEX2DEC(Edit!D587)*2,2))</f>
        <v>0</v>
      </c>
      <c r="F587">
        <f t="shared" si="97"/>
        <v>585</v>
      </c>
      <c r="G587" t="str">
        <f>_xlfn.LET(_xlpm.custom,_xlfn.XLOOKUP(F587,Data!A:A,Data!C:C),IF(_xlpm.custom="",_xlfn.XLOOKUP(F587,Data!A:A,Data!B:B),_xlpm.custom))</f>
        <v>Relic Silver</v>
      </c>
      <c r="H587" t="str">
        <f>_xlfn.XLOOKUP(C587,Data!A:A,Data!E:E)</f>
        <v>General</v>
      </c>
      <c r="J587">
        <f>IF(I587="",C587,_xlfn.XLOOKUP(I587,Data!E:E,Data!A:A,""))</f>
        <v>0</v>
      </c>
      <c r="L587">
        <f t="shared" si="91"/>
        <v>0</v>
      </c>
      <c r="M587">
        <f t="shared" si="92"/>
        <v>0</v>
      </c>
      <c r="N587">
        <f t="shared" si="90"/>
        <v>0</v>
      </c>
      <c r="O587">
        <f t="shared" si="93"/>
        <v>0</v>
      </c>
      <c r="P587">
        <f t="shared" si="94"/>
        <v>0</v>
      </c>
      <c r="R587" t="str">
        <f t="shared" si="95"/>
        <v>00</v>
      </c>
    </row>
    <row r="588" spans="1:18" x14ac:dyDescent="0.4">
      <c r="A588" s="1" t="str">
        <f t="shared" si="98"/>
        <v>125</v>
      </c>
      <c r="B588">
        <f t="shared" si="99"/>
        <v>0</v>
      </c>
      <c r="C588">
        <f>VALUE(MID(Hex!$C$2,1+2*HEX2DEC(A588)+B588,1))</f>
        <v>0</v>
      </c>
      <c r="D588" s="1" t="str">
        <f t="shared" si="96"/>
        <v>24A</v>
      </c>
      <c r="E588">
        <f>HEX2DEC(MID(Hex!$C$8,1+HEX2DEC(Edit!D588)*2,2))</f>
        <v>0</v>
      </c>
      <c r="F588">
        <f t="shared" si="97"/>
        <v>586</v>
      </c>
      <c r="G588" t="str">
        <f>_xlfn.LET(_xlpm.custom,_xlfn.XLOOKUP(F588,Data!A:A,Data!C:C),IF(_xlpm.custom="",_xlfn.XLOOKUP(F588,Data!A:A,Data!B:B),_xlpm.custom))</f>
        <v>Relic Gold</v>
      </c>
      <c r="H588" t="str">
        <f>_xlfn.XLOOKUP(C588,Data!A:A,Data!E:E)</f>
        <v>General</v>
      </c>
      <c r="J588">
        <f>IF(I588="",C588,_xlfn.XLOOKUP(I588,Data!E:E,Data!A:A,""))</f>
        <v>0</v>
      </c>
      <c r="L588">
        <f t="shared" si="91"/>
        <v>0</v>
      </c>
      <c r="M588">
        <f t="shared" si="92"/>
        <v>0</v>
      </c>
      <c r="N588">
        <f t="shared" si="90"/>
        <v>0</v>
      </c>
      <c r="O588">
        <f t="shared" si="93"/>
        <v>0</v>
      </c>
      <c r="P588">
        <f t="shared" si="94"/>
        <v>0</v>
      </c>
      <c r="R588" t="str">
        <f t="shared" si="95"/>
        <v>00</v>
      </c>
    </row>
    <row r="589" spans="1:18" x14ac:dyDescent="0.4">
      <c r="A589" s="1" t="str">
        <f t="shared" si="98"/>
        <v>125</v>
      </c>
      <c r="B589">
        <f t="shared" si="99"/>
        <v>1</v>
      </c>
      <c r="C589">
        <f>VALUE(MID(Hex!$C$2,1+2*HEX2DEC(A589)+B589,1))</f>
        <v>0</v>
      </c>
      <c r="D589" s="1" t="str">
        <f t="shared" si="96"/>
        <v>24B</v>
      </c>
      <c r="E589">
        <f>HEX2DEC(MID(Hex!$C$8,1+HEX2DEC(Edit!D589)*2,2))</f>
        <v>0</v>
      </c>
      <c r="F589">
        <f t="shared" si="97"/>
        <v>587</v>
      </c>
      <c r="G589" t="str">
        <f>_xlfn.LET(_xlpm.custom,_xlfn.XLOOKUP(F589,Data!A:A,Data!C:C),IF(_xlpm.custom="",_xlfn.XLOOKUP(F589,Data!A:A,Data!B:B),_xlpm.custom))</f>
        <v>Relic Vase</v>
      </c>
      <c r="H589" t="str">
        <f>_xlfn.XLOOKUP(C589,Data!A:A,Data!E:E)</f>
        <v>General</v>
      </c>
      <c r="J589">
        <f>IF(I589="",C589,_xlfn.XLOOKUP(I589,Data!E:E,Data!A:A,""))</f>
        <v>0</v>
      </c>
      <c r="L589">
        <f t="shared" si="91"/>
        <v>0</v>
      </c>
      <c r="M589">
        <f t="shared" si="92"/>
        <v>0</v>
      </c>
      <c r="N589">
        <f t="shared" si="90"/>
        <v>0</v>
      </c>
      <c r="O589">
        <f t="shared" si="93"/>
        <v>0</v>
      </c>
      <c r="P589">
        <f t="shared" si="94"/>
        <v>0</v>
      </c>
      <c r="R589" t="str">
        <f t="shared" si="95"/>
        <v>00</v>
      </c>
    </row>
    <row r="590" spans="1:18" x14ac:dyDescent="0.4">
      <c r="A590" s="1" t="str">
        <f t="shared" si="98"/>
        <v>126</v>
      </c>
      <c r="B590">
        <f t="shared" si="99"/>
        <v>0</v>
      </c>
      <c r="C590">
        <f>VALUE(MID(Hex!$C$2,1+2*HEX2DEC(A590)+B590,1))</f>
        <v>0</v>
      </c>
      <c r="D590" s="1" t="str">
        <f t="shared" si="96"/>
        <v>24C</v>
      </c>
      <c r="E590">
        <f>HEX2DEC(MID(Hex!$C$8,1+HEX2DEC(Edit!D590)*2,2))</f>
        <v>0</v>
      </c>
      <c r="F590">
        <f t="shared" si="97"/>
        <v>588</v>
      </c>
      <c r="G590" t="str">
        <f>_xlfn.LET(_xlpm.custom,_xlfn.XLOOKUP(F590,Data!A:A,Data!C:C),IF(_xlpm.custom="",_xlfn.XLOOKUP(F590,Data!A:A,Data!B:B),_xlpm.custom))</f>
        <v>Relic Band</v>
      </c>
      <c r="H590" t="str">
        <f>_xlfn.XLOOKUP(C590,Data!A:A,Data!E:E)</f>
        <v>General</v>
      </c>
      <c r="J590">
        <f>IF(I590="",C590,_xlfn.XLOOKUP(I590,Data!E:E,Data!A:A,""))</f>
        <v>0</v>
      </c>
      <c r="L590">
        <f t="shared" si="91"/>
        <v>0</v>
      </c>
      <c r="M590">
        <f t="shared" si="92"/>
        <v>0</v>
      </c>
      <c r="N590">
        <f t="shared" si="90"/>
        <v>0</v>
      </c>
      <c r="O590">
        <f t="shared" si="93"/>
        <v>0</v>
      </c>
      <c r="P590">
        <f t="shared" si="94"/>
        <v>0</v>
      </c>
      <c r="R590" t="str">
        <f t="shared" si="95"/>
        <v>00</v>
      </c>
    </row>
    <row r="591" spans="1:18" x14ac:dyDescent="0.4">
      <c r="A591" s="1" t="str">
        <f t="shared" si="98"/>
        <v>126</v>
      </c>
      <c r="B591">
        <f t="shared" si="99"/>
        <v>1</v>
      </c>
      <c r="C591">
        <f>VALUE(MID(Hex!$C$2,1+2*HEX2DEC(A591)+B591,1))</f>
        <v>0</v>
      </c>
      <c r="D591" s="1" t="str">
        <f t="shared" si="96"/>
        <v>24D</v>
      </c>
      <c r="E591">
        <f>HEX2DEC(MID(Hex!$C$8,1+HEX2DEC(Edit!D591)*2,2))</f>
        <v>0</v>
      </c>
      <c r="F591">
        <f t="shared" si="97"/>
        <v>589</v>
      </c>
      <c r="G591" t="str">
        <f>_xlfn.LET(_xlpm.custom,_xlfn.XLOOKUP(F591,Data!A:A,Data!C:C),IF(_xlpm.custom="",_xlfn.XLOOKUP(F591,Data!A:A,Data!B:B),_xlpm.custom))</f>
        <v>Relic Statue</v>
      </c>
      <c r="H591" t="str">
        <f>_xlfn.XLOOKUP(C591,Data!A:A,Data!E:E)</f>
        <v>General</v>
      </c>
      <c r="J591">
        <f>IF(I591="",C591,_xlfn.XLOOKUP(I591,Data!E:E,Data!A:A,""))</f>
        <v>0</v>
      </c>
      <c r="L591">
        <f t="shared" si="91"/>
        <v>0</v>
      </c>
      <c r="M591">
        <f t="shared" si="92"/>
        <v>0</v>
      </c>
      <c r="N591">
        <f t="shared" si="90"/>
        <v>0</v>
      </c>
      <c r="O591">
        <f t="shared" si="93"/>
        <v>0</v>
      </c>
      <c r="P591">
        <f t="shared" si="94"/>
        <v>0</v>
      </c>
      <c r="R591" t="str">
        <f t="shared" si="95"/>
        <v>00</v>
      </c>
    </row>
    <row r="592" spans="1:18" x14ac:dyDescent="0.4">
      <c r="A592" s="1" t="str">
        <f t="shared" si="98"/>
        <v>127</v>
      </c>
      <c r="B592">
        <f t="shared" si="99"/>
        <v>0</v>
      </c>
      <c r="C592">
        <f>VALUE(MID(Hex!$C$2,1+2*HEX2DEC(A592)+B592,1))</f>
        <v>0</v>
      </c>
      <c r="D592" s="1" t="str">
        <f t="shared" si="96"/>
        <v>24E</v>
      </c>
      <c r="E592">
        <f>HEX2DEC(MID(Hex!$C$8,1+HEX2DEC(Edit!D592)*2,2))</f>
        <v>0</v>
      </c>
      <c r="F592">
        <f t="shared" si="97"/>
        <v>590</v>
      </c>
      <c r="G592" t="str">
        <f>_xlfn.LET(_xlpm.custom,_xlfn.XLOOKUP(F592,Data!A:A,Data!C:C),IF(_xlpm.custom="",_xlfn.XLOOKUP(F592,Data!A:A,Data!B:B),_xlpm.custom))</f>
        <v>Relic Crown</v>
      </c>
      <c r="H592" t="str">
        <f>_xlfn.XLOOKUP(C592,Data!A:A,Data!E:E)</f>
        <v>General</v>
      </c>
      <c r="J592">
        <f>IF(I592="",C592,_xlfn.XLOOKUP(I592,Data!E:E,Data!A:A,""))</f>
        <v>0</v>
      </c>
      <c r="L592">
        <f t="shared" si="91"/>
        <v>0</v>
      </c>
      <c r="M592">
        <f t="shared" si="92"/>
        <v>0</v>
      </c>
      <c r="N592">
        <f t="shared" si="90"/>
        <v>0</v>
      </c>
      <c r="O592">
        <f t="shared" si="93"/>
        <v>0</v>
      </c>
      <c r="P592">
        <f t="shared" si="94"/>
        <v>0</v>
      </c>
      <c r="R592" t="str">
        <f t="shared" si="95"/>
        <v>00</v>
      </c>
    </row>
    <row r="593" spans="1:18" x14ac:dyDescent="0.4">
      <c r="A593" s="1" t="str">
        <f t="shared" si="98"/>
        <v>127</v>
      </c>
      <c r="B593">
        <f t="shared" si="99"/>
        <v>1</v>
      </c>
      <c r="C593">
        <f>VALUE(MID(Hex!$C$2,1+2*HEX2DEC(A593)+B593,1))</f>
        <v>1</v>
      </c>
      <c r="D593" s="1" t="str">
        <f t="shared" si="96"/>
        <v>24F</v>
      </c>
      <c r="E593">
        <f>HEX2DEC(MID(Hex!$C$8,1+HEX2DEC(Edit!D593)*2,2))</f>
        <v>8</v>
      </c>
      <c r="F593">
        <f t="shared" si="97"/>
        <v>591</v>
      </c>
      <c r="G593" t="str">
        <f>_xlfn.LET(_xlpm.custom,_xlfn.XLOOKUP(F593,Data!A:A,Data!C:C),IF(_xlpm.custom="",_xlfn.XLOOKUP(F593,Data!A:A,Data!B:B),_xlpm.custom))</f>
        <v>Casteliacone</v>
      </c>
      <c r="H593" t="str">
        <f>_xlfn.XLOOKUP(C593,Data!A:A,Data!E:E)</f>
        <v>Medicine</v>
      </c>
      <c r="J593">
        <f>IF(I593="",C593,_xlfn.XLOOKUP(I593,Data!E:E,Data!A:A,""))</f>
        <v>1</v>
      </c>
      <c r="L593">
        <f t="shared" si="91"/>
        <v>0</v>
      </c>
      <c r="M593">
        <f t="shared" si="92"/>
        <v>0</v>
      </c>
      <c r="N593">
        <f t="shared" si="90"/>
        <v>0</v>
      </c>
      <c r="O593">
        <f t="shared" si="93"/>
        <v>8</v>
      </c>
      <c r="P593">
        <f t="shared" si="94"/>
        <v>0</v>
      </c>
      <c r="R593" t="str">
        <f t="shared" si="95"/>
        <v>08</v>
      </c>
    </row>
    <row r="594" spans="1:18" x14ac:dyDescent="0.4">
      <c r="A594" s="1" t="str">
        <f t="shared" si="98"/>
        <v>128</v>
      </c>
      <c r="B594">
        <f t="shared" si="99"/>
        <v>0</v>
      </c>
      <c r="C594">
        <f>VALUE(MID(Hex!$C$2,1+2*HEX2DEC(A594)+B594,1))</f>
        <v>0</v>
      </c>
      <c r="D594" s="1" t="str">
        <f t="shared" si="96"/>
        <v>250</v>
      </c>
      <c r="E594">
        <f>HEX2DEC(MID(Hex!$C$8,1+HEX2DEC(Edit!D594)*2,2))</f>
        <v>0</v>
      </c>
      <c r="F594">
        <f t="shared" si="97"/>
        <v>592</v>
      </c>
      <c r="G594" t="str">
        <f>_xlfn.LET(_xlpm.custom,_xlfn.XLOOKUP(F594,Data!A:A,Data!C:C),IF(_xlpm.custom="",_xlfn.XLOOKUP(F594,Data!A:A,Data!B:B),_xlpm.custom))</f>
        <v>Dire Hit 2</v>
      </c>
      <c r="H594" t="str">
        <f>_xlfn.XLOOKUP(C594,Data!A:A,Data!E:E)</f>
        <v>General</v>
      </c>
      <c r="J594">
        <f>IF(I594="",C594,_xlfn.XLOOKUP(I594,Data!E:E,Data!A:A,""))</f>
        <v>0</v>
      </c>
      <c r="L594">
        <f t="shared" si="91"/>
        <v>0</v>
      </c>
      <c r="M594">
        <f t="shared" si="92"/>
        <v>0</v>
      </c>
      <c r="N594">
        <f t="shared" si="90"/>
        <v>0</v>
      </c>
      <c r="O594">
        <f t="shared" si="93"/>
        <v>0</v>
      </c>
      <c r="P594">
        <f t="shared" si="94"/>
        <v>0</v>
      </c>
      <c r="R594" t="str">
        <f t="shared" si="95"/>
        <v>00</v>
      </c>
    </row>
    <row r="595" spans="1:18" x14ac:dyDescent="0.4">
      <c r="A595" s="1" t="str">
        <f t="shared" si="98"/>
        <v>128</v>
      </c>
      <c r="B595">
        <f t="shared" si="99"/>
        <v>1</v>
      </c>
      <c r="C595">
        <f>VALUE(MID(Hex!$C$2,1+2*HEX2DEC(A595)+B595,1))</f>
        <v>0</v>
      </c>
      <c r="D595" s="1" t="str">
        <f t="shared" si="96"/>
        <v>251</v>
      </c>
      <c r="E595">
        <f>HEX2DEC(MID(Hex!$C$8,1+HEX2DEC(Edit!D595)*2,2))</f>
        <v>0</v>
      </c>
      <c r="F595">
        <f t="shared" si="97"/>
        <v>593</v>
      </c>
      <c r="G595" t="str">
        <f>_xlfn.LET(_xlpm.custom,_xlfn.XLOOKUP(F595,Data!A:A,Data!C:C),IF(_xlpm.custom="",_xlfn.XLOOKUP(F595,Data!A:A,Data!B:B),_xlpm.custom))</f>
        <v>X Speed 2</v>
      </c>
      <c r="H595" t="str">
        <f>_xlfn.XLOOKUP(C595,Data!A:A,Data!E:E)</f>
        <v>General</v>
      </c>
      <c r="J595">
        <f>IF(I595="",C595,_xlfn.XLOOKUP(I595,Data!E:E,Data!A:A,""))</f>
        <v>0</v>
      </c>
      <c r="L595">
        <f t="shared" si="91"/>
        <v>0</v>
      </c>
      <c r="M595">
        <f t="shared" si="92"/>
        <v>0</v>
      </c>
      <c r="N595">
        <f t="shared" si="90"/>
        <v>0</v>
      </c>
      <c r="O595">
        <f t="shared" si="93"/>
        <v>0</v>
      </c>
      <c r="P595">
        <f t="shared" si="94"/>
        <v>0</v>
      </c>
      <c r="R595" t="str">
        <f t="shared" si="95"/>
        <v>00</v>
      </c>
    </row>
    <row r="596" spans="1:18" x14ac:dyDescent="0.4">
      <c r="A596" s="1" t="str">
        <f t="shared" si="98"/>
        <v>129</v>
      </c>
      <c r="B596">
        <f t="shared" si="99"/>
        <v>0</v>
      </c>
      <c r="C596">
        <f>VALUE(MID(Hex!$C$2,1+2*HEX2DEC(A596)+B596,1))</f>
        <v>0</v>
      </c>
      <c r="D596" s="1" t="str">
        <f t="shared" si="96"/>
        <v>252</v>
      </c>
      <c r="E596">
        <f>HEX2DEC(MID(Hex!$C$8,1+HEX2DEC(Edit!D596)*2,2))</f>
        <v>0</v>
      </c>
      <c r="F596">
        <f t="shared" si="97"/>
        <v>594</v>
      </c>
      <c r="G596" t="str">
        <f>_xlfn.LET(_xlpm.custom,_xlfn.XLOOKUP(F596,Data!A:A,Data!C:C),IF(_xlpm.custom="",_xlfn.XLOOKUP(F596,Data!A:A,Data!B:B),_xlpm.custom))</f>
        <v>X Sp. Atk 2</v>
      </c>
      <c r="H596" t="str">
        <f>_xlfn.XLOOKUP(C596,Data!A:A,Data!E:E)</f>
        <v>General</v>
      </c>
      <c r="J596">
        <f>IF(I596="",C596,_xlfn.XLOOKUP(I596,Data!E:E,Data!A:A,""))</f>
        <v>0</v>
      </c>
      <c r="L596">
        <f t="shared" si="91"/>
        <v>0</v>
      </c>
      <c r="M596">
        <f t="shared" si="92"/>
        <v>0</v>
      </c>
      <c r="N596">
        <f t="shared" si="90"/>
        <v>0</v>
      </c>
      <c r="O596">
        <f t="shared" si="93"/>
        <v>0</v>
      </c>
      <c r="P596">
        <f t="shared" si="94"/>
        <v>0</v>
      </c>
      <c r="R596" t="str">
        <f t="shared" si="95"/>
        <v>00</v>
      </c>
    </row>
    <row r="597" spans="1:18" x14ac:dyDescent="0.4">
      <c r="A597" s="1" t="str">
        <f t="shared" si="98"/>
        <v>129</v>
      </c>
      <c r="B597">
        <f t="shared" si="99"/>
        <v>1</v>
      </c>
      <c r="C597">
        <f>VALUE(MID(Hex!$C$2,1+2*HEX2DEC(A597)+B597,1))</f>
        <v>0</v>
      </c>
      <c r="D597" s="1" t="str">
        <f t="shared" si="96"/>
        <v>253</v>
      </c>
      <c r="E597">
        <f>HEX2DEC(MID(Hex!$C$8,1+HEX2DEC(Edit!D597)*2,2))</f>
        <v>0</v>
      </c>
      <c r="F597">
        <f t="shared" si="97"/>
        <v>595</v>
      </c>
      <c r="G597" t="str">
        <f>_xlfn.LET(_xlpm.custom,_xlfn.XLOOKUP(F597,Data!A:A,Data!C:C),IF(_xlpm.custom="",_xlfn.XLOOKUP(F597,Data!A:A,Data!B:B),_xlpm.custom))</f>
        <v>X Sp. Def 2</v>
      </c>
      <c r="H597" t="str">
        <f>_xlfn.XLOOKUP(C597,Data!A:A,Data!E:E)</f>
        <v>General</v>
      </c>
      <c r="J597">
        <f>IF(I597="",C597,_xlfn.XLOOKUP(I597,Data!E:E,Data!A:A,""))</f>
        <v>0</v>
      </c>
      <c r="L597">
        <f t="shared" si="91"/>
        <v>0</v>
      </c>
      <c r="M597">
        <f t="shared" si="92"/>
        <v>0</v>
      </c>
      <c r="N597">
        <f t="shared" ref="N597:N660" si="100">_xlfn.BITAND($E597,4)</f>
        <v>0</v>
      </c>
      <c r="O597">
        <f t="shared" si="93"/>
        <v>0</v>
      </c>
      <c r="P597">
        <f t="shared" si="94"/>
        <v>0</v>
      </c>
      <c r="R597" t="str">
        <f t="shared" si="95"/>
        <v>00</v>
      </c>
    </row>
    <row r="598" spans="1:18" x14ac:dyDescent="0.4">
      <c r="A598" s="1" t="str">
        <f t="shared" si="98"/>
        <v>12A</v>
      </c>
      <c r="B598">
        <f t="shared" si="99"/>
        <v>0</v>
      </c>
      <c r="C598">
        <f>VALUE(MID(Hex!$C$2,1+2*HEX2DEC(A598)+B598,1))</f>
        <v>0</v>
      </c>
      <c r="D598" s="1" t="str">
        <f t="shared" si="96"/>
        <v>254</v>
      </c>
      <c r="E598">
        <f>HEX2DEC(MID(Hex!$C$8,1+HEX2DEC(Edit!D598)*2,2))</f>
        <v>0</v>
      </c>
      <c r="F598">
        <f t="shared" si="97"/>
        <v>596</v>
      </c>
      <c r="G598" t="str">
        <f>_xlfn.LET(_xlpm.custom,_xlfn.XLOOKUP(F598,Data!A:A,Data!C:C),IF(_xlpm.custom="",_xlfn.XLOOKUP(F598,Data!A:A,Data!B:B),_xlpm.custom))</f>
        <v>X Defense 2</v>
      </c>
      <c r="H598" t="str">
        <f>_xlfn.XLOOKUP(C598,Data!A:A,Data!E:E)</f>
        <v>General</v>
      </c>
      <c r="J598">
        <f>IF(I598="",C598,_xlfn.XLOOKUP(I598,Data!E:E,Data!A:A,""))</f>
        <v>0</v>
      </c>
      <c r="L598">
        <f t="shared" si="91"/>
        <v>0</v>
      </c>
      <c r="M598">
        <f t="shared" si="92"/>
        <v>0</v>
      </c>
      <c r="N598">
        <f t="shared" si="100"/>
        <v>0</v>
      </c>
      <c r="O598">
        <f t="shared" si="93"/>
        <v>0</v>
      </c>
      <c r="P598">
        <f t="shared" si="94"/>
        <v>0</v>
      </c>
      <c r="R598" t="str">
        <f t="shared" si="95"/>
        <v>00</v>
      </c>
    </row>
    <row r="599" spans="1:18" x14ac:dyDescent="0.4">
      <c r="A599" s="1" t="str">
        <f t="shared" si="98"/>
        <v>12A</v>
      </c>
      <c r="B599">
        <f t="shared" si="99"/>
        <v>1</v>
      </c>
      <c r="C599">
        <f>VALUE(MID(Hex!$C$2,1+2*HEX2DEC(A599)+B599,1))</f>
        <v>0</v>
      </c>
      <c r="D599" s="1" t="str">
        <f t="shared" si="96"/>
        <v>255</v>
      </c>
      <c r="E599">
        <f>HEX2DEC(MID(Hex!$C$8,1+HEX2DEC(Edit!D599)*2,2))</f>
        <v>0</v>
      </c>
      <c r="F599">
        <f t="shared" si="97"/>
        <v>597</v>
      </c>
      <c r="G599" t="str">
        <f>_xlfn.LET(_xlpm.custom,_xlfn.XLOOKUP(F599,Data!A:A,Data!C:C),IF(_xlpm.custom="",_xlfn.XLOOKUP(F599,Data!A:A,Data!B:B),_xlpm.custom))</f>
        <v>X Attack 2</v>
      </c>
      <c r="H599" t="str">
        <f>_xlfn.XLOOKUP(C599,Data!A:A,Data!E:E)</f>
        <v>General</v>
      </c>
      <c r="J599">
        <f>IF(I599="",C599,_xlfn.XLOOKUP(I599,Data!E:E,Data!A:A,""))</f>
        <v>0</v>
      </c>
      <c r="L599">
        <f t="shared" si="91"/>
        <v>0</v>
      </c>
      <c r="M599">
        <f t="shared" si="92"/>
        <v>0</v>
      </c>
      <c r="N599">
        <f t="shared" si="100"/>
        <v>0</v>
      </c>
      <c r="O599">
        <f t="shared" si="93"/>
        <v>0</v>
      </c>
      <c r="P599">
        <f t="shared" si="94"/>
        <v>0</v>
      </c>
      <c r="R599" t="str">
        <f t="shared" si="95"/>
        <v>00</v>
      </c>
    </row>
    <row r="600" spans="1:18" x14ac:dyDescent="0.4">
      <c r="A600" s="1" t="str">
        <f t="shared" si="98"/>
        <v>12B</v>
      </c>
      <c r="B600">
        <f t="shared" si="99"/>
        <v>0</v>
      </c>
      <c r="C600">
        <f>VALUE(MID(Hex!$C$2,1+2*HEX2DEC(A600)+B600,1))</f>
        <v>0</v>
      </c>
      <c r="D600" s="1" t="str">
        <f t="shared" si="96"/>
        <v>256</v>
      </c>
      <c r="E600">
        <f>HEX2DEC(MID(Hex!$C$8,1+HEX2DEC(Edit!D600)*2,2))</f>
        <v>0</v>
      </c>
      <c r="F600">
        <f t="shared" si="97"/>
        <v>598</v>
      </c>
      <c r="G600" t="str">
        <f>_xlfn.LET(_xlpm.custom,_xlfn.XLOOKUP(F600,Data!A:A,Data!C:C),IF(_xlpm.custom="",_xlfn.XLOOKUP(F600,Data!A:A,Data!B:B),_xlpm.custom))</f>
        <v>X Accuracy 2</v>
      </c>
      <c r="H600" t="str">
        <f>_xlfn.XLOOKUP(C600,Data!A:A,Data!E:E)</f>
        <v>General</v>
      </c>
      <c r="J600">
        <f>IF(I600="",C600,_xlfn.XLOOKUP(I600,Data!E:E,Data!A:A,""))</f>
        <v>0</v>
      </c>
      <c r="L600">
        <f t="shared" si="91"/>
        <v>0</v>
      </c>
      <c r="M600">
        <f t="shared" si="92"/>
        <v>0</v>
      </c>
      <c r="N600">
        <f t="shared" si="100"/>
        <v>0</v>
      </c>
      <c r="O600">
        <f t="shared" si="93"/>
        <v>0</v>
      </c>
      <c r="P600">
        <f t="shared" si="94"/>
        <v>0</v>
      </c>
      <c r="R600" t="str">
        <f t="shared" si="95"/>
        <v>00</v>
      </c>
    </row>
    <row r="601" spans="1:18" x14ac:dyDescent="0.4">
      <c r="A601" s="1" t="str">
        <f t="shared" si="98"/>
        <v>12B</v>
      </c>
      <c r="B601">
        <f t="shared" si="99"/>
        <v>1</v>
      </c>
      <c r="C601">
        <f>VALUE(MID(Hex!$C$2,1+2*HEX2DEC(A601)+B601,1))</f>
        <v>0</v>
      </c>
      <c r="D601" s="1" t="str">
        <f t="shared" si="96"/>
        <v>257</v>
      </c>
      <c r="E601">
        <f>HEX2DEC(MID(Hex!$C$8,1+HEX2DEC(Edit!D601)*2,2))</f>
        <v>0</v>
      </c>
      <c r="F601">
        <f t="shared" si="97"/>
        <v>599</v>
      </c>
      <c r="G601" t="str">
        <f>_xlfn.LET(_xlpm.custom,_xlfn.XLOOKUP(F601,Data!A:A,Data!C:C),IF(_xlpm.custom="",_xlfn.XLOOKUP(F601,Data!A:A,Data!B:B),_xlpm.custom))</f>
        <v>X Speed 3</v>
      </c>
      <c r="H601" t="str">
        <f>_xlfn.XLOOKUP(C601,Data!A:A,Data!E:E)</f>
        <v>General</v>
      </c>
      <c r="J601">
        <f>IF(I601="",C601,_xlfn.XLOOKUP(I601,Data!E:E,Data!A:A,""))</f>
        <v>0</v>
      </c>
      <c r="L601">
        <f t="shared" si="91"/>
        <v>0</v>
      </c>
      <c r="M601">
        <f t="shared" si="92"/>
        <v>0</v>
      </c>
      <c r="N601">
        <f t="shared" si="100"/>
        <v>0</v>
      </c>
      <c r="O601">
        <f t="shared" si="93"/>
        <v>0</v>
      </c>
      <c r="P601">
        <f t="shared" si="94"/>
        <v>0</v>
      </c>
      <c r="R601" t="str">
        <f t="shared" si="95"/>
        <v>00</v>
      </c>
    </row>
    <row r="602" spans="1:18" x14ac:dyDescent="0.4">
      <c r="A602" s="1" t="str">
        <f t="shared" si="98"/>
        <v>12C</v>
      </c>
      <c r="B602">
        <f t="shared" si="99"/>
        <v>0</v>
      </c>
      <c r="C602">
        <f>VALUE(MID(Hex!$C$2,1+2*HEX2DEC(A602)+B602,1))</f>
        <v>0</v>
      </c>
      <c r="D602" s="1" t="str">
        <f t="shared" si="96"/>
        <v>258</v>
      </c>
      <c r="E602">
        <f>HEX2DEC(MID(Hex!$C$8,1+HEX2DEC(Edit!D602)*2,2))</f>
        <v>0</v>
      </c>
      <c r="F602">
        <f t="shared" si="97"/>
        <v>600</v>
      </c>
      <c r="G602" t="str">
        <f>_xlfn.LET(_xlpm.custom,_xlfn.XLOOKUP(F602,Data!A:A,Data!C:C),IF(_xlpm.custom="",_xlfn.XLOOKUP(F602,Data!A:A,Data!B:B),_xlpm.custom))</f>
        <v>X Sp. Atk 3</v>
      </c>
      <c r="H602" t="str">
        <f>_xlfn.XLOOKUP(C602,Data!A:A,Data!E:E)</f>
        <v>General</v>
      </c>
      <c r="J602">
        <f>IF(I602="",C602,_xlfn.XLOOKUP(I602,Data!E:E,Data!A:A,""))</f>
        <v>0</v>
      </c>
      <c r="L602">
        <f t="shared" si="91"/>
        <v>0</v>
      </c>
      <c r="M602">
        <f t="shared" si="92"/>
        <v>0</v>
      </c>
      <c r="N602">
        <f t="shared" si="100"/>
        <v>0</v>
      </c>
      <c r="O602">
        <f t="shared" si="93"/>
        <v>0</v>
      </c>
      <c r="P602">
        <f t="shared" si="94"/>
        <v>0</v>
      </c>
      <c r="R602" t="str">
        <f t="shared" si="95"/>
        <v>00</v>
      </c>
    </row>
    <row r="603" spans="1:18" x14ac:dyDescent="0.4">
      <c r="A603" s="1" t="str">
        <f t="shared" si="98"/>
        <v>12C</v>
      </c>
      <c r="B603">
        <f t="shared" si="99"/>
        <v>1</v>
      </c>
      <c r="C603">
        <f>VALUE(MID(Hex!$C$2,1+2*HEX2DEC(A603)+B603,1))</f>
        <v>0</v>
      </c>
      <c r="D603" s="1" t="str">
        <f t="shared" si="96"/>
        <v>259</v>
      </c>
      <c r="E603">
        <f>HEX2DEC(MID(Hex!$C$8,1+HEX2DEC(Edit!D603)*2,2))</f>
        <v>0</v>
      </c>
      <c r="F603">
        <f t="shared" si="97"/>
        <v>601</v>
      </c>
      <c r="G603" t="str">
        <f>_xlfn.LET(_xlpm.custom,_xlfn.XLOOKUP(F603,Data!A:A,Data!C:C),IF(_xlpm.custom="",_xlfn.XLOOKUP(F603,Data!A:A,Data!B:B),_xlpm.custom))</f>
        <v>X Sp. Def 3</v>
      </c>
      <c r="H603" t="str">
        <f>_xlfn.XLOOKUP(C603,Data!A:A,Data!E:E)</f>
        <v>General</v>
      </c>
      <c r="J603">
        <f>IF(I603="",C603,_xlfn.XLOOKUP(I603,Data!E:E,Data!A:A,""))</f>
        <v>0</v>
      </c>
      <c r="L603">
        <f t="shared" si="91"/>
        <v>0</v>
      </c>
      <c r="M603">
        <f t="shared" si="92"/>
        <v>0</v>
      </c>
      <c r="N603">
        <f t="shared" si="100"/>
        <v>0</v>
      </c>
      <c r="O603">
        <f t="shared" si="93"/>
        <v>0</v>
      </c>
      <c r="P603">
        <f t="shared" si="94"/>
        <v>0</v>
      </c>
      <c r="R603" t="str">
        <f t="shared" si="95"/>
        <v>00</v>
      </c>
    </row>
    <row r="604" spans="1:18" x14ac:dyDescent="0.4">
      <c r="A604" s="1" t="str">
        <f t="shared" si="98"/>
        <v>12D</v>
      </c>
      <c r="B604">
        <f t="shared" si="99"/>
        <v>0</v>
      </c>
      <c r="C604">
        <f>VALUE(MID(Hex!$C$2,1+2*HEX2DEC(A604)+B604,1))</f>
        <v>0</v>
      </c>
      <c r="D604" s="1" t="str">
        <f t="shared" si="96"/>
        <v>25A</v>
      </c>
      <c r="E604">
        <f>HEX2DEC(MID(Hex!$C$8,1+HEX2DEC(Edit!D604)*2,2))</f>
        <v>0</v>
      </c>
      <c r="F604">
        <f t="shared" si="97"/>
        <v>602</v>
      </c>
      <c r="G604" t="str">
        <f>_xlfn.LET(_xlpm.custom,_xlfn.XLOOKUP(F604,Data!A:A,Data!C:C),IF(_xlpm.custom="",_xlfn.XLOOKUP(F604,Data!A:A,Data!B:B),_xlpm.custom))</f>
        <v>X Defense 3</v>
      </c>
      <c r="H604" t="str">
        <f>_xlfn.XLOOKUP(C604,Data!A:A,Data!E:E)</f>
        <v>General</v>
      </c>
      <c r="J604">
        <f>IF(I604="",C604,_xlfn.XLOOKUP(I604,Data!E:E,Data!A:A,""))</f>
        <v>0</v>
      </c>
      <c r="L604">
        <f t="shared" si="91"/>
        <v>0</v>
      </c>
      <c r="M604">
        <f t="shared" si="92"/>
        <v>0</v>
      </c>
      <c r="N604">
        <f t="shared" si="100"/>
        <v>0</v>
      </c>
      <c r="O604">
        <f t="shared" si="93"/>
        <v>0</v>
      </c>
      <c r="P604">
        <f t="shared" si="94"/>
        <v>0</v>
      </c>
      <c r="R604" t="str">
        <f t="shared" si="95"/>
        <v>00</v>
      </c>
    </row>
    <row r="605" spans="1:18" x14ac:dyDescent="0.4">
      <c r="A605" s="1" t="str">
        <f t="shared" si="98"/>
        <v>12D</v>
      </c>
      <c r="B605">
        <f t="shared" si="99"/>
        <v>1</v>
      </c>
      <c r="C605">
        <f>VALUE(MID(Hex!$C$2,1+2*HEX2DEC(A605)+B605,1))</f>
        <v>0</v>
      </c>
      <c r="D605" s="1" t="str">
        <f t="shared" si="96"/>
        <v>25B</v>
      </c>
      <c r="E605">
        <f>HEX2DEC(MID(Hex!$C$8,1+HEX2DEC(Edit!D605)*2,2))</f>
        <v>0</v>
      </c>
      <c r="F605">
        <f t="shared" si="97"/>
        <v>603</v>
      </c>
      <c r="G605" t="str">
        <f>_xlfn.LET(_xlpm.custom,_xlfn.XLOOKUP(F605,Data!A:A,Data!C:C),IF(_xlpm.custom="",_xlfn.XLOOKUP(F605,Data!A:A,Data!B:B),_xlpm.custom))</f>
        <v>X Attack 3</v>
      </c>
      <c r="H605" t="str">
        <f>_xlfn.XLOOKUP(C605,Data!A:A,Data!E:E)</f>
        <v>General</v>
      </c>
      <c r="J605">
        <f>IF(I605="",C605,_xlfn.XLOOKUP(I605,Data!E:E,Data!A:A,""))</f>
        <v>0</v>
      </c>
      <c r="L605">
        <f t="shared" si="91"/>
        <v>0</v>
      </c>
      <c r="M605">
        <f t="shared" si="92"/>
        <v>0</v>
      </c>
      <c r="N605">
        <f t="shared" si="100"/>
        <v>0</v>
      </c>
      <c r="O605">
        <f t="shared" si="93"/>
        <v>0</v>
      </c>
      <c r="P605">
        <f t="shared" si="94"/>
        <v>0</v>
      </c>
      <c r="R605" t="str">
        <f t="shared" si="95"/>
        <v>00</v>
      </c>
    </row>
    <row r="606" spans="1:18" x14ac:dyDescent="0.4">
      <c r="A606" s="1" t="str">
        <f t="shared" si="98"/>
        <v>12E</v>
      </c>
      <c r="B606">
        <f t="shared" si="99"/>
        <v>0</v>
      </c>
      <c r="C606">
        <f>VALUE(MID(Hex!$C$2,1+2*HEX2DEC(A606)+B606,1))</f>
        <v>0</v>
      </c>
      <c r="D606" s="1" t="str">
        <f t="shared" si="96"/>
        <v>25C</v>
      </c>
      <c r="E606">
        <f>HEX2DEC(MID(Hex!$C$8,1+HEX2DEC(Edit!D606)*2,2))</f>
        <v>0</v>
      </c>
      <c r="F606">
        <f t="shared" si="97"/>
        <v>604</v>
      </c>
      <c r="G606" t="str">
        <f>_xlfn.LET(_xlpm.custom,_xlfn.XLOOKUP(F606,Data!A:A,Data!C:C),IF(_xlpm.custom="",_xlfn.XLOOKUP(F606,Data!A:A,Data!B:B),_xlpm.custom))</f>
        <v>X Accuracy 3</v>
      </c>
      <c r="H606" t="str">
        <f>_xlfn.XLOOKUP(C606,Data!A:A,Data!E:E)</f>
        <v>General</v>
      </c>
      <c r="J606">
        <f>IF(I606="",C606,_xlfn.XLOOKUP(I606,Data!E:E,Data!A:A,""))</f>
        <v>0</v>
      </c>
      <c r="L606">
        <f t="shared" si="91"/>
        <v>0</v>
      </c>
      <c r="M606">
        <f t="shared" si="92"/>
        <v>0</v>
      </c>
      <c r="N606">
        <f t="shared" si="100"/>
        <v>0</v>
      </c>
      <c r="O606">
        <f t="shared" si="93"/>
        <v>0</v>
      </c>
      <c r="P606">
        <f t="shared" si="94"/>
        <v>0</v>
      </c>
      <c r="R606" t="str">
        <f t="shared" si="95"/>
        <v>00</v>
      </c>
    </row>
    <row r="607" spans="1:18" x14ac:dyDescent="0.4">
      <c r="A607" s="1" t="str">
        <f t="shared" si="98"/>
        <v>12E</v>
      </c>
      <c r="B607">
        <f t="shared" si="99"/>
        <v>1</v>
      </c>
      <c r="C607">
        <f>VALUE(MID(Hex!$C$2,1+2*HEX2DEC(A607)+B607,1))</f>
        <v>0</v>
      </c>
      <c r="D607" s="1" t="str">
        <f t="shared" si="96"/>
        <v>25D</v>
      </c>
      <c r="E607">
        <f>HEX2DEC(MID(Hex!$C$8,1+HEX2DEC(Edit!D607)*2,2))</f>
        <v>0</v>
      </c>
      <c r="F607">
        <f t="shared" si="97"/>
        <v>605</v>
      </c>
      <c r="G607" t="str">
        <f>_xlfn.LET(_xlpm.custom,_xlfn.XLOOKUP(F607,Data!A:A,Data!C:C),IF(_xlpm.custom="",_xlfn.XLOOKUP(F607,Data!A:A,Data!B:B),_xlpm.custom))</f>
        <v>X Speed 6</v>
      </c>
      <c r="H607" t="str">
        <f>_xlfn.XLOOKUP(C607,Data!A:A,Data!E:E)</f>
        <v>General</v>
      </c>
      <c r="J607">
        <f>IF(I607="",C607,_xlfn.XLOOKUP(I607,Data!E:E,Data!A:A,""))</f>
        <v>0</v>
      </c>
      <c r="L607">
        <f t="shared" si="91"/>
        <v>0</v>
      </c>
      <c r="M607">
        <f t="shared" si="92"/>
        <v>0</v>
      </c>
      <c r="N607">
        <f t="shared" si="100"/>
        <v>0</v>
      </c>
      <c r="O607">
        <f t="shared" si="93"/>
        <v>0</v>
      </c>
      <c r="P607">
        <f t="shared" si="94"/>
        <v>0</v>
      </c>
      <c r="R607" t="str">
        <f t="shared" si="95"/>
        <v>00</v>
      </c>
    </row>
    <row r="608" spans="1:18" x14ac:dyDescent="0.4">
      <c r="A608" s="1" t="str">
        <f t="shared" si="98"/>
        <v>12F</v>
      </c>
      <c r="B608">
        <f t="shared" si="99"/>
        <v>0</v>
      </c>
      <c r="C608">
        <f>VALUE(MID(Hex!$C$2,1+2*HEX2DEC(A608)+B608,1))</f>
        <v>0</v>
      </c>
      <c r="D608" s="1" t="str">
        <f t="shared" si="96"/>
        <v>25E</v>
      </c>
      <c r="E608">
        <f>HEX2DEC(MID(Hex!$C$8,1+HEX2DEC(Edit!D608)*2,2))</f>
        <v>0</v>
      </c>
      <c r="F608">
        <f t="shared" si="97"/>
        <v>606</v>
      </c>
      <c r="G608" t="str">
        <f>_xlfn.LET(_xlpm.custom,_xlfn.XLOOKUP(F608,Data!A:A,Data!C:C),IF(_xlpm.custom="",_xlfn.XLOOKUP(F608,Data!A:A,Data!B:B),_xlpm.custom))</f>
        <v>X Sp. Atk 6</v>
      </c>
      <c r="H608" t="str">
        <f>_xlfn.XLOOKUP(C608,Data!A:A,Data!E:E)</f>
        <v>General</v>
      </c>
      <c r="J608">
        <f>IF(I608="",C608,_xlfn.XLOOKUP(I608,Data!E:E,Data!A:A,""))</f>
        <v>0</v>
      </c>
      <c r="L608">
        <f t="shared" si="91"/>
        <v>0</v>
      </c>
      <c r="M608">
        <f t="shared" si="92"/>
        <v>0</v>
      </c>
      <c r="N608">
        <f t="shared" si="100"/>
        <v>0</v>
      </c>
      <c r="O608">
        <f t="shared" si="93"/>
        <v>0</v>
      </c>
      <c r="P608">
        <f t="shared" si="94"/>
        <v>0</v>
      </c>
      <c r="R608" t="str">
        <f t="shared" si="95"/>
        <v>00</v>
      </c>
    </row>
    <row r="609" spans="1:18" x14ac:dyDescent="0.4">
      <c r="A609" s="1" t="str">
        <f t="shared" si="98"/>
        <v>12F</v>
      </c>
      <c r="B609">
        <f t="shared" si="99"/>
        <v>1</v>
      </c>
      <c r="C609">
        <f>VALUE(MID(Hex!$C$2,1+2*HEX2DEC(A609)+B609,1))</f>
        <v>0</v>
      </c>
      <c r="D609" s="1" t="str">
        <f t="shared" si="96"/>
        <v>25F</v>
      </c>
      <c r="E609">
        <f>HEX2DEC(MID(Hex!$C$8,1+HEX2DEC(Edit!D609)*2,2))</f>
        <v>0</v>
      </c>
      <c r="F609">
        <f t="shared" si="97"/>
        <v>607</v>
      </c>
      <c r="G609" t="str">
        <f>_xlfn.LET(_xlpm.custom,_xlfn.XLOOKUP(F609,Data!A:A,Data!C:C),IF(_xlpm.custom="",_xlfn.XLOOKUP(F609,Data!A:A,Data!B:B),_xlpm.custom))</f>
        <v>X Sp. Def 6</v>
      </c>
      <c r="H609" t="str">
        <f>_xlfn.XLOOKUP(C609,Data!A:A,Data!E:E)</f>
        <v>General</v>
      </c>
      <c r="J609">
        <f>IF(I609="",C609,_xlfn.XLOOKUP(I609,Data!E:E,Data!A:A,""))</f>
        <v>0</v>
      </c>
      <c r="L609">
        <f t="shared" si="91"/>
        <v>0</v>
      </c>
      <c r="M609">
        <f t="shared" si="92"/>
        <v>0</v>
      </c>
      <c r="N609">
        <f t="shared" si="100"/>
        <v>0</v>
      </c>
      <c r="O609">
        <f t="shared" si="93"/>
        <v>0</v>
      </c>
      <c r="P609">
        <f t="shared" si="94"/>
        <v>0</v>
      </c>
      <c r="R609" t="str">
        <f t="shared" si="95"/>
        <v>00</v>
      </c>
    </row>
    <row r="610" spans="1:18" x14ac:dyDescent="0.4">
      <c r="A610" s="1" t="str">
        <f t="shared" si="98"/>
        <v>130</v>
      </c>
      <c r="B610">
        <f t="shared" si="99"/>
        <v>0</v>
      </c>
      <c r="C610">
        <f>VALUE(MID(Hex!$C$2,1+2*HEX2DEC(A610)+B610,1))</f>
        <v>0</v>
      </c>
      <c r="D610" s="1" t="str">
        <f t="shared" si="96"/>
        <v>260</v>
      </c>
      <c r="E610">
        <f>HEX2DEC(MID(Hex!$C$8,1+HEX2DEC(Edit!D610)*2,2))</f>
        <v>0</v>
      </c>
      <c r="F610">
        <f t="shared" si="97"/>
        <v>608</v>
      </c>
      <c r="G610" t="str">
        <f>_xlfn.LET(_xlpm.custom,_xlfn.XLOOKUP(F610,Data!A:A,Data!C:C),IF(_xlpm.custom="",_xlfn.XLOOKUP(F610,Data!A:A,Data!B:B),_xlpm.custom))</f>
        <v>X Defense 6</v>
      </c>
      <c r="H610" t="str">
        <f>_xlfn.XLOOKUP(C610,Data!A:A,Data!E:E)</f>
        <v>General</v>
      </c>
      <c r="J610">
        <f>IF(I610="",C610,_xlfn.XLOOKUP(I610,Data!E:E,Data!A:A,""))</f>
        <v>0</v>
      </c>
      <c r="L610">
        <f t="shared" si="91"/>
        <v>0</v>
      </c>
      <c r="M610">
        <f t="shared" si="92"/>
        <v>0</v>
      </c>
      <c r="N610">
        <f t="shared" si="100"/>
        <v>0</v>
      </c>
      <c r="O610">
        <f t="shared" si="93"/>
        <v>0</v>
      </c>
      <c r="P610">
        <f t="shared" si="94"/>
        <v>0</v>
      </c>
      <c r="R610" t="str">
        <f t="shared" si="95"/>
        <v>00</v>
      </c>
    </row>
    <row r="611" spans="1:18" x14ac:dyDescent="0.4">
      <c r="A611" s="1" t="str">
        <f t="shared" si="98"/>
        <v>130</v>
      </c>
      <c r="B611">
        <f t="shared" si="99"/>
        <v>1</v>
      </c>
      <c r="C611">
        <f>VALUE(MID(Hex!$C$2,1+2*HEX2DEC(A611)+B611,1))</f>
        <v>0</v>
      </c>
      <c r="D611" s="1" t="str">
        <f t="shared" si="96"/>
        <v>261</v>
      </c>
      <c r="E611">
        <f>HEX2DEC(MID(Hex!$C$8,1+HEX2DEC(Edit!D611)*2,2))</f>
        <v>0</v>
      </c>
      <c r="F611">
        <f t="shared" si="97"/>
        <v>609</v>
      </c>
      <c r="G611" t="str">
        <f>_xlfn.LET(_xlpm.custom,_xlfn.XLOOKUP(F611,Data!A:A,Data!C:C),IF(_xlpm.custom="",_xlfn.XLOOKUP(F611,Data!A:A,Data!B:B),_xlpm.custom))</f>
        <v>X Attack 6</v>
      </c>
      <c r="H611" t="str">
        <f>_xlfn.XLOOKUP(C611,Data!A:A,Data!E:E)</f>
        <v>General</v>
      </c>
      <c r="J611">
        <f>IF(I611="",C611,_xlfn.XLOOKUP(I611,Data!E:E,Data!A:A,""))</f>
        <v>0</v>
      </c>
      <c r="L611">
        <f t="shared" si="91"/>
        <v>0</v>
      </c>
      <c r="M611">
        <f t="shared" si="92"/>
        <v>0</v>
      </c>
      <c r="N611">
        <f t="shared" si="100"/>
        <v>0</v>
      </c>
      <c r="O611">
        <f t="shared" si="93"/>
        <v>0</v>
      </c>
      <c r="P611">
        <f t="shared" si="94"/>
        <v>0</v>
      </c>
      <c r="R611" t="str">
        <f t="shared" si="95"/>
        <v>00</v>
      </c>
    </row>
    <row r="612" spans="1:18" x14ac:dyDescent="0.4">
      <c r="A612" s="1" t="str">
        <f t="shared" si="98"/>
        <v>131</v>
      </c>
      <c r="B612">
        <f t="shared" si="99"/>
        <v>0</v>
      </c>
      <c r="C612">
        <f>VALUE(MID(Hex!$C$2,1+2*HEX2DEC(A612)+B612,1))</f>
        <v>0</v>
      </c>
      <c r="D612" s="1" t="str">
        <f t="shared" si="96"/>
        <v>262</v>
      </c>
      <c r="E612">
        <f>HEX2DEC(MID(Hex!$C$8,1+HEX2DEC(Edit!D612)*2,2))</f>
        <v>0</v>
      </c>
      <c r="F612">
        <f t="shared" si="97"/>
        <v>610</v>
      </c>
      <c r="G612" t="str">
        <f>_xlfn.LET(_xlpm.custom,_xlfn.XLOOKUP(F612,Data!A:A,Data!C:C),IF(_xlpm.custom="",_xlfn.XLOOKUP(F612,Data!A:A,Data!B:B),_xlpm.custom))</f>
        <v>X Accuracy 6</v>
      </c>
      <c r="H612" t="str">
        <f>_xlfn.XLOOKUP(C612,Data!A:A,Data!E:E)</f>
        <v>General</v>
      </c>
      <c r="J612">
        <f>IF(I612="",C612,_xlfn.XLOOKUP(I612,Data!E:E,Data!A:A,""))</f>
        <v>0</v>
      </c>
      <c r="L612">
        <f t="shared" si="91"/>
        <v>0</v>
      </c>
      <c r="M612">
        <f t="shared" si="92"/>
        <v>0</v>
      </c>
      <c r="N612">
        <f t="shared" si="100"/>
        <v>0</v>
      </c>
      <c r="O612">
        <f t="shared" si="93"/>
        <v>0</v>
      </c>
      <c r="P612">
        <f t="shared" si="94"/>
        <v>0</v>
      </c>
      <c r="R612" t="str">
        <f t="shared" si="95"/>
        <v>00</v>
      </c>
    </row>
    <row r="613" spans="1:18" x14ac:dyDescent="0.4">
      <c r="A613" s="1" t="str">
        <f t="shared" si="98"/>
        <v>131</v>
      </c>
      <c r="B613">
        <f t="shared" si="99"/>
        <v>1</v>
      </c>
      <c r="C613">
        <f>VALUE(MID(Hex!$C$2,1+2*HEX2DEC(A613)+B613,1))</f>
        <v>0</v>
      </c>
      <c r="D613" s="1" t="str">
        <f t="shared" si="96"/>
        <v>263</v>
      </c>
      <c r="E613">
        <f>HEX2DEC(MID(Hex!$C$8,1+HEX2DEC(Edit!D613)*2,2))</f>
        <v>0</v>
      </c>
      <c r="F613">
        <f t="shared" si="97"/>
        <v>611</v>
      </c>
      <c r="G613" t="str">
        <f>_xlfn.LET(_xlpm.custom,_xlfn.XLOOKUP(F613,Data!A:A,Data!C:C),IF(_xlpm.custom="",_xlfn.XLOOKUP(F613,Data!A:A,Data!B:B),_xlpm.custom))</f>
        <v>Ability Urge</v>
      </c>
      <c r="H613" t="str">
        <f>_xlfn.XLOOKUP(C613,Data!A:A,Data!E:E)</f>
        <v>General</v>
      </c>
      <c r="J613">
        <f>IF(I613="",C613,_xlfn.XLOOKUP(I613,Data!E:E,Data!A:A,""))</f>
        <v>0</v>
      </c>
      <c r="L613">
        <f t="shared" si="91"/>
        <v>0</v>
      </c>
      <c r="M613">
        <f t="shared" si="92"/>
        <v>0</v>
      </c>
      <c r="N613">
        <f t="shared" si="100"/>
        <v>0</v>
      </c>
      <c r="O613">
        <f t="shared" si="93"/>
        <v>0</v>
      </c>
      <c r="P613">
        <f t="shared" si="94"/>
        <v>0</v>
      </c>
      <c r="R613" t="str">
        <f t="shared" si="95"/>
        <v>00</v>
      </c>
    </row>
    <row r="614" spans="1:18" x14ac:dyDescent="0.4">
      <c r="A614" s="1" t="str">
        <f t="shared" si="98"/>
        <v>132</v>
      </c>
      <c r="B614">
        <f t="shared" si="99"/>
        <v>0</v>
      </c>
      <c r="C614">
        <f>VALUE(MID(Hex!$C$2,1+2*HEX2DEC(A614)+B614,1))</f>
        <v>0</v>
      </c>
      <c r="D614" s="1" t="str">
        <f t="shared" si="96"/>
        <v>264</v>
      </c>
      <c r="E614">
        <f>HEX2DEC(MID(Hex!$C$8,1+HEX2DEC(Edit!D614)*2,2))</f>
        <v>0</v>
      </c>
      <c r="F614">
        <f t="shared" si="97"/>
        <v>612</v>
      </c>
      <c r="G614" t="str">
        <f>_xlfn.LET(_xlpm.custom,_xlfn.XLOOKUP(F614,Data!A:A,Data!C:C),IF(_xlpm.custom="",_xlfn.XLOOKUP(F614,Data!A:A,Data!B:B),_xlpm.custom))</f>
        <v>Item Drop</v>
      </c>
      <c r="H614" t="str">
        <f>_xlfn.XLOOKUP(C614,Data!A:A,Data!E:E)</f>
        <v>General</v>
      </c>
      <c r="J614">
        <f>IF(I614="",C614,_xlfn.XLOOKUP(I614,Data!E:E,Data!A:A,""))</f>
        <v>0</v>
      </c>
      <c r="L614">
        <f t="shared" si="91"/>
        <v>0</v>
      </c>
      <c r="M614">
        <f t="shared" si="92"/>
        <v>0</v>
      </c>
      <c r="N614">
        <f t="shared" si="100"/>
        <v>0</v>
      </c>
      <c r="O614">
        <f t="shared" si="93"/>
        <v>0</v>
      </c>
      <c r="P614">
        <f t="shared" si="94"/>
        <v>0</v>
      </c>
      <c r="R614" t="str">
        <f t="shared" si="95"/>
        <v>00</v>
      </c>
    </row>
    <row r="615" spans="1:18" x14ac:dyDescent="0.4">
      <c r="A615" s="1" t="str">
        <f t="shared" si="98"/>
        <v>132</v>
      </c>
      <c r="B615">
        <f t="shared" si="99"/>
        <v>1</v>
      </c>
      <c r="C615">
        <f>VALUE(MID(Hex!$C$2,1+2*HEX2DEC(A615)+B615,1))</f>
        <v>0</v>
      </c>
      <c r="D615" s="1" t="str">
        <f t="shared" si="96"/>
        <v>265</v>
      </c>
      <c r="E615">
        <f>HEX2DEC(MID(Hex!$C$8,1+HEX2DEC(Edit!D615)*2,2))</f>
        <v>0</v>
      </c>
      <c r="F615">
        <f t="shared" si="97"/>
        <v>613</v>
      </c>
      <c r="G615" t="str">
        <f>_xlfn.LET(_xlpm.custom,_xlfn.XLOOKUP(F615,Data!A:A,Data!C:C),IF(_xlpm.custom="",_xlfn.XLOOKUP(F615,Data!A:A,Data!B:B),_xlpm.custom))</f>
        <v>Item Urge</v>
      </c>
      <c r="H615" t="str">
        <f>_xlfn.XLOOKUP(C615,Data!A:A,Data!E:E)</f>
        <v>General</v>
      </c>
      <c r="J615">
        <f>IF(I615="",C615,_xlfn.XLOOKUP(I615,Data!E:E,Data!A:A,""))</f>
        <v>0</v>
      </c>
      <c r="L615">
        <f t="shared" si="91"/>
        <v>0</v>
      </c>
      <c r="M615">
        <f t="shared" si="92"/>
        <v>0</v>
      </c>
      <c r="N615">
        <f t="shared" si="100"/>
        <v>0</v>
      </c>
      <c r="O615">
        <f t="shared" si="93"/>
        <v>0</v>
      </c>
      <c r="P615">
        <f t="shared" si="94"/>
        <v>0</v>
      </c>
      <c r="R615" t="str">
        <f t="shared" si="95"/>
        <v>00</v>
      </c>
    </row>
    <row r="616" spans="1:18" x14ac:dyDescent="0.4">
      <c r="A616" s="1" t="str">
        <f t="shared" si="98"/>
        <v>133</v>
      </c>
      <c r="B616">
        <f t="shared" si="99"/>
        <v>0</v>
      </c>
      <c r="C616">
        <f>VALUE(MID(Hex!$C$2,1+2*HEX2DEC(A616)+B616,1))</f>
        <v>0</v>
      </c>
      <c r="D616" s="1" t="str">
        <f t="shared" si="96"/>
        <v>266</v>
      </c>
      <c r="E616">
        <f>HEX2DEC(MID(Hex!$C$8,1+HEX2DEC(Edit!D616)*2,2))</f>
        <v>0</v>
      </c>
      <c r="F616">
        <f t="shared" si="97"/>
        <v>614</v>
      </c>
      <c r="G616" t="str">
        <f>_xlfn.LET(_xlpm.custom,_xlfn.XLOOKUP(F616,Data!A:A,Data!C:C),IF(_xlpm.custom="",_xlfn.XLOOKUP(F616,Data!A:A,Data!B:B),_xlpm.custom))</f>
        <v>Reset Urge</v>
      </c>
      <c r="H616" t="str">
        <f>_xlfn.XLOOKUP(C616,Data!A:A,Data!E:E)</f>
        <v>General</v>
      </c>
      <c r="J616">
        <f>IF(I616="",C616,_xlfn.XLOOKUP(I616,Data!E:E,Data!A:A,""))</f>
        <v>0</v>
      </c>
      <c r="L616">
        <f t="shared" si="91"/>
        <v>0</v>
      </c>
      <c r="M616">
        <f t="shared" si="92"/>
        <v>0</v>
      </c>
      <c r="N616">
        <f t="shared" si="100"/>
        <v>0</v>
      </c>
      <c r="O616">
        <f t="shared" si="93"/>
        <v>0</v>
      </c>
      <c r="P616">
        <f t="shared" si="94"/>
        <v>0</v>
      </c>
      <c r="R616" t="str">
        <f t="shared" si="95"/>
        <v>00</v>
      </c>
    </row>
    <row r="617" spans="1:18" x14ac:dyDescent="0.4">
      <c r="A617" s="1" t="str">
        <f t="shared" si="98"/>
        <v>133</v>
      </c>
      <c r="B617">
        <f t="shared" si="99"/>
        <v>1</v>
      </c>
      <c r="C617">
        <f>VALUE(MID(Hex!$C$2,1+2*HEX2DEC(A617)+B617,1))</f>
        <v>0</v>
      </c>
      <c r="D617" s="1" t="str">
        <f t="shared" si="96"/>
        <v>267</v>
      </c>
      <c r="E617">
        <f>HEX2DEC(MID(Hex!$C$8,1+HEX2DEC(Edit!D617)*2,2))</f>
        <v>0</v>
      </c>
      <c r="F617">
        <f t="shared" si="97"/>
        <v>615</v>
      </c>
      <c r="G617" t="str">
        <f>_xlfn.LET(_xlpm.custom,_xlfn.XLOOKUP(F617,Data!A:A,Data!C:C),IF(_xlpm.custom="",_xlfn.XLOOKUP(F617,Data!A:A,Data!B:B),_xlpm.custom))</f>
        <v>Dire Hit 3</v>
      </c>
      <c r="H617" t="str">
        <f>_xlfn.XLOOKUP(C617,Data!A:A,Data!E:E)</f>
        <v>General</v>
      </c>
      <c r="J617">
        <f>IF(I617="",C617,_xlfn.XLOOKUP(I617,Data!E:E,Data!A:A,""))</f>
        <v>0</v>
      </c>
      <c r="L617">
        <f t="shared" si="91"/>
        <v>0</v>
      </c>
      <c r="M617">
        <f t="shared" si="92"/>
        <v>0</v>
      </c>
      <c r="N617">
        <f t="shared" si="100"/>
        <v>0</v>
      </c>
      <c r="O617">
        <f t="shared" si="93"/>
        <v>0</v>
      </c>
      <c r="P617">
        <f t="shared" si="94"/>
        <v>0</v>
      </c>
      <c r="R617" t="str">
        <f t="shared" si="95"/>
        <v>00</v>
      </c>
    </row>
    <row r="618" spans="1:18" x14ac:dyDescent="0.4">
      <c r="A618" s="1" t="str">
        <f t="shared" si="98"/>
        <v>134</v>
      </c>
      <c r="B618">
        <f t="shared" si="99"/>
        <v>0</v>
      </c>
      <c r="C618">
        <f>VALUE(MID(Hex!$C$2,1+2*HEX2DEC(A618)+B618,1))</f>
        <v>4</v>
      </c>
      <c r="D618" s="1" t="str">
        <f t="shared" si="96"/>
        <v>268</v>
      </c>
      <c r="E618">
        <f>HEX2DEC(MID(Hex!$C$8,1+HEX2DEC(Edit!D618)*2,2))</f>
        <v>0</v>
      </c>
      <c r="F618">
        <f t="shared" si="97"/>
        <v>616</v>
      </c>
      <c r="G618" t="str">
        <f>_xlfn.LET(_xlpm.custom,_xlfn.XLOOKUP(F618,Data!A:A,Data!C:C),IF(_xlpm.custom="",_xlfn.XLOOKUP(F618,Data!A:A,Data!B:B),_xlpm.custom))</f>
        <v>Light Stone</v>
      </c>
      <c r="H618" t="str">
        <f>_xlfn.XLOOKUP(C618,Data!A:A,Data!E:E)</f>
        <v>Key</v>
      </c>
      <c r="J618">
        <f>IF(I618="",C618,_xlfn.XLOOKUP(I618,Data!E:E,Data!A:A,""))</f>
        <v>4</v>
      </c>
      <c r="L618">
        <f t="shared" si="91"/>
        <v>0</v>
      </c>
      <c r="M618">
        <f t="shared" si="92"/>
        <v>0</v>
      </c>
      <c r="N618">
        <f t="shared" si="100"/>
        <v>0</v>
      </c>
      <c r="O618">
        <f t="shared" si="93"/>
        <v>0</v>
      </c>
      <c r="P618">
        <f t="shared" si="94"/>
        <v>0</v>
      </c>
      <c r="R618" t="str">
        <f t="shared" si="95"/>
        <v>00</v>
      </c>
    </row>
    <row r="619" spans="1:18" x14ac:dyDescent="0.4">
      <c r="A619" s="1" t="str">
        <f t="shared" si="98"/>
        <v>134</v>
      </c>
      <c r="B619">
        <f t="shared" si="99"/>
        <v>1</v>
      </c>
      <c r="C619">
        <f>VALUE(MID(Hex!$C$2,1+2*HEX2DEC(A619)+B619,1))</f>
        <v>4</v>
      </c>
      <c r="D619" s="1" t="str">
        <f t="shared" si="96"/>
        <v>269</v>
      </c>
      <c r="E619">
        <f>HEX2DEC(MID(Hex!$C$8,1+HEX2DEC(Edit!D619)*2,2))</f>
        <v>0</v>
      </c>
      <c r="F619">
        <f t="shared" si="97"/>
        <v>617</v>
      </c>
      <c r="G619" t="str">
        <f>_xlfn.LET(_xlpm.custom,_xlfn.XLOOKUP(F619,Data!A:A,Data!C:C),IF(_xlpm.custom="",_xlfn.XLOOKUP(F619,Data!A:A,Data!B:B),_xlpm.custom))</f>
        <v>Dark Stone</v>
      </c>
      <c r="H619" t="str">
        <f>_xlfn.XLOOKUP(C619,Data!A:A,Data!E:E)</f>
        <v>Key</v>
      </c>
      <c r="J619">
        <f>IF(I619="",C619,_xlfn.XLOOKUP(I619,Data!E:E,Data!A:A,""))</f>
        <v>4</v>
      </c>
      <c r="L619">
        <f t="shared" si="91"/>
        <v>0</v>
      </c>
      <c r="M619">
        <f t="shared" si="92"/>
        <v>0</v>
      </c>
      <c r="N619">
        <f t="shared" si="100"/>
        <v>0</v>
      </c>
      <c r="O619">
        <f t="shared" si="93"/>
        <v>0</v>
      </c>
      <c r="P619">
        <f t="shared" si="94"/>
        <v>0</v>
      </c>
      <c r="R619" t="str">
        <f t="shared" si="95"/>
        <v>00</v>
      </c>
    </row>
    <row r="620" spans="1:18" x14ac:dyDescent="0.4">
      <c r="A620" s="1" t="str">
        <f t="shared" si="98"/>
        <v>135</v>
      </c>
      <c r="B620">
        <f t="shared" si="99"/>
        <v>0</v>
      </c>
      <c r="C620">
        <f>VALUE(MID(Hex!$C$2,1+2*HEX2DEC(A620)+B620,1))</f>
        <v>2</v>
      </c>
      <c r="D620" s="1" t="str">
        <f t="shared" si="96"/>
        <v>26A</v>
      </c>
      <c r="E620">
        <f>HEX2DEC(MID(Hex!$C$8,1+HEX2DEC(Edit!D620)*2,2))</f>
        <v>0</v>
      </c>
      <c r="F620">
        <f t="shared" si="97"/>
        <v>618</v>
      </c>
      <c r="G620" t="str">
        <f>_xlfn.LET(_xlpm.custom,_xlfn.XLOOKUP(F620,Data!A:A,Data!C:C),IF(_xlpm.custom="",_xlfn.XLOOKUP(F620,Data!A:A,Data!B:B),_xlpm.custom))</f>
        <v>TM093</v>
      </c>
      <c r="H620" t="str">
        <f>_xlfn.XLOOKUP(C620,Data!A:A,Data!E:E)</f>
        <v>TM/HM</v>
      </c>
      <c r="J620">
        <f>IF(I620="",C620,_xlfn.XLOOKUP(I620,Data!E:E,Data!A:A,""))</f>
        <v>2</v>
      </c>
      <c r="L620">
        <f t="shared" si="91"/>
        <v>0</v>
      </c>
      <c r="M620">
        <f t="shared" si="92"/>
        <v>0</v>
      </c>
      <c r="N620">
        <f t="shared" si="100"/>
        <v>0</v>
      </c>
      <c r="O620">
        <f t="shared" si="93"/>
        <v>0</v>
      </c>
      <c r="P620">
        <f t="shared" si="94"/>
        <v>0</v>
      </c>
      <c r="R620" t="str">
        <f t="shared" si="95"/>
        <v>00</v>
      </c>
    </row>
    <row r="621" spans="1:18" x14ac:dyDescent="0.4">
      <c r="A621" s="1" t="str">
        <f t="shared" si="98"/>
        <v>135</v>
      </c>
      <c r="B621">
        <f t="shared" si="99"/>
        <v>1</v>
      </c>
      <c r="C621">
        <f>VALUE(MID(Hex!$C$2,1+2*HEX2DEC(A621)+B621,1))</f>
        <v>2</v>
      </c>
      <c r="D621" s="1" t="str">
        <f t="shared" si="96"/>
        <v>26B</v>
      </c>
      <c r="E621">
        <f>HEX2DEC(MID(Hex!$C$8,1+HEX2DEC(Edit!D621)*2,2))</f>
        <v>0</v>
      </c>
      <c r="F621">
        <f t="shared" si="97"/>
        <v>619</v>
      </c>
      <c r="G621" t="str">
        <f>_xlfn.LET(_xlpm.custom,_xlfn.XLOOKUP(F621,Data!A:A,Data!C:C),IF(_xlpm.custom="",_xlfn.XLOOKUP(F621,Data!A:A,Data!B:B),_xlpm.custom))</f>
        <v>TM094</v>
      </c>
      <c r="H621" t="str">
        <f>_xlfn.XLOOKUP(C621,Data!A:A,Data!E:E)</f>
        <v>TM/HM</v>
      </c>
      <c r="J621">
        <f>IF(I621="",C621,_xlfn.XLOOKUP(I621,Data!E:E,Data!A:A,""))</f>
        <v>2</v>
      </c>
      <c r="L621">
        <f t="shared" si="91"/>
        <v>0</v>
      </c>
      <c r="M621">
        <f t="shared" si="92"/>
        <v>0</v>
      </c>
      <c r="N621">
        <f t="shared" si="100"/>
        <v>0</v>
      </c>
      <c r="O621">
        <f t="shared" si="93"/>
        <v>0</v>
      </c>
      <c r="P621">
        <f t="shared" si="94"/>
        <v>0</v>
      </c>
      <c r="R621" t="str">
        <f t="shared" si="95"/>
        <v>00</v>
      </c>
    </row>
    <row r="622" spans="1:18" x14ac:dyDescent="0.4">
      <c r="A622" s="1" t="str">
        <f t="shared" si="98"/>
        <v>136</v>
      </c>
      <c r="B622">
        <f t="shared" si="99"/>
        <v>0</v>
      </c>
      <c r="C622">
        <f>VALUE(MID(Hex!$C$2,1+2*HEX2DEC(A622)+B622,1))</f>
        <v>2</v>
      </c>
      <c r="D622" s="1" t="str">
        <f t="shared" si="96"/>
        <v>26C</v>
      </c>
      <c r="E622">
        <f>HEX2DEC(MID(Hex!$C$8,1+HEX2DEC(Edit!D622)*2,2))</f>
        <v>0</v>
      </c>
      <c r="F622">
        <f t="shared" si="97"/>
        <v>620</v>
      </c>
      <c r="G622" t="str">
        <f>_xlfn.LET(_xlpm.custom,_xlfn.XLOOKUP(F622,Data!A:A,Data!C:C),IF(_xlpm.custom="",_xlfn.XLOOKUP(F622,Data!A:A,Data!B:B),_xlpm.custom))</f>
        <v>TM095</v>
      </c>
      <c r="H622" t="str">
        <f>_xlfn.XLOOKUP(C622,Data!A:A,Data!E:E)</f>
        <v>TM/HM</v>
      </c>
      <c r="J622">
        <f>IF(I622="",C622,_xlfn.XLOOKUP(I622,Data!E:E,Data!A:A,""))</f>
        <v>2</v>
      </c>
      <c r="L622">
        <f t="shared" si="91"/>
        <v>0</v>
      </c>
      <c r="M622">
        <f t="shared" si="92"/>
        <v>0</v>
      </c>
      <c r="N622">
        <f t="shared" si="100"/>
        <v>0</v>
      </c>
      <c r="O622">
        <f t="shared" si="93"/>
        <v>0</v>
      </c>
      <c r="P622">
        <f t="shared" si="94"/>
        <v>0</v>
      </c>
      <c r="R622" t="str">
        <f t="shared" si="95"/>
        <v>00</v>
      </c>
    </row>
    <row r="623" spans="1:18" x14ac:dyDescent="0.4">
      <c r="A623" s="1" t="str">
        <f t="shared" si="98"/>
        <v>136</v>
      </c>
      <c r="B623">
        <f t="shared" si="99"/>
        <v>1</v>
      </c>
      <c r="C623">
        <f>VALUE(MID(Hex!$C$2,1+2*HEX2DEC(A623)+B623,1))</f>
        <v>4</v>
      </c>
      <c r="D623" s="1" t="str">
        <f t="shared" si="96"/>
        <v>26D</v>
      </c>
      <c r="E623">
        <f>HEX2DEC(MID(Hex!$C$8,1+HEX2DEC(Edit!D623)*2,2))</f>
        <v>0</v>
      </c>
      <c r="F623">
        <f t="shared" si="97"/>
        <v>621</v>
      </c>
      <c r="G623" t="str">
        <f>_xlfn.LET(_xlpm.custom,_xlfn.XLOOKUP(F623,Data!A:A,Data!C:C),IF(_xlpm.custom="",_xlfn.XLOOKUP(F623,Data!A:A,Data!B:B),_xlpm.custom))</f>
        <v>Xtransceiver</v>
      </c>
      <c r="H623" t="str">
        <f>_xlfn.XLOOKUP(C623,Data!A:A,Data!E:E)</f>
        <v>Key</v>
      </c>
      <c r="J623">
        <f>IF(I623="",C623,_xlfn.XLOOKUP(I623,Data!E:E,Data!A:A,""))</f>
        <v>4</v>
      </c>
      <c r="L623">
        <f t="shared" si="91"/>
        <v>0</v>
      </c>
      <c r="M623">
        <f t="shared" si="92"/>
        <v>0</v>
      </c>
      <c r="N623">
        <f t="shared" si="100"/>
        <v>0</v>
      </c>
      <c r="O623">
        <f t="shared" si="93"/>
        <v>0</v>
      </c>
      <c r="P623">
        <f t="shared" si="94"/>
        <v>0</v>
      </c>
      <c r="R623" t="str">
        <f t="shared" si="95"/>
        <v>00</v>
      </c>
    </row>
    <row r="624" spans="1:18" x14ac:dyDescent="0.4">
      <c r="A624" s="1" t="str">
        <f t="shared" si="98"/>
        <v>137</v>
      </c>
      <c r="B624">
        <f t="shared" si="99"/>
        <v>0</v>
      </c>
      <c r="C624">
        <f>VALUE(MID(Hex!$C$2,1+2*HEX2DEC(A624)+B624,1))</f>
        <v>0</v>
      </c>
      <c r="D624" s="1" t="str">
        <f t="shared" si="96"/>
        <v>26E</v>
      </c>
      <c r="E624">
        <f>HEX2DEC(MID(Hex!$C$8,1+HEX2DEC(Edit!D624)*2,2))</f>
        <v>0</v>
      </c>
      <c r="F624">
        <f t="shared" si="97"/>
        <v>622</v>
      </c>
      <c r="G624" t="str">
        <f>_xlfn.LET(_xlpm.custom,_xlfn.XLOOKUP(F624,Data!A:A,Data!C:C),IF(_xlpm.custom="",_xlfn.XLOOKUP(F624,Data!A:A,Data!B:B),_xlpm.custom))</f>
        <v>God Stone</v>
      </c>
      <c r="H624" t="str">
        <f>_xlfn.XLOOKUP(C624,Data!A:A,Data!E:E)</f>
        <v>General</v>
      </c>
      <c r="J624">
        <f>IF(I624="",C624,_xlfn.XLOOKUP(I624,Data!E:E,Data!A:A,""))</f>
        <v>0</v>
      </c>
      <c r="L624">
        <f t="shared" si="91"/>
        <v>0</v>
      </c>
      <c r="M624">
        <f t="shared" si="92"/>
        <v>0</v>
      </c>
      <c r="N624">
        <f t="shared" si="100"/>
        <v>0</v>
      </c>
      <c r="O624">
        <f t="shared" si="93"/>
        <v>0</v>
      </c>
      <c r="P624">
        <f t="shared" si="94"/>
        <v>0</v>
      </c>
      <c r="R624" t="str">
        <f t="shared" si="95"/>
        <v>00</v>
      </c>
    </row>
    <row r="625" spans="1:18" x14ac:dyDescent="0.4">
      <c r="A625" s="1" t="str">
        <f t="shared" si="98"/>
        <v>137</v>
      </c>
      <c r="B625">
        <f t="shared" si="99"/>
        <v>1</v>
      </c>
      <c r="C625">
        <f>VALUE(MID(Hex!$C$2,1+2*HEX2DEC(A625)+B625,1))</f>
        <v>4</v>
      </c>
      <c r="D625" s="1" t="str">
        <f t="shared" si="96"/>
        <v>26F</v>
      </c>
      <c r="E625">
        <f>HEX2DEC(MID(Hex!$C$8,1+HEX2DEC(Edit!D625)*2,2))</f>
        <v>0</v>
      </c>
      <c r="F625">
        <f t="shared" si="97"/>
        <v>623</v>
      </c>
      <c r="G625" t="str">
        <f>_xlfn.LET(_xlpm.custom,_xlfn.XLOOKUP(F625,Data!A:A,Data!C:C),IF(_xlpm.custom="",_xlfn.XLOOKUP(F625,Data!A:A,Data!B:B),_xlpm.custom))</f>
        <v>Gram 1</v>
      </c>
      <c r="H625" t="str">
        <f>_xlfn.XLOOKUP(C625,Data!A:A,Data!E:E)</f>
        <v>Key</v>
      </c>
      <c r="J625">
        <f>IF(I625="",C625,_xlfn.XLOOKUP(I625,Data!E:E,Data!A:A,""))</f>
        <v>4</v>
      </c>
      <c r="L625">
        <f t="shared" si="91"/>
        <v>0</v>
      </c>
      <c r="M625">
        <f t="shared" si="92"/>
        <v>0</v>
      </c>
      <c r="N625">
        <f t="shared" si="100"/>
        <v>0</v>
      </c>
      <c r="O625">
        <f t="shared" si="93"/>
        <v>0</v>
      </c>
      <c r="P625">
        <f t="shared" si="94"/>
        <v>0</v>
      </c>
      <c r="R625" t="str">
        <f t="shared" si="95"/>
        <v>00</v>
      </c>
    </row>
    <row r="626" spans="1:18" x14ac:dyDescent="0.4">
      <c r="A626" s="1" t="str">
        <f t="shared" si="98"/>
        <v>138</v>
      </c>
      <c r="B626">
        <f t="shared" si="99"/>
        <v>0</v>
      </c>
      <c r="C626">
        <f>VALUE(MID(Hex!$C$2,1+2*HEX2DEC(A626)+B626,1))</f>
        <v>4</v>
      </c>
      <c r="D626" s="1" t="str">
        <f t="shared" si="96"/>
        <v>270</v>
      </c>
      <c r="E626">
        <f>HEX2DEC(MID(Hex!$C$8,1+HEX2DEC(Edit!D626)*2,2))</f>
        <v>0</v>
      </c>
      <c r="F626">
        <f t="shared" si="97"/>
        <v>624</v>
      </c>
      <c r="G626" t="str">
        <f>_xlfn.LET(_xlpm.custom,_xlfn.XLOOKUP(F626,Data!A:A,Data!C:C),IF(_xlpm.custom="",_xlfn.XLOOKUP(F626,Data!A:A,Data!B:B),_xlpm.custom))</f>
        <v>Gram 2</v>
      </c>
      <c r="H626" t="str">
        <f>_xlfn.XLOOKUP(C626,Data!A:A,Data!E:E)</f>
        <v>Key</v>
      </c>
      <c r="J626">
        <f>IF(I626="",C626,_xlfn.XLOOKUP(I626,Data!E:E,Data!A:A,""))</f>
        <v>4</v>
      </c>
      <c r="L626">
        <f t="shared" si="91"/>
        <v>0</v>
      </c>
      <c r="M626">
        <f t="shared" si="92"/>
        <v>0</v>
      </c>
      <c r="N626">
        <f t="shared" si="100"/>
        <v>0</v>
      </c>
      <c r="O626">
        <f t="shared" si="93"/>
        <v>0</v>
      </c>
      <c r="P626">
        <f t="shared" si="94"/>
        <v>0</v>
      </c>
      <c r="R626" t="str">
        <f t="shared" si="95"/>
        <v>00</v>
      </c>
    </row>
    <row r="627" spans="1:18" x14ac:dyDescent="0.4">
      <c r="A627" s="1" t="str">
        <f t="shared" si="98"/>
        <v>138</v>
      </c>
      <c r="B627">
        <f t="shared" si="99"/>
        <v>1</v>
      </c>
      <c r="C627">
        <f>VALUE(MID(Hex!$C$2,1+2*HEX2DEC(A627)+B627,1))</f>
        <v>4</v>
      </c>
      <c r="D627" s="1" t="str">
        <f t="shared" si="96"/>
        <v>271</v>
      </c>
      <c r="E627">
        <f>HEX2DEC(MID(Hex!$C$8,1+HEX2DEC(Edit!D627)*2,2))</f>
        <v>0</v>
      </c>
      <c r="F627">
        <f t="shared" si="97"/>
        <v>625</v>
      </c>
      <c r="G627" t="str">
        <f>_xlfn.LET(_xlpm.custom,_xlfn.XLOOKUP(F627,Data!A:A,Data!C:C),IF(_xlpm.custom="",_xlfn.XLOOKUP(F627,Data!A:A,Data!B:B),_xlpm.custom))</f>
        <v>Gram 3</v>
      </c>
      <c r="H627" t="str">
        <f>_xlfn.XLOOKUP(C627,Data!A:A,Data!E:E)</f>
        <v>Key</v>
      </c>
      <c r="J627">
        <f>IF(I627="",C627,_xlfn.XLOOKUP(I627,Data!E:E,Data!A:A,""))</f>
        <v>4</v>
      </c>
      <c r="L627">
        <f t="shared" si="91"/>
        <v>0</v>
      </c>
      <c r="M627">
        <f t="shared" si="92"/>
        <v>0</v>
      </c>
      <c r="N627">
        <f t="shared" si="100"/>
        <v>0</v>
      </c>
      <c r="O627">
        <f t="shared" si="93"/>
        <v>0</v>
      </c>
      <c r="P627">
        <f t="shared" si="94"/>
        <v>0</v>
      </c>
      <c r="R627" t="str">
        <f t="shared" si="95"/>
        <v>00</v>
      </c>
    </row>
    <row r="628" spans="1:18" x14ac:dyDescent="0.4">
      <c r="A628" s="1" t="str">
        <f t="shared" si="98"/>
        <v>139</v>
      </c>
      <c r="B628">
        <f t="shared" si="99"/>
        <v>0</v>
      </c>
      <c r="C628">
        <f>VALUE(MID(Hex!$C$2,1+2*HEX2DEC(A628)+B628,1))</f>
        <v>4</v>
      </c>
      <c r="D628" s="1" t="str">
        <f t="shared" si="96"/>
        <v>272</v>
      </c>
      <c r="E628">
        <f>HEX2DEC(MID(Hex!$C$8,1+HEX2DEC(Edit!D628)*2,2))</f>
        <v>0</v>
      </c>
      <c r="F628">
        <f t="shared" si="97"/>
        <v>626</v>
      </c>
      <c r="G628" t="str">
        <f>_xlfn.LET(_xlpm.custom,_xlfn.XLOOKUP(F628,Data!A:A,Data!C:C),IF(_xlpm.custom="",_xlfn.XLOOKUP(F628,Data!A:A,Data!B:B),_xlpm.custom))</f>
        <v>Xtransceiver</v>
      </c>
      <c r="H628" t="str">
        <f>_xlfn.XLOOKUP(C628,Data!A:A,Data!E:E)</f>
        <v>Key</v>
      </c>
      <c r="J628">
        <f>IF(I628="",C628,_xlfn.XLOOKUP(I628,Data!E:E,Data!A:A,""))</f>
        <v>4</v>
      </c>
      <c r="L628">
        <f t="shared" si="91"/>
        <v>0</v>
      </c>
      <c r="M628">
        <f t="shared" si="92"/>
        <v>0</v>
      </c>
      <c r="N628">
        <f t="shared" si="100"/>
        <v>0</v>
      </c>
      <c r="O628">
        <f t="shared" si="93"/>
        <v>0</v>
      </c>
      <c r="P628">
        <f t="shared" si="94"/>
        <v>0</v>
      </c>
      <c r="R628" t="str">
        <f t="shared" si="95"/>
        <v>00</v>
      </c>
    </row>
    <row r="629" spans="1:18" x14ac:dyDescent="0.4">
      <c r="A629" s="1" t="str">
        <f t="shared" si="98"/>
        <v>139</v>
      </c>
      <c r="B629">
        <f t="shared" si="99"/>
        <v>1</v>
      </c>
      <c r="C629">
        <f>VALUE(MID(Hex!$C$2,1+2*HEX2DEC(A629)+B629,1))</f>
        <v>4</v>
      </c>
      <c r="D629" s="1" t="str">
        <f t="shared" si="96"/>
        <v>273</v>
      </c>
      <c r="E629">
        <f>HEX2DEC(MID(Hex!$C$8,1+HEX2DEC(Edit!D629)*2,2))</f>
        <v>0</v>
      </c>
      <c r="F629">
        <f t="shared" si="97"/>
        <v>627</v>
      </c>
      <c r="G629" t="str">
        <f>_xlfn.LET(_xlpm.custom,_xlfn.XLOOKUP(F629,Data!A:A,Data!C:C),IF(_xlpm.custom="",_xlfn.XLOOKUP(F629,Data!A:A,Data!B:B),_xlpm.custom))</f>
        <v>Medal Box</v>
      </c>
      <c r="H629" t="str">
        <f>_xlfn.XLOOKUP(C629,Data!A:A,Data!E:E)</f>
        <v>Key</v>
      </c>
      <c r="J629">
        <f>IF(I629="",C629,_xlfn.XLOOKUP(I629,Data!E:E,Data!A:A,""))</f>
        <v>4</v>
      </c>
      <c r="L629">
        <f t="shared" si="91"/>
        <v>0</v>
      </c>
      <c r="M629">
        <f t="shared" si="92"/>
        <v>0</v>
      </c>
      <c r="N629">
        <f t="shared" si="100"/>
        <v>0</v>
      </c>
      <c r="O629">
        <f t="shared" si="93"/>
        <v>0</v>
      </c>
      <c r="P629">
        <f t="shared" si="94"/>
        <v>0</v>
      </c>
      <c r="R629" t="str">
        <f t="shared" si="95"/>
        <v>00</v>
      </c>
    </row>
    <row r="630" spans="1:18" x14ac:dyDescent="0.4">
      <c r="A630" s="1" t="str">
        <f t="shared" si="98"/>
        <v>13A</v>
      </c>
      <c r="B630">
        <f t="shared" si="99"/>
        <v>0</v>
      </c>
      <c r="C630">
        <f>VALUE(MID(Hex!$C$2,1+2*HEX2DEC(A630)+B630,1))</f>
        <v>4</v>
      </c>
      <c r="D630" s="1" t="str">
        <f t="shared" si="96"/>
        <v>274</v>
      </c>
      <c r="E630">
        <f>HEX2DEC(MID(Hex!$C$8,1+HEX2DEC(Edit!D630)*2,2))</f>
        <v>0</v>
      </c>
      <c r="F630">
        <f t="shared" si="97"/>
        <v>628</v>
      </c>
      <c r="G630" t="str">
        <f>_xlfn.LET(_xlpm.custom,_xlfn.XLOOKUP(F630,Data!A:A,Data!C:C),IF(_xlpm.custom="",_xlfn.XLOOKUP(F630,Data!A:A,Data!B:B),_xlpm.custom))</f>
        <v>DNA Splicers</v>
      </c>
      <c r="H630" t="str">
        <f>_xlfn.XLOOKUP(C630,Data!A:A,Data!E:E)</f>
        <v>Key</v>
      </c>
      <c r="J630">
        <f>IF(I630="",C630,_xlfn.XLOOKUP(I630,Data!E:E,Data!A:A,""))</f>
        <v>4</v>
      </c>
      <c r="L630">
        <f t="shared" si="91"/>
        <v>0</v>
      </c>
      <c r="M630">
        <f t="shared" si="92"/>
        <v>0</v>
      </c>
      <c r="N630">
        <f t="shared" si="100"/>
        <v>0</v>
      </c>
      <c r="O630">
        <f t="shared" si="93"/>
        <v>0</v>
      </c>
      <c r="P630">
        <f t="shared" si="94"/>
        <v>0</v>
      </c>
      <c r="R630" t="str">
        <f t="shared" si="95"/>
        <v>00</v>
      </c>
    </row>
    <row r="631" spans="1:18" x14ac:dyDescent="0.4">
      <c r="A631" s="1" t="str">
        <f t="shared" si="98"/>
        <v>13A</v>
      </c>
      <c r="B631">
        <f t="shared" si="99"/>
        <v>1</v>
      </c>
      <c r="C631">
        <f>VALUE(MID(Hex!$C$2,1+2*HEX2DEC(A631)+B631,1))</f>
        <v>4</v>
      </c>
      <c r="D631" s="1" t="str">
        <f t="shared" si="96"/>
        <v>275</v>
      </c>
      <c r="E631">
        <f>HEX2DEC(MID(Hex!$C$8,1+HEX2DEC(Edit!D631)*2,2))</f>
        <v>0</v>
      </c>
      <c r="F631">
        <f t="shared" si="97"/>
        <v>629</v>
      </c>
      <c r="G631" t="str">
        <f>_xlfn.LET(_xlpm.custom,_xlfn.XLOOKUP(F631,Data!A:A,Data!C:C),IF(_xlpm.custom="",_xlfn.XLOOKUP(F631,Data!A:A,Data!B:B),_xlpm.custom))</f>
        <v>DNA Splicers</v>
      </c>
      <c r="H631" t="str">
        <f>_xlfn.XLOOKUP(C631,Data!A:A,Data!E:E)</f>
        <v>Key</v>
      </c>
      <c r="J631">
        <f>IF(I631="",C631,_xlfn.XLOOKUP(I631,Data!E:E,Data!A:A,""))</f>
        <v>4</v>
      </c>
      <c r="L631">
        <f t="shared" si="91"/>
        <v>0</v>
      </c>
      <c r="M631">
        <f t="shared" si="92"/>
        <v>0</v>
      </c>
      <c r="N631">
        <f t="shared" si="100"/>
        <v>0</v>
      </c>
      <c r="O631">
        <f t="shared" si="93"/>
        <v>0</v>
      </c>
      <c r="P631">
        <f t="shared" si="94"/>
        <v>0</v>
      </c>
      <c r="R631" t="str">
        <f t="shared" si="95"/>
        <v>00</v>
      </c>
    </row>
    <row r="632" spans="1:18" x14ac:dyDescent="0.4">
      <c r="A632" s="1" t="str">
        <f t="shared" si="98"/>
        <v>13B</v>
      </c>
      <c r="B632">
        <f t="shared" si="99"/>
        <v>0</v>
      </c>
      <c r="C632">
        <f>VALUE(MID(Hex!$C$2,1+2*HEX2DEC(A632)+B632,1))</f>
        <v>4</v>
      </c>
      <c r="D632" s="1" t="str">
        <f t="shared" si="96"/>
        <v>276</v>
      </c>
      <c r="E632">
        <f>HEX2DEC(MID(Hex!$C$8,1+HEX2DEC(Edit!D632)*2,2))</f>
        <v>0</v>
      </c>
      <c r="F632">
        <f t="shared" si="97"/>
        <v>630</v>
      </c>
      <c r="G632" t="str">
        <f>_xlfn.LET(_xlpm.custom,_xlfn.XLOOKUP(F632,Data!A:A,Data!C:C),IF(_xlpm.custom="",_xlfn.XLOOKUP(F632,Data!A:A,Data!B:B),_xlpm.custom))</f>
        <v>Permit</v>
      </c>
      <c r="H632" t="str">
        <f>_xlfn.XLOOKUP(C632,Data!A:A,Data!E:E)</f>
        <v>Key</v>
      </c>
      <c r="J632">
        <f>IF(I632="",C632,_xlfn.XLOOKUP(I632,Data!E:E,Data!A:A,""))</f>
        <v>4</v>
      </c>
      <c r="L632">
        <f t="shared" si="91"/>
        <v>0</v>
      </c>
      <c r="M632">
        <f t="shared" si="92"/>
        <v>0</v>
      </c>
      <c r="N632">
        <f t="shared" si="100"/>
        <v>0</v>
      </c>
      <c r="O632">
        <f t="shared" si="93"/>
        <v>0</v>
      </c>
      <c r="P632">
        <f t="shared" si="94"/>
        <v>0</v>
      </c>
      <c r="R632" t="str">
        <f t="shared" si="95"/>
        <v>00</v>
      </c>
    </row>
    <row r="633" spans="1:18" x14ac:dyDescent="0.4">
      <c r="A633" s="1" t="str">
        <f t="shared" si="98"/>
        <v>13B</v>
      </c>
      <c r="B633">
        <f t="shared" si="99"/>
        <v>1</v>
      </c>
      <c r="C633">
        <f>VALUE(MID(Hex!$C$2,1+2*HEX2DEC(A633)+B633,1))</f>
        <v>4</v>
      </c>
      <c r="D633" s="1" t="str">
        <f t="shared" si="96"/>
        <v>277</v>
      </c>
      <c r="E633">
        <f>HEX2DEC(MID(Hex!$C$8,1+HEX2DEC(Edit!D633)*2,2))</f>
        <v>0</v>
      </c>
      <c r="F633">
        <f t="shared" si="97"/>
        <v>631</v>
      </c>
      <c r="G633" t="str">
        <f>_xlfn.LET(_xlpm.custom,_xlfn.XLOOKUP(F633,Data!A:A,Data!C:C),IF(_xlpm.custom="",_xlfn.XLOOKUP(F633,Data!A:A,Data!B:B),_xlpm.custom))</f>
        <v>Oval Charm</v>
      </c>
      <c r="H633" t="str">
        <f>_xlfn.XLOOKUP(C633,Data!A:A,Data!E:E)</f>
        <v>Key</v>
      </c>
      <c r="J633">
        <f>IF(I633="",C633,_xlfn.XLOOKUP(I633,Data!E:E,Data!A:A,""))</f>
        <v>4</v>
      </c>
      <c r="L633">
        <f t="shared" si="91"/>
        <v>0</v>
      </c>
      <c r="M633">
        <f t="shared" si="92"/>
        <v>0</v>
      </c>
      <c r="N633">
        <f t="shared" si="100"/>
        <v>0</v>
      </c>
      <c r="O633">
        <f t="shared" si="93"/>
        <v>0</v>
      </c>
      <c r="P633">
        <f t="shared" si="94"/>
        <v>0</v>
      </c>
      <c r="R633" t="str">
        <f t="shared" si="95"/>
        <v>00</v>
      </c>
    </row>
    <row r="634" spans="1:18" x14ac:dyDescent="0.4">
      <c r="A634" s="1" t="str">
        <f t="shared" si="98"/>
        <v>13C</v>
      </c>
      <c r="B634">
        <f t="shared" si="99"/>
        <v>0</v>
      </c>
      <c r="C634">
        <f>VALUE(MID(Hex!$C$2,1+2*HEX2DEC(A634)+B634,1))</f>
        <v>4</v>
      </c>
      <c r="D634" s="1" t="str">
        <f t="shared" si="96"/>
        <v>278</v>
      </c>
      <c r="E634">
        <f>HEX2DEC(MID(Hex!$C$8,1+HEX2DEC(Edit!D634)*2,2))</f>
        <v>0</v>
      </c>
      <c r="F634">
        <f t="shared" si="97"/>
        <v>632</v>
      </c>
      <c r="G634" t="str">
        <f>_xlfn.LET(_xlpm.custom,_xlfn.XLOOKUP(F634,Data!A:A,Data!C:C),IF(_xlpm.custom="",_xlfn.XLOOKUP(F634,Data!A:A,Data!B:B),_xlpm.custom))</f>
        <v>Shiny Charm</v>
      </c>
      <c r="H634" t="str">
        <f>_xlfn.XLOOKUP(C634,Data!A:A,Data!E:E)</f>
        <v>Key</v>
      </c>
      <c r="J634">
        <f>IF(I634="",C634,_xlfn.XLOOKUP(I634,Data!E:E,Data!A:A,""))</f>
        <v>4</v>
      </c>
      <c r="L634">
        <f t="shared" si="91"/>
        <v>0</v>
      </c>
      <c r="M634">
        <f t="shared" si="92"/>
        <v>0</v>
      </c>
      <c r="N634">
        <f t="shared" si="100"/>
        <v>0</v>
      </c>
      <c r="O634">
        <f t="shared" si="93"/>
        <v>0</v>
      </c>
      <c r="P634">
        <f t="shared" si="94"/>
        <v>0</v>
      </c>
      <c r="R634" t="str">
        <f t="shared" si="95"/>
        <v>00</v>
      </c>
    </row>
    <row r="635" spans="1:18" x14ac:dyDescent="0.4">
      <c r="A635" s="1" t="str">
        <f t="shared" si="98"/>
        <v>13C</v>
      </c>
      <c r="B635">
        <f t="shared" si="99"/>
        <v>1</v>
      </c>
      <c r="C635">
        <f>VALUE(MID(Hex!$C$2,1+2*HEX2DEC(A635)+B635,1))</f>
        <v>4</v>
      </c>
      <c r="D635" s="1" t="str">
        <f t="shared" si="96"/>
        <v>279</v>
      </c>
      <c r="E635">
        <f>HEX2DEC(MID(Hex!$C$8,1+HEX2DEC(Edit!D635)*2,2))</f>
        <v>0</v>
      </c>
      <c r="F635">
        <f t="shared" si="97"/>
        <v>633</v>
      </c>
      <c r="G635" t="str">
        <f>_xlfn.LET(_xlpm.custom,_xlfn.XLOOKUP(F635,Data!A:A,Data!C:C),IF(_xlpm.custom="",_xlfn.XLOOKUP(F635,Data!A:A,Data!B:B),_xlpm.custom))</f>
        <v>Plasma Card</v>
      </c>
      <c r="H635" t="str">
        <f>_xlfn.XLOOKUP(C635,Data!A:A,Data!E:E)</f>
        <v>Key</v>
      </c>
      <c r="J635">
        <f>IF(I635="",C635,_xlfn.XLOOKUP(I635,Data!E:E,Data!A:A,""))</f>
        <v>4</v>
      </c>
      <c r="L635">
        <f t="shared" si="91"/>
        <v>0</v>
      </c>
      <c r="M635">
        <f t="shared" si="92"/>
        <v>0</v>
      </c>
      <c r="N635">
        <f t="shared" si="100"/>
        <v>0</v>
      </c>
      <c r="O635">
        <f t="shared" si="93"/>
        <v>0</v>
      </c>
      <c r="P635">
        <f t="shared" si="94"/>
        <v>0</v>
      </c>
      <c r="R635" t="str">
        <f t="shared" si="95"/>
        <v>00</v>
      </c>
    </row>
    <row r="636" spans="1:18" x14ac:dyDescent="0.4">
      <c r="A636" s="1" t="str">
        <f t="shared" si="98"/>
        <v>13D</v>
      </c>
      <c r="B636">
        <f t="shared" si="99"/>
        <v>0</v>
      </c>
      <c r="C636">
        <f>VALUE(MID(Hex!$C$2,1+2*HEX2DEC(A636)+B636,1))</f>
        <v>4</v>
      </c>
      <c r="D636" s="1" t="str">
        <f t="shared" si="96"/>
        <v>27A</v>
      </c>
      <c r="E636">
        <f>HEX2DEC(MID(Hex!$C$8,1+HEX2DEC(Edit!D636)*2,2))</f>
        <v>0</v>
      </c>
      <c r="F636">
        <f t="shared" si="97"/>
        <v>634</v>
      </c>
      <c r="G636" t="str">
        <f>_xlfn.LET(_xlpm.custom,_xlfn.XLOOKUP(F636,Data!A:A,Data!C:C),IF(_xlpm.custom="",_xlfn.XLOOKUP(F636,Data!A:A,Data!B:B),_xlpm.custom))</f>
        <v>Grubby Hanky</v>
      </c>
      <c r="H636" t="str">
        <f>_xlfn.XLOOKUP(C636,Data!A:A,Data!E:E)</f>
        <v>Key</v>
      </c>
      <c r="J636">
        <f>IF(I636="",C636,_xlfn.XLOOKUP(I636,Data!E:E,Data!A:A,""))</f>
        <v>4</v>
      </c>
      <c r="L636">
        <f t="shared" si="91"/>
        <v>0</v>
      </c>
      <c r="M636">
        <f t="shared" si="92"/>
        <v>0</v>
      </c>
      <c r="N636">
        <f t="shared" si="100"/>
        <v>0</v>
      </c>
      <c r="O636">
        <f t="shared" si="93"/>
        <v>0</v>
      </c>
      <c r="P636">
        <f t="shared" si="94"/>
        <v>0</v>
      </c>
      <c r="R636" t="str">
        <f t="shared" si="95"/>
        <v>00</v>
      </c>
    </row>
    <row r="637" spans="1:18" x14ac:dyDescent="0.4">
      <c r="A637" s="1" t="str">
        <f t="shared" si="98"/>
        <v>13D</v>
      </c>
      <c r="B637">
        <f t="shared" si="99"/>
        <v>1</v>
      </c>
      <c r="C637">
        <f>VALUE(MID(Hex!$C$2,1+2*HEX2DEC(A637)+B637,1))</f>
        <v>4</v>
      </c>
      <c r="D637" s="1" t="str">
        <f t="shared" si="96"/>
        <v>27B</v>
      </c>
      <c r="E637">
        <f>HEX2DEC(MID(Hex!$C$8,1+HEX2DEC(Edit!D637)*2,2))</f>
        <v>0</v>
      </c>
      <c r="F637">
        <f t="shared" si="97"/>
        <v>635</v>
      </c>
      <c r="G637" t="str">
        <f>_xlfn.LET(_xlpm.custom,_xlfn.XLOOKUP(F637,Data!A:A,Data!C:C),IF(_xlpm.custom="",_xlfn.XLOOKUP(F637,Data!A:A,Data!B:B),_xlpm.custom))</f>
        <v>Colress Machine</v>
      </c>
      <c r="H637" t="str">
        <f>_xlfn.XLOOKUP(C637,Data!A:A,Data!E:E)</f>
        <v>Key</v>
      </c>
      <c r="J637">
        <f>IF(I637="",C637,_xlfn.XLOOKUP(I637,Data!E:E,Data!A:A,""))</f>
        <v>4</v>
      </c>
      <c r="L637">
        <f t="shared" si="91"/>
        <v>0</v>
      </c>
      <c r="M637">
        <f t="shared" si="92"/>
        <v>0</v>
      </c>
      <c r="N637">
        <f t="shared" si="100"/>
        <v>0</v>
      </c>
      <c r="O637">
        <f t="shared" si="93"/>
        <v>0</v>
      </c>
      <c r="P637">
        <f t="shared" si="94"/>
        <v>0</v>
      </c>
      <c r="R637" t="str">
        <f t="shared" si="95"/>
        <v>00</v>
      </c>
    </row>
    <row r="638" spans="1:18" x14ac:dyDescent="0.4">
      <c r="A638" s="1" t="str">
        <f t="shared" si="98"/>
        <v>13E</v>
      </c>
      <c r="B638">
        <f t="shared" si="99"/>
        <v>0</v>
      </c>
      <c r="C638">
        <f>VALUE(MID(Hex!$C$2,1+2*HEX2DEC(A638)+B638,1))</f>
        <v>4</v>
      </c>
      <c r="D638" s="1" t="str">
        <f t="shared" si="96"/>
        <v>27C</v>
      </c>
      <c r="E638">
        <f>HEX2DEC(MID(Hex!$C$8,1+HEX2DEC(Edit!D638)*2,2))</f>
        <v>0</v>
      </c>
      <c r="F638">
        <f t="shared" si="97"/>
        <v>636</v>
      </c>
      <c r="G638" t="str">
        <f>_xlfn.LET(_xlpm.custom,_xlfn.XLOOKUP(F638,Data!A:A,Data!C:C),IF(_xlpm.custom="",_xlfn.XLOOKUP(F638,Data!A:A,Data!B:B),_xlpm.custom))</f>
        <v>Dropped Item</v>
      </c>
      <c r="H638" t="str">
        <f>_xlfn.XLOOKUP(C638,Data!A:A,Data!E:E)</f>
        <v>Key</v>
      </c>
      <c r="J638">
        <f>IF(I638="",C638,_xlfn.XLOOKUP(I638,Data!E:E,Data!A:A,""))</f>
        <v>4</v>
      </c>
      <c r="L638">
        <f t="shared" si="91"/>
        <v>0</v>
      </c>
      <c r="M638">
        <f t="shared" si="92"/>
        <v>0</v>
      </c>
      <c r="N638">
        <f t="shared" si="100"/>
        <v>0</v>
      </c>
      <c r="O638">
        <f t="shared" si="93"/>
        <v>0</v>
      </c>
      <c r="P638">
        <f t="shared" si="94"/>
        <v>0</v>
      </c>
      <c r="R638" t="str">
        <f t="shared" si="95"/>
        <v>00</v>
      </c>
    </row>
    <row r="639" spans="1:18" x14ac:dyDescent="0.4">
      <c r="A639" s="1" t="str">
        <f t="shared" si="98"/>
        <v>13E</v>
      </c>
      <c r="B639">
        <f t="shared" si="99"/>
        <v>1</v>
      </c>
      <c r="C639">
        <f>VALUE(MID(Hex!$C$2,1+2*HEX2DEC(A639)+B639,1))</f>
        <v>4</v>
      </c>
      <c r="D639" s="1" t="str">
        <f t="shared" si="96"/>
        <v>27D</v>
      </c>
      <c r="E639">
        <f>HEX2DEC(MID(Hex!$C$8,1+HEX2DEC(Edit!D639)*2,2))</f>
        <v>0</v>
      </c>
      <c r="F639">
        <f t="shared" si="97"/>
        <v>637</v>
      </c>
      <c r="G639" t="str">
        <f>_xlfn.LET(_xlpm.custom,_xlfn.XLOOKUP(F639,Data!A:A,Data!C:C),IF(_xlpm.custom="",_xlfn.XLOOKUP(F639,Data!A:A,Data!B:B),_xlpm.custom))</f>
        <v>Dropped Item</v>
      </c>
      <c r="H639" t="str">
        <f>_xlfn.XLOOKUP(C639,Data!A:A,Data!E:E)</f>
        <v>Key</v>
      </c>
      <c r="J639">
        <f>IF(I639="",C639,_xlfn.XLOOKUP(I639,Data!E:E,Data!A:A,""))</f>
        <v>4</v>
      </c>
      <c r="L639">
        <f t="shared" si="91"/>
        <v>0</v>
      </c>
      <c r="M639">
        <f t="shared" si="92"/>
        <v>0</v>
      </c>
      <c r="N639">
        <f t="shared" si="100"/>
        <v>0</v>
      </c>
      <c r="O639">
        <f t="shared" si="93"/>
        <v>0</v>
      </c>
      <c r="P639">
        <f t="shared" si="94"/>
        <v>0</v>
      </c>
      <c r="R639" t="str">
        <f t="shared" si="95"/>
        <v>00</v>
      </c>
    </row>
    <row r="640" spans="1:18" x14ac:dyDescent="0.4">
      <c r="A640" s="1" t="str">
        <f t="shared" si="98"/>
        <v>13F</v>
      </c>
      <c r="B640">
        <f t="shared" si="99"/>
        <v>0</v>
      </c>
      <c r="C640">
        <f>VALUE(MID(Hex!$C$2,1+2*HEX2DEC(A640)+B640,1))</f>
        <v>4</v>
      </c>
      <c r="D640" s="1" t="str">
        <f t="shared" si="96"/>
        <v>27E</v>
      </c>
      <c r="E640">
        <f>HEX2DEC(MID(Hex!$C$8,1+HEX2DEC(Edit!D640)*2,2))</f>
        <v>0</v>
      </c>
      <c r="F640">
        <f t="shared" si="97"/>
        <v>638</v>
      </c>
      <c r="G640" t="str">
        <f>_xlfn.LET(_xlpm.custom,_xlfn.XLOOKUP(F640,Data!A:A,Data!C:C),IF(_xlpm.custom="",_xlfn.XLOOKUP(F640,Data!A:A,Data!B:B),_xlpm.custom))</f>
        <v>Reveal Glass</v>
      </c>
      <c r="H640" t="str">
        <f>_xlfn.XLOOKUP(C640,Data!A:A,Data!E:E)</f>
        <v>Key</v>
      </c>
      <c r="J640">
        <f>IF(I640="",C640,_xlfn.XLOOKUP(I640,Data!E:E,Data!A:A,""))</f>
        <v>4</v>
      </c>
      <c r="L640">
        <f t="shared" si="91"/>
        <v>0</v>
      </c>
      <c r="M640">
        <f t="shared" si="92"/>
        <v>0</v>
      </c>
      <c r="N640">
        <f t="shared" si="100"/>
        <v>0</v>
      </c>
      <c r="O640">
        <f t="shared" si="93"/>
        <v>0</v>
      </c>
      <c r="P640">
        <f t="shared" si="94"/>
        <v>0</v>
      </c>
      <c r="R640" t="str">
        <f t="shared" si="95"/>
        <v>00</v>
      </c>
    </row>
    <row r="641" spans="1:18" x14ac:dyDescent="0.4">
      <c r="A641" s="1" t="str">
        <f t="shared" si="98"/>
        <v>13F</v>
      </c>
      <c r="B641">
        <f t="shared" si="99"/>
        <v>1</v>
      </c>
      <c r="C641">
        <f>VALUE(MID(Hex!$C$2,1+2*HEX2DEC(A641)+B641,1))</f>
        <v>0</v>
      </c>
      <c r="D641" s="1" t="str">
        <f t="shared" si="96"/>
        <v>27F</v>
      </c>
      <c r="E641">
        <f>HEX2DEC(MID(Hex!$C$8,1+HEX2DEC(Edit!D641)*2,2))</f>
        <v>0</v>
      </c>
      <c r="F641">
        <f t="shared" si="97"/>
        <v>639</v>
      </c>
      <c r="G641" t="str">
        <f>_xlfn.LET(_xlpm.custom,_xlfn.XLOOKUP(F641,Data!A:A,Data!C:C),IF(_xlpm.custom="",_xlfn.XLOOKUP(F641,Data!A:A,Data!B:B),_xlpm.custom))</f>
        <v>Weakness Policy</v>
      </c>
      <c r="H641" t="str">
        <f>_xlfn.XLOOKUP(C641,Data!A:A,Data!E:E)</f>
        <v>General</v>
      </c>
      <c r="J641">
        <f>IF(I641="",C641,_xlfn.XLOOKUP(I641,Data!E:E,Data!A:A,""))</f>
        <v>0</v>
      </c>
      <c r="L641">
        <f t="shared" si="91"/>
        <v>0</v>
      </c>
      <c r="M641">
        <f t="shared" si="92"/>
        <v>0</v>
      </c>
      <c r="N641">
        <f t="shared" si="100"/>
        <v>0</v>
      </c>
      <c r="O641">
        <f t="shared" si="93"/>
        <v>0</v>
      </c>
      <c r="P641">
        <f t="shared" si="94"/>
        <v>0</v>
      </c>
      <c r="R641" t="str">
        <f t="shared" si="95"/>
        <v>00</v>
      </c>
    </row>
    <row r="642" spans="1:18" x14ac:dyDescent="0.4">
      <c r="A642" s="1" t="str">
        <f t="shared" si="98"/>
        <v>140</v>
      </c>
      <c r="B642">
        <f t="shared" si="99"/>
        <v>0</v>
      </c>
      <c r="C642">
        <f>VALUE(MID(Hex!$C$2,1+2*HEX2DEC(A642)+B642,1))</f>
        <v>0</v>
      </c>
      <c r="D642" s="1" t="str">
        <f t="shared" si="96"/>
        <v>280</v>
      </c>
      <c r="E642">
        <f>HEX2DEC(MID(Hex!$C$8,1+HEX2DEC(Edit!D642)*2,2))</f>
        <v>0</v>
      </c>
      <c r="F642">
        <f t="shared" si="97"/>
        <v>640</v>
      </c>
      <c r="G642" t="str">
        <f>_xlfn.LET(_xlpm.custom,_xlfn.XLOOKUP(F642,Data!A:A,Data!C:C),IF(_xlpm.custom="",_xlfn.XLOOKUP(F642,Data!A:A,Data!B:B),_xlpm.custom))</f>
        <v>Assault Vest</v>
      </c>
      <c r="H642" t="str">
        <f>_xlfn.XLOOKUP(C642,Data!A:A,Data!E:E)</f>
        <v>General</v>
      </c>
      <c r="J642">
        <f>IF(I642="",C642,_xlfn.XLOOKUP(I642,Data!E:E,Data!A:A,""))</f>
        <v>0</v>
      </c>
      <c r="L642">
        <f t="shared" si="91"/>
        <v>0</v>
      </c>
      <c r="M642">
        <f t="shared" si="92"/>
        <v>0</v>
      </c>
      <c r="N642">
        <f t="shared" si="100"/>
        <v>0</v>
      </c>
      <c r="O642">
        <f t="shared" si="93"/>
        <v>0</v>
      </c>
      <c r="P642">
        <f t="shared" si="94"/>
        <v>0</v>
      </c>
      <c r="R642" t="str">
        <f t="shared" si="95"/>
        <v>00</v>
      </c>
    </row>
    <row r="643" spans="1:18" x14ac:dyDescent="0.4">
      <c r="A643" s="1" t="str">
        <f t="shared" si="98"/>
        <v>140</v>
      </c>
      <c r="B643">
        <f t="shared" si="99"/>
        <v>1</v>
      </c>
      <c r="C643">
        <f>VALUE(MID(Hex!$C$2,1+2*HEX2DEC(A643)+B643,1))</f>
        <v>4</v>
      </c>
      <c r="D643" s="1" t="str">
        <f t="shared" si="96"/>
        <v>281</v>
      </c>
      <c r="E643">
        <f>HEX2DEC(MID(Hex!$C$8,1+HEX2DEC(Edit!D643)*2,2))</f>
        <v>0</v>
      </c>
      <c r="F643">
        <f t="shared" si="97"/>
        <v>641</v>
      </c>
      <c r="G643" t="str">
        <f>_xlfn.LET(_xlpm.custom,_xlfn.XLOOKUP(F643,Data!A:A,Data!C:C),IF(_xlpm.custom="",_xlfn.XLOOKUP(F643,Data!A:A,Data!B:B),_xlpm.custom))</f>
        <v>Holo Caster</v>
      </c>
      <c r="H643" t="str">
        <f>_xlfn.XLOOKUP(C643,Data!A:A,Data!E:E)</f>
        <v>Key</v>
      </c>
      <c r="J643">
        <f>IF(I643="",C643,_xlfn.XLOOKUP(I643,Data!E:E,Data!A:A,""))</f>
        <v>4</v>
      </c>
      <c r="L643">
        <f t="shared" ref="L643:L706" si="101">_xlfn.BITAND(E643,1)</f>
        <v>0</v>
      </c>
      <c r="M643">
        <f t="shared" ref="M643:M706" si="102">_xlfn.BITAND($E643,2)</f>
        <v>0</v>
      </c>
      <c r="N643">
        <f t="shared" si="100"/>
        <v>0</v>
      </c>
      <c r="O643">
        <f t="shared" ref="O643:O706" si="103">_xlfn.BITAND($E643,8)</f>
        <v>0</v>
      </c>
      <c r="P643">
        <f t="shared" ref="P643:P706" si="104">_xlfn.BITAND($E643,16)</f>
        <v>0</v>
      </c>
      <c r="R643" t="str">
        <f t="shared" ref="R643:R706" si="105">DEC2HEX(SUM(L643:P643),2)</f>
        <v>00</v>
      </c>
    </row>
    <row r="644" spans="1:18" x14ac:dyDescent="0.4">
      <c r="A644" s="1" t="str">
        <f t="shared" si="98"/>
        <v>141</v>
      </c>
      <c r="B644">
        <f t="shared" si="99"/>
        <v>0</v>
      </c>
      <c r="C644">
        <f>VALUE(MID(Hex!$C$2,1+2*HEX2DEC(A644)+B644,1))</f>
        <v>4</v>
      </c>
      <c r="D644" s="1" t="str">
        <f t="shared" ref="D644:D707" si="106">DEC2HEX(1+HEX2DEC(D643),3)</f>
        <v>282</v>
      </c>
      <c r="E644">
        <f>HEX2DEC(MID(Hex!$C$8,1+HEX2DEC(Edit!D644)*2,2))</f>
        <v>0</v>
      </c>
      <c r="F644">
        <f t="shared" ref="F644:F707" si="107">F643+1</f>
        <v>642</v>
      </c>
      <c r="G644" t="str">
        <f>_xlfn.LET(_xlpm.custom,_xlfn.XLOOKUP(F644,Data!A:A,Data!C:C),IF(_xlpm.custom="",_xlfn.XLOOKUP(F644,Data!A:A,Data!B:B),_xlpm.custom))</f>
        <v>Prof’s Letter</v>
      </c>
      <c r="H644" t="str">
        <f>_xlfn.XLOOKUP(C644,Data!A:A,Data!E:E)</f>
        <v>Key</v>
      </c>
      <c r="J644">
        <f>IF(I644="",C644,_xlfn.XLOOKUP(I644,Data!E:E,Data!A:A,""))</f>
        <v>4</v>
      </c>
      <c r="L644">
        <f t="shared" si="101"/>
        <v>0</v>
      </c>
      <c r="M644">
        <f t="shared" si="102"/>
        <v>0</v>
      </c>
      <c r="N644">
        <f t="shared" si="100"/>
        <v>0</v>
      </c>
      <c r="O644">
        <f t="shared" si="103"/>
        <v>0</v>
      </c>
      <c r="P644">
        <f t="shared" si="104"/>
        <v>0</v>
      </c>
      <c r="R644" t="str">
        <f t="shared" si="105"/>
        <v>00</v>
      </c>
    </row>
    <row r="645" spans="1:18" x14ac:dyDescent="0.4">
      <c r="A645" s="1" t="str">
        <f t="shared" ref="A645:A708" si="108">DEC2HEX(1+HEX2DEC(A643),3)</f>
        <v>141</v>
      </c>
      <c r="B645">
        <f t="shared" ref="B645:B708" si="109">B643</f>
        <v>1</v>
      </c>
      <c r="C645">
        <f>VALUE(MID(Hex!$C$2,1+2*HEX2DEC(A645)+B645,1))</f>
        <v>4</v>
      </c>
      <c r="D645" s="1" t="str">
        <f t="shared" si="106"/>
        <v>283</v>
      </c>
      <c r="E645">
        <f>HEX2DEC(MID(Hex!$C$8,1+HEX2DEC(Edit!D645)*2,2))</f>
        <v>0</v>
      </c>
      <c r="F645">
        <f t="shared" si="107"/>
        <v>643</v>
      </c>
      <c r="G645" t="str">
        <f>_xlfn.LET(_xlpm.custom,_xlfn.XLOOKUP(F645,Data!A:A,Data!C:C),IF(_xlpm.custom="",_xlfn.XLOOKUP(F645,Data!A:A,Data!B:B),_xlpm.custom))</f>
        <v>Roller Skates</v>
      </c>
      <c r="H645" t="str">
        <f>_xlfn.XLOOKUP(C645,Data!A:A,Data!E:E)</f>
        <v>Key</v>
      </c>
      <c r="J645">
        <f>IF(I645="",C645,_xlfn.XLOOKUP(I645,Data!E:E,Data!A:A,""))</f>
        <v>4</v>
      </c>
      <c r="L645">
        <f t="shared" si="101"/>
        <v>0</v>
      </c>
      <c r="M645">
        <f t="shared" si="102"/>
        <v>0</v>
      </c>
      <c r="N645">
        <f t="shared" si="100"/>
        <v>0</v>
      </c>
      <c r="O645">
        <f t="shared" si="103"/>
        <v>0</v>
      </c>
      <c r="P645">
        <f t="shared" si="104"/>
        <v>0</v>
      </c>
      <c r="R645" t="str">
        <f t="shared" si="105"/>
        <v>00</v>
      </c>
    </row>
    <row r="646" spans="1:18" x14ac:dyDescent="0.4">
      <c r="A646" s="1" t="str">
        <f t="shared" si="108"/>
        <v>142</v>
      </c>
      <c r="B646">
        <f t="shared" si="109"/>
        <v>0</v>
      </c>
      <c r="C646">
        <f>VALUE(MID(Hex!$C$2,1+2*HEX2DEC(A646)+B646,1))</f>
        <v>0</v>
      </c>
      <c r="D646" s="1" t="str">
        <f t="shared" si="106"/>
        <v>284</v>
      </c>
      <c r="E646">
        <f>HEX2DEC(MID(Hex!$C$8,1+HEX2DEC(Edit!D646)*2,2))</f>
        <v>0</v>
      </c>
      <c r="F646">
        <f t="shared" si="107"/>
        <v>644</v>
      </c>
      <c r="G646" t="str">
        <f>_xlfn.LET(_xlpm.custom,_xlfn.XLOOKUP(F646,Data!A:A,Data!C:C),IF(_xlpm.custom="",_xlfn.XLOOKUP(F646,Data!A:A,Data!B:B),_xlpm.custom))</f>
        <v>Pixie Plate</v>
      </c>
      <c r="H646" t="str">
        <f>_xlfn.XLOOKUP(C646,Data!A:A,Data!E:E)</f>
        <v>General</v>
      </c>
      <c r="J646">
        <f>IF(I646="",C646,_xlfn.XLOOKUP(I646,Data!E:E,Data!A:A,""))</f>
        <v>0</v>
      </c>
      <c r="L646">
        <f t="shared" si="101"/>
        <v>0</v>
      </c>
      <c r="M646">
        <f t="shared" si="102"/>
        <v>0</v>
      </c>
      <c r="N646">
        <f t="shared" si="100"/>
        <v>0</v>
      </c>
      <c r="O646">
        <f t="shared" si="103"/>
        <v>0</v>
      </c>
      <c r="P646">
        <f t="shared" si="104"/>
        <v>0</v>
      </c>
      <c r="R646" t="str">
        <f t="shared" si="105"/>
        <v>00</v>
      </c>
    </row>
    <row r="647" spans="1:18" x14ac:dyDescent="0.4">
      <c r="A647" s="1" t="str">
        <f t="shared" si="108"/>
        <v>142</v>
      </c>
      <c r="B647">
        <f t="shared" si="109"/>
        <v>1</v>
      </c>
      <c r="C647">
        <f>VALUE(MID(Hex!$C$2,1+2*HEX2DEC(A647)+B647,1))</f>
        <v>1</v>
      </c>
      <c r="D647" s="1" t="str">
        <f t="shared" si="106"/>
        <v>285</v>
      </c>
      <c r="E647">
        <f>HEX2DEC(MID(Hex!$C$8,1+HEX2DEC(Edit!D647)*2,2))</f>
        <v>0</v>
      </c>
      <c r="F647">
        <f t="shared" si="107"/>
        <v>645</v>
      </c>
      <c r="G647" t="str">
        <f>_xlfn.LET(_xlpm.custom,_xlfn.XLOOKUP(F647,Data!A:A,Data!C:C),IF(_xlpm.custom="",_xlfn.XLOOKUP(F647,Data!A:A,Data!B:B),_xlpm.custom))</f>
        <v>Ability Capsule</v>
      </c>
      <c r="H647" t="str">
        <f>_xlfn.XLOOKUP(C647,Data!A:A,Data!E:E)</f>
        <v>Medicine</v>
      </c>
      <c r="J647">
        <f>IF(I647="",C647,_xlfn.XLOOKUP(I647,Data!E:E,Data!A:A,""))</f>
        <v>1</v>
      </c>
      <c r="L647">
        <f t="shared" si="101"/>
        <v>0</v>
      </c>
      <c r="M647">
        <f t="shared" si="102"/>
        <v>0</v>
      </c>
      <c r="N647">
        <f t="shared" si="100"/>
        <v>0</v>
      </c>
      <c r="O647">
        <f t="shared" si="103"/>
        <v>0</v>
      </c>
      <c r="P647">
        <f t="shared" si="104"/>
        <v>0</v>
      </c>
      <c r="R647" t="str">
        <f t="shared" si="105"/>
        <v>00</v>
      </c>
    </row>
    <row r="648" spans="1:18" x14ac:dyDescent="0.4">
      <c r="A648" s="1" t="str">
        <f t="shared" si="108"/>
        <v>143</v>
      </c>
      <c r="B648">
        <f t="shared" si="109"/>
        <v>0</v>
      </c>
      <c r="C648">
        <f>VALUE(MID(Hex!$C$2,1+2*HEX2DEC(A648)+B648,1))</f>
        <v>0</v>
      </c>
      <c r="D648" s="1" t="str">
        <f t="shared" si="106"/>
        <v>286</v>
      </c>
      <c r="E648">
        <f>HEX2DEC(MID(Hex!$C$8,1+HEX2DEC(Edit!D648)*2,2))</f>
        <v>0</v>
      </c>
      <c r="F648">
        <f t="shared" si="107"/>
        <v>646</v>
      </c>
      <c r="G648" t="str">
        <f>_xlfn.LET(_xlpm.custom,_xlfn.XLOOKUP(F648,Data!A:A,Data!C:C),IF(_xlpm.custom="",_xlfn.XLOOKUP(F648,Data!A:A,Data!B:B),_xlpm.custom))</f>
        <v>Whipped Dream</v>
      </c>
      <c r="H648" t="str">
        <f>_xlfn.XLOOKUP(C648,Data!A:A,Data!E:E)</f>
        <v>General</v>
      </c>
      <c r="J648">
        <f>IF(I648="",C648,_xlfn.XLOOKUP(I648,Data!E:E,Data!A:A,""))</f>
        <v>0</v>
      </c>
      <c r="L648">
        <f t="shared" si="101"/>
        <v>0</v>
      </c>
      <c r="M648">
        <f t="shared" si="102"/>
        <v>0</v>
      </c>
      <c r="N648">
        <f t="shared" si="100"/>
        <v>0</v>
      </c>
      <c r="O648">
        <f t="shared" si="103"/>
        <v>0</v>
      </c>
      <c r="P648">
        <f t="shared" si="104"/>
        <v>0</v>
      </c>
      <c r="R648" t="str">
        <f t="shared" si="105"/>
        <v>00</v>
      </c>
    </row>
    <row r="649" spans="1:18" x14ac:dyDescent="0.4">
      <c r="A649" s="1" t="str">
        <f t="shared" si="108"/>
        <v>143</v>
      </c>
      <c r="B649">
        <f t="shared" si="109"/>
        <v>1</v>
      </c>
      <c r="C649">
        <f>VALUE(MID(Hex!$C$2,1+2*HEX2DEC(A649)+B649,1))</f>
        <v>0</v>
      </c>
      <c r="D649" s="1" t="str">
        <f t="shared" si="106"/>
        <v>287</v>
      </c>
      <c r="E649">
        <f>HEX2DEC(MID(Hex!$C$8,1+HEX2DEC(Edit!D649)*2,2))</f>
        <v>0</v>
      </c>
      <c r="F649">
        <f t="shared" si="107"/>
        <v>647</v>
      </c>
      <c r="G649" t="str">
        <f>_xlfn.LET(_xlpm.custom,_xlfn.XLOOKUP(F649,Data!A:A,Data!C:C),IF(_xlpm.custom="",_xlfn.XLOOKUP(F649,Data!A:A,Data!B:B),_xlpm.custom))</f>
        <v>Sachet</v>
      </c>
      <c r="H649" t="str">
        <f>_xlfn.XLOOKUP(C649,Data!A:A,Data!E:E)</f>
        <v>General</v>
      </c>
      <c r="J649">
        <f>IF(I649="",C649,_xlfn.XLOOKUP(I649,Data!E:E,Data!A:A,""))</f>
        <v>0</v>
      </c>
      <c r="L649">
        <f t="shared" si="101"/>
        <v>0</v>
      </c>
      <c r="M649">
        <f t="shared" si="102"/>
        <v>0</v>
      </c>
      <c r="N649">
        <f t="shared" si="100"/>
        <v>0</v>
      </c>
      <c r="O649">
        <f t="shared" si="103"/>
        <v>0</v>
      </c>
      <c r="P649">
        <f t="shared" si="104"/>
        <v>0</v>
      </c>
      <c r="R649" t="str">
        <f t="shared" si="105"/>
        <v>00</v>
      </c>
    </row>
    <row r="650" spans="1:18" x14ac:dyDescent="0.4">
      <c r="A650" s="1" t="str">
        <f t="shared" si="108"/>
        <v>144</v>
      </c>
      <c r="B650">
        <f t="shared" si="109"/>
        <v>0</v>
      </c>
      <c r="C650">
        <f>VALUE(MID(Hex!$C$2,1+2*HEX2DEC(A650)+B650,1))</f>
        <v>0</v>
      </c>
      <c r="D650" s="1" t="str">
        <f t="shared" si="106"/>
        <v>288</v>
      </c>
      <c r="E650">
        <f>HEX2DEC(MID(Hex!$C$8,1+HEX2DEC(Edit!D650)*2,2))</f>
        <v>0</v>
      </c>
      <c r="F650">
        <f t="shared" si="107"/>
        <v>648</v>
      </c>
      <c r="G650" t="str">
        <f>_xlfn.LET(_xlpm.custom,_xlfn.XLOOKUP(F650,Data!A:A,Data!C:C),IF(_xlpm.custom="",_xlfn.XLOOKUP(F650,Data!A:A,Data!B:B),_xlpm.custom))</f>
        <v>Luminous Moss</v>
      </c>
      <c r="H650" t="str">
        <f>_xlfn.XLOOKUP(C650,Data!A:A,Data!E:E)</f>
        <v>General</v>
      </c>
      <c r="J650">
        <f>IF(I650="",C650,_xlfn.XLOOKUP(I650,Data!E:E,Data!A:A,""))</f>
        <v>0</v>
      </c>
      <c r="L650">
        <f t="shared" si="101"/>
        <v>0</v>
      </c>
      <c r="M650">
        <f t="shared" si="102"/>
        <v>0</v>
      </c>
      <c r="N650">
        <f t="shared" si="100"/>
        <v>0</v>
      </c>
      <c r="O650">
        <f t="shared" si="103"/>
        <v>0</v>
      </c>
      <c r="P650">
        <f t="shared" si="104"/>
        <v>0</v>
      </c>
      <c r="R650" t="str">
        <f t="shared" si="105"/>
        <v>00</v>
      </c>
    </row>
    <row r="651" spans="1:18" x14ac:dyDescent="0.4">
      <c r="A651" s="1" t="str">
        <f t="shared" si="108"/>
        <v>144</v>
      </c>
      <c r="B651">
        <f t="shared" si="109"/>
        <v>1</v>
      </c>
      <c r="C651">
        <f>VALUE(MID(Hex!$C$2,1+2*HEX2DEC(A651)+B651,1))</f>
        <v>0</v>
      </c>
      <c r="D651" s="1" t="str">
        <f t="shared" si="106"/>
        <v>289</v>
      </c>
      <c r="E651">
        <f>HEX2DEC(MID(Hex!$C$8,1+HEX2DEC(Edit!D651)*2,2))</f>
        <v>0</v>
      </c>
      <c r="F651">
        <f t="shared" si="107"/>
        <v>649</v>
      </c>
      <c r="G651" t="str">
        <f>_xlfn.LET(_xlpm.custom,_xlfn.XLOOKUP(F651,Data!A:A,Data!C:C),IF(_xlpm.custom="",_xlfn.XLOOKUP(F651,Data!A:A,Data!B:B),_xlpm.custom))</f>
        <v>Snowball</v>
      </c>
      <c r="H651" t="str">
        <f>_xlfn.XLOOKUP(C651,Data!A:A,Data!E:E)</f>
        <v>General</v>
      </c>
      <c r="J651">
        <f>IF(I651="",C651,_xlfn.XLOOKUP(I651,Data!E:E,Data!A:A,""))</f>
        <v>0</v>
      </c>
      <c r="L651">
        <f t="shared" si="101"/>
        <v>0</v>
      </c>
      <c r="M651">
        <f t="shared" si="102"/>
        <v>0</v>
      </c>
      <c r="N651">
        <f t="shared" si="100"/>
        <v>0</v>
      </c>
      <c r="O651">
        <f t="shared" si="103"/>
        <v>0</v>
      </c>
      <c r="P651">
        <f t="shared" si="104"/>
        <v>0</v>
      </c>
      <c r="R651" t="str">
        <f t="shared" si="105"/>
        <v>00</v>
      </c>
    </row>
    <row r="652" spans="1:18" x14ac:dyDescent="0.4">
      <c r="A652" s="1" t="str">
        <f t="shared" si="108"/>
        <v>145</v>
      </c>
      <c r="B652">
        <f t="shared" si="109"/>
        <v>0</v>
      </c>
      <c r="C652">
        <f>VALUE(MID(Hex!$C$2,1+2*HEX2DEC(A652)+B652,1))</f>
        <v>0</v>
      </c>
      <c r="D652" s="1" t="str">
        <f t="shared" si="106"/>
        <v>28A</v>
      </c>
      <c r="E652">
        <f>HEX2DEC(MID(Hex!$C$8,1+HEX2DEC(Edit!D652)*2,2))</f>
        <v>0</v>
      </c>
      <c r="F652">
        <f t="shared" si="107"/>
        <v>650</v>
      </c>
      <c r="G652" t="str">
        <f>_xlfn.LET(_xlpm.custom,_xlfn.XLOOKUP(F652,Data!A:A,Data!C:C),IF(_xlpm.custom="",_xlfn.XLOOKUP(F652,Data!A:A,Data!B:B),_xlpm.custom))</f>
        <v>Safety Goggles</v>
      </c>
      <c r="H652" t="str">
        <f>_xlfn.XLOOKUP(C652,Data!A:A,Data!E:E)</f>
        <v>General</v>
      </c>
      <c r="J652">
        <f>IF(I652="",C652,_xlfn.XLOOKUP(I652,Data!E:E,Data!A:A,""))</f>
        <v>0</v>
      </c>
      <c r="L652">
        <f t="shared" si="101"/>
        <v>0</v>
      </c>
      <c r="M652">
        <f t="shared" si="102"/>
        <v>0</v>
      </c>
      <c r="N652">
        <f t="shared" si="100"/>
        <v>0</v>
      </c>
      <c r="O652">
        <f t="shared" si="103"/>
        <v>0</v>
      </c>
      <c r="P652">
        <f t="shared" si="104"/>
        <v>0</v>
      </c>
      <c r="R652" t="str">
        <f t="shared" si="105"/>
        <v>00</v>
      </c>
    </row>
    <row r="653" spans="1:18" x14ac:dyDescent="0.4">
      <c r="A653" s="1" t="str">
        <f t="shared" si="108"/>
        <v>145</v>
      </c>
      <c r="B653">
        <f t="shared" si="109"/>
        <v>1</v>
      </c>
      <c r="C653">
        <f>VALUE(MID(Hex!$C$2,1+2*HEX2DEC(A653)+B653,1))</f>
        <v>4</v>
      </c>
      <c r="D653" s="1" t="str">
        <f t="shared" si="106"/>
        <v>28B</v>
      </c>
      <c r="E653">
        <f>HEX2DEC(MID(Hex!$C$8,1+HEX2DEC(Edit!D653)*2,2))</f>
        <v>0</v>
      </c>
      <c r="F653">
        <f t="shared" si="107"/>
        <v>651</v>
      </c>
      <c r="G653" t="str">
        <f>_xlfn.LET(_xlpm.custom,_xlfn.XLOOKUP(F653,Data!A:A,Data!C:C),IF(_xlpm.custom="",_xlfn.XLOOKUP(F653,Data!A:A,Data!B:B),_xlpm.custom))</f>
        <v>Poké Flute</v>
      </c>
      <c r="H653" t="str">
        <f>_xlfn.XLOOKUP(C653,Data!A:A,Data!E:E)</f>
        <v>Key</v>
      </c>
      <c r="J653">
        <f>IF(I653="",C653,_xlfn.XLOOKUP(I653,Data!E:E,Data!A:A,""))</f>
        <v>4</v>
      </c>
      <c r="L653">
        <f t="shared" si="101"/>
        <v>0</v>
      </c>
      <c r="M653">
        <f t="shared" si="102"/>
        <v>0</v>
      </c>
      <c r="N653">
        <f t="shared" si="100"/>
        <v>0</v>
      </c>
      <c r="O653">
        <f t="shared" si="103"/>
        <v>0</v>
      </c>
      <c r="P653">
        <f t="shared" si="104"/>
        <v>0</v>
      </c>
      <c r="R653" t="str">
        <f t="shared" si="105"/>
        <v>00</v>
      </c>
    </row>
    <row r="654" spans="1:18" x14ac:dyDescent="0.4">
      <c r="A654" s="1" t="str">
        <f t="shared" si="108"/>
        <v>146</v>
      </c>
      <c r="B654">
        <f t="shared" si="109"/>
        <v>0</v>
      </c>
      <c r="C654">
        <f>VALUE(MID(Hex!$C$2,1+2*HEX2DEC(A654)+B654,1))</f>
        <v>0</v>
      </c>
      <c r="D654" s="1" t="str">
        <f t="shared" si="106"/>
        <v>28C</v>
      </c>
      <c r="E654">
        <f>HEX2DEC(MID(Hex!$C$8,1+HEX2DEC(Edit!D654)*2,2))</f>
        <v>0</v>
      </c>
      <c r="F654">
        <f t="shared" si="107"/>
        <v>652</v>
      </c>
      <c r="G654" t="str">
        <f>_xlfn.LET(_xlpm.custom,_xlfn.XLOOKUP(F654,Data!A:A,Data!C:C),IF(_xlpm.custom="",_xlfn.XLOOKUP(F654,Data!A:A,Data!B:B),_xlpm.custom))</f>
        <v>Rich Mulch</v>
      </c>
      <c r="H654" t="str">
        <f>_xlfn.XLOOKUP(C654,Data!A:A,Data!E:E)</f>
        <v>General</v>
      </c>
      <c r="J654">
        <f>IF(I654="",C654,_xlfn.XLOOKUP(I654,Data!E:E,Data!A:A,""))</f>
        <v>0</v>
      </c>
      <c r="L654">
        <f t="shared" si="101"/>
        <v>0</v>
      </c>
      <c r="M654">
        <f t="shared" si="102"/>
        <v>0</v>
      </c>
      <c r="N654">
        <f t="shared" si="100"/>
        <v>0</v>
      </c>
      <c r="O654">
        <f t="shared" si="103"/>
        <v>0</v>
      </c>
      <c r="P654">
        <f t="shared" si="104"/>
        <v>0</v>
      </c>
      <c r="R654" t="str">
        <f t="shared" si="105"/>
        <v>00</v>
      </c>
    </row>
    <row r="655" spans="1:18" x14ac:dyDescent="0.4">
      <c r="A655" s="1" t="str">
        <f t="shared" si="108"/>
        <v>146</v>
      </c>
      <c r="B655">
        <f t="shared" si="109"/>
        <v>1</v>
      </c>
      <c r="C655">
        <f>VALUE(MID(Hex!$C$2,1+2*HEX2DEC(A655)+B655,1))</f>
        <v>0</v>
      </c>
      <c r="D655" s="1" t="str">
        <f t="shared" si="106"/>
        <v>28D</v>
      </c>
      <c r="E655">
        <f>HEX2DEC(MID(Hex!$C$8,1+HEX2DEC(Edit!D655)*2,2))</f>
        <v>0</v>
      </c>
      <c r="F655">
        <f t="shared" si="107"/>
        <v>653</v>
      </c>
      <c r="G655" t="str">
        <f>_xlfn.LET(_xlpm.custom,_xlfn.XLOOKUP(F655,Data!A:A,Data!C:C),IF(_xlpm.custom="",_xlfn.XLOOKUP(F655,Data!A:A,Data!B:B),_xlpm.custom))</f>
        <v>Surprise Mulch</v>
      </c>
      <c r="H655" t="str">
        <f>_xlfn.XLOOKUP(C655,Data!A:A,Data!E:E)</f>
        <v>General</v>
      </c>
      <c r="J655">
        <f>IF(I655="",C655,_xlfn.XLOOKUP(I655,Data!E:E,Data!A:A,""))</f>
        <v>0</v>
      </c>
      <c r="L655">
        <f t="shared" si="101"/>
        <v>0</v>
      </c>
      <c r="M655">
        <f t="shared" si="102"/>
        <v>0</v>
      </c>
      <c r="N655">
        <f t="shared" si="100"/>
        <v>0</v>
      </c>
      <c r="O655">
        <f t="shared" si="103"/>
        <v>0</v>
      </c>
      <c r="P655">
        <f t="shared" si="104"/>
        <v>0</v>
      </c>
      <c r="R655" t="str">
        <f t="shared" si="105"/>
        <v>00</v>
      </c>
    </row>
    <row r="656" spans="1:18" x14ac:dyDescent="0.4">
      <c r="A656" s="1" t="str">
        <f t="shared" si="108"/>
        <v>147</v>
      </c>
      <c r="B656">
        <f t="shared" si="109"/>
        <v>0</v>
      </c>
      <c r="C656">
        <f>VALUE(MID(Hex!$C$2,1+2*HEX2DEC(A656)+B656,1))</f>
        <v>0</v>
      </c>
      <c r="D656" s="1" t="str">
        <f t="shared" si="106"/>
        <v>28E</v>
      </c>
      <c r="E656">
        <f>HEX2DEC(MID(Hex!$C$8,1+HEX2DEC(Edit!D656)*2,2))</f>
        <v>0</v>
      </c>
      <c r="F656">
        <f t="shared" si="107"/>
        <v>654</v>
      </c>
      <c r="G656" t="str">
        <f>_xlfn.LET(_xlpm.custom,_xlfn.XLOOKUP(F656,Data!A:A,Data!C:C),IF(_xlpm.custom="",_xlfn.XLOOKUP(F656,Data!A:A,Data!B:B),_xlpm.custom))</f>
        <v>Boost Mulch</v>
      </c>
      <c r="H656" t="str">
        <f>_xlfn.XLOOKUP(C656,Data!A:A,Data!E:E)</f>
        <v>General</v>
      </c>
      <c r="J656">
        <f>IF(I656="",C656,_xlfn.XLOOKUP(I656,Data!E:E,Data!A:A,""))</f>
        <v>0</v>
      </c>
      <c r="L656">
        <f t="shared" si="101"/>
        <v>0</v>
      </c>
      <c r="M656">
        <f t="shared" si="102"/>
        <v>0</v>
      </c>
      <c r="N656">
        <f t="shared" si="100"/>
        <v>0</v>
      </c>
      <c r="O656">
        <f t="shared" si="103"/>
        <v>0</v>
      </c>
      <c r="P656">
        <f t="shared" si="104"/>
        <v>0</v>
      </c>
      <c r="R656" t="str">
        <f t="shared" si="105"/>
        <v>00</v>
      </c>
    </row>
    <row r="657" spans="1:18" x14ac:dyDescent="0.4">
      <c r="A657" s="1" t="str">
        <f t="shared" si="108"/>
        <v>147</v>
      </c>
      <c r="B657">
        <f t="shared" si="109"/>
        <v>1</v>
      </c>
      <c r="C657">
        <f>VALUE(MID(Hex!$C$2,1+2*HEX2DEC(A657)+B657,1))</f>
        <v>0</v>
      </c>
      <c r="D657" s="1" t="str">
        <f t="shared" si="106"/>
        <v>28F</v>
      </c>
      <c r="E657">
        <f>HEX2DEC(MID(Hex!$C$8,1+HEX2DEC(Edit!D657)*2,2))</f>
        <v>0</v>
      </c>
      <c r="F657">
        <f t="shared" si="107"/>
        <v>655</v>
      </c>
      <c r="G657" t="str">
        <f>_xlfn.LET(_xlpm.custom,_xlfn.XLOOKUP(F657,Data!A:A,Data!C:C),IF(_xlpm.custom="",_xlfn.XLOOKUP(F657,Data!A:A,Data!B:B),_xlpm.custom))</f>
        <v>Amaze Mulch</v>
      </c>
      <c r="H657" t="str">
        <f>_xlfn.XLOOKUP(C657,Data!A:A,Data!E:E)</f>
        <v>General</v>
      </c>
      <c r="J657">
        <f>IF(I657="",C657,_xlfn.XLOOKUP(I657,Data!E:E,Data!A:A,""))</f>
        <v>0</v>
      </c>
      <c r="L657">
        <f t="shared" si="101"/>
        <v>0</v>
      </c>
      <c r="M657">
        <f t="shared" si="102"/>
        <v>0</v>
      </c>
      <c r="N657">
        <f t="shared" si="100"/>
        <v>0</v>
      </c>
      <c r="O657">
        <f t="shared" si="103"/>
        <v>0</v>
      </c>
      <c r="P657">
        <f t="shared" si="104"/>
        <v>0</v>
      </c>
      <c r="R657" t="str">
        <f t="shared" si="105"/>
        <v>00</v>
      </c>
    </row>
    <row r="658" spans="1:18" x14ac:dyDescent="0.4">
      <c r="A658" s="1" t="str">
        <f t="shared" si="108"/>
        <v>148</v>
      </c>
      <c r="B658">
        <f t="shared" si="109"/>
        <v>0</v>
      </c>
      <c r="C658">
        <f>VALUE(MID(Hex!$C$2,1+2*HEX2DEC(A658)+B658,1))</f>
        <v>0</v>
      </c>
      <c r="D658" s="1" t="str">
        <f t="shared" si="106"/>
        <v>290</v>
      </c>
      <c r="E658">
        <f>HEX2DEC(MID(Hex!$C$8,1+HEX2DEC(Edit!D658)*2,2))</f>
        <v>0</v>
      </c>
      <c r="F658">
        <f t="shared" si="107"/>
        <v>656</v>
      </c>
      <c r="G658" t="str">
        <f>_xlfn.LET(_xlpm.custom,_xlfn.XLOOKUP(F658,Data!A:A,Data!C:C),IF(_xlpm.custom="",_xlfn.XLOOKUP(F658,Data!A:A,Data!B:B),_xlpm.custom))</f>
        <v>Gengarite</v>
      </c>
      <c r="H658" t="str">
        <f>_xlfn.XLOOKUP(C658,Data!A:A,Data!E:E)</f>
        <v>General</v>
      </c>
      <c r="J658">
        <f>IF(I658="",C658,_xlfn.XLOOKUP(I658,Data!E:E,Data!A:A,""))</f>
        <v>0</v>
      </c>
      <c r="L658">
        <f t="shared" si="101"/>
        <v>0</v>
      </c>
      <c r="M658">
        <f t="shared" si="102"/>
        <v>0</v>
      </c>
      <c r="N658">
        <f t="shared" si="100"/>
        <v>0</v>
      </c>
      <c r="O658">
        <f t="shared" si="103"/>
        <v>0</v>
      </c>
      <c r="P658">
        <f t="shared" si="104"/>
        <v>0</v>
      </c>
      <c r="R658" t="str">
        <f t="shared" si="105"/>
        <v>00</v>
      </c>
    </row>
    <row r="659" spans="1:18" x14ac:dyDescent="0.4">
      <c r="A659" s="1" t="str">
        <f t="shared" si="108"/>
        <v>148</v>
      </c>
      <c r="B659">
        <f t="shared" si="109"/>
        <v>1</v>
      </c>
      <c r="C659">
        <f>VALUE(MID(Hex!$C$2,1+2*HEX2DEC(A659)+B659,1))</f>
        <v>0</v>
      </c>
      <c r="D659" s="1" t="str">
        <f t="shared" si="106"/>
        <v>291</v>
      </c>
      <c r="E659">
        <f>HEX2DEC(MID(Hex!$C$8,1+HEX2DEC(Edit!D659)*2,2))</f>
        <v>0</v>
      </c>
      <c r="F659">
        <f t="shared" si="107"/>
        <v>657</v>
      </c>
      <c r="G659" t="str">
        <f>_xlfn.LET(_xlpm.custom,_xlfn.XLOOKUP(F659,Data!A:A,Data!C:C),IF(_xlpm.custom="",_xlfn.XLOOKUP(F659,Data!A:A,Data!B:B),_xlpm.custom))</f>
        <v>Gardevoirite</v>
      </c>
      <c r="H659" t="str">
        <f>_xlfn.XLOOKUP(C659,Data!A:A,Data!E:E)</f>
        <v>General</v>
      </c>
      <c r="J659">
        <f>IF(I659="",C659,_xlfn.XLOOKUP(I659,Data!E:E,Data!A:A,""))</f>
        <v>0</v>
      </c>
      <c r="L659">
        <f t="shared" si="101"/>
        <v>0</v>
      </c>
      <c r="M659">
        <f t="shared" si="102"/>
        <v>0</v>
      </c>
      <c r="N659">
        <f t="shared" si="100"/>
        <v>0</v>
      </c>
      <c r="O659">
        <f t="shared" si="103"/>
        <v>0</v>
      </c>
      <c r="P659">
        <f t="shared" si="104"/>
        <v>0</v>
      </c>
      <c r="R659" t="str">
        <f t="shared" si="105"/>
        <v>00</v>
      </c>
    </row>
    <row r="660" spans="1:18" x14ac:dyDescent="0.4">
      <c r="A660" s="1" t="str">
        <f t="shared" si="108"/>
        <v>149</v>
      </c>
      <c r="B660">
        <f t="shared" si="109"/>
        <v>0</v>
      </c>
      <c r="C660">
        <f>VALUE(MID(Hex!$C$2,1+2*HEX2DEC(A660)+B660,1))</f>
        <v>0</v>
      </c>
      <c r="D660" s="1" t="str">
        <f t="shared" si="106"/>
        <v>292</v>
      </c>
      <c r="E660">
        <f>HEX2DEC(MID(Hex!$C$8,1+HEX2DEC(Edit!D660)*2,2))</f>
        <v>0</v>
      </c>
      <c r="F660">
        <f t="shared" si="107"/>
        <v>658</v>
      </c>
      <c r="G660" t="str">
        <f>_xlfn.LET(_xlpm.custom,_xlfn.XLOOKUP(F660,Data!A:A,Data!C:C),IF(_xlpm.custom="",_xlfn.XLOOKUP(F660,Data!A:A,Data!B:B),_xlpm.custom))</f>
        <v>Ampharosite</v>
      </c>
      <c r="H660" t="str">
        <f>_xlfn.XLOOKUP(C660,Data!A:A,Data!E:E)</f>
        <v>General</v>
      </c>
      <c r="J660">
        <f>IF(I660="",C660,_xlfn.XLOOKUP(I660,Data!E:E,Data!A:A,""))</f>
        <v>0</v>
      </c>
      <c r="L660">
        <f t="shared" si="101"/>
        <v>0</v>
      </c>
      <c r="M660">
        <f t="shared" si="102"/>
        <v>0</v>
      </c>
      <c r="N660">
        <f t="shared" si="100"/>
        <v>0</v>
      </c>
      <c r="O660">
        <f t="shared" si="103"/>
        <v>0</v>
      </c>
      <c r="P660">
        <f t="shared" si="104"/>
        <v>0</v>
      </c>
      <c r="R660" t="str">
        <f t="shared" si="105"/>
        <v>00</v>
      </c>
    </row>
    <row r="661" spans="1:18" x14ac:dyDescent="0.4">
      <c r="A661" s="1" t="str">
        <f t="shared" si="108"/>
        <v>149</v>
      </c>
      <c r="B661">
        <f t="shared" si="109"/>
        <v>1</v>
      </c>
      <c r="C661">
        <f>VALUE(MID(Hex!$C$2,1+2*HEX2DEC(A661)+B661,1))</f>
        <v>0</v>
      </c>
      <c r="D661" s="1" t="str">
        <f t="shared" si="106"/>
        <v>293</v>
      </c>
      <c r="E661">
        <f>HEX2DEC(MID(Hex!$C$8,1+HEX2DEC(Edit!D661)*2,2))</f>
        <v>0</v>
      </c>
      <c r="F661">
        <f t="shared" si="107"/>
        <v>659</v>
      </c>
      <c r="G661" t="str">
        <f>_xlfn.LET(_xlpm.custom,_xlfn.XLOOKUP(F661,Data!A:A,Data!C:C),IF(_xlpm.custom="",_xlfn.XLOOKUP(F661,Data!A:A,Data!B:B),_xlpm.custom))</f>
        <v>Venusaurite</v>
      </c>
      <c r="H661" t="str">
        <f>_xlfn.XLOOKUP(C661,Data!A:A,Data!E:E)</f>
        <v>General</v>
      </c>
      <c r="J661">
        <f>IF(I661="",C661,_xlfn.XLOOKUP(I661,Data!E:E,Data!A:A,""))</f>
        <v>0</v>
      </c>
      <c r="L661">
        <f t="shared" si="101"/>
        <v>0</v>
      </c>
      <c r="M661">
        <f t="shared" si="102"/>
        <v>0</v>
      </c>
      <c r="N661">
        <f t="shared" ref="N661:N724" si="110">_xlfn.BITAND($E661,4)</f>
        <v>0</v>
      </c>
      <c r="O661">
        <f t="shared" si="103"/>
        <v>0</v>
      </c>
      <c r="P661">
        <f t="shared" si="104"/>
        <v>0</v>
      </c>
      <c r="R661" t="str">
        <f t="shared" si="105"/>
        <v>00</v>
      </c>
    </row>
    <row r="662" spans="1:18" x14ac:dyDescent="0.4">
      <c r="A662" s="1" t="str">
        <f t="shared" si="108"/>
        <v>14A</v>
      </c>
      <c r="B662">
        <f t="shared" si="109"/>
        <v>0</v>
      </c>
      <c r="C662">
        <f>VALUE(MID(Hex!$C$2,1+2*HEX2DEC(A662)+B662,1))</f>
        <v>0</v>
      </c>
      <c r="D662" s="1" t="str">
        <f t="shared" si="106"/>
        <v>294</v>
      </c>
      <c r="E662">
        <f>HEX2DEC(MID(Hex!$C$8,1+HEX2DEC(Edit!D662)*2,2))</f>
        <v>0</v>
      </c>
      <c r="F662">
        <f t="shared" si="107"/>
        <v>660</v>
      </c>
      <c r="G662" t="str">
        <f>_xlfn.LET(_xlpm.custom,_xlfn.XLOOKUP(F662,Data!A:A,Data!C:C),IF(_xlpm.custom="",_xlfn.XLOOKUP(F662,Data!A:A,Data!B:B),_xlpm.custom))</f>
        <v>Charizardite X</v>
      </c>
      <c r="H662" t="str">
        <f>_xlfn.XLOOKUP(C662,Data!A:A,Data!E:E)</f>
        <v>General</v>
      </c>
      <c r="J662">
        <f>IF(I662="",C662,_xlfn.XLOOKUP(I662,Data!E:E,Data!A:A,""))</f>
        <v>0</v>
      </c>
      <c r="L662">
        <f t="shared" si="101"/>
        <v>0</v>
      </c>
      <c r="M662">
        <f t="shared" si="102"/>
        <v>0</v>
      </c>
      <c r="N662">
        <f t="shared" si="110"/>
        <v>0</v>
      </c>
      <c r="O662">
        <f t="shared" si="103"/>
        <v>0</v>
      </c>
      <c r="P662">
        <f t="shared" si="104"/>
        <v>0</v>
      </c>
      <c r="R662" t="str">
        <f t="shared" si="105"/>
        <v>00</v>
      </c>
    </row>
    <row r="663" spans="1:18" x14ac:dyDescent="0.4">
      <c r="A663" s="1" t="str">
        <f t="shared" si="108"/>
        <v>14A</v>
      </c>
      <c r="B663">
        <f t="shared" si="109"/>
        <v>1</v>
      </c>
      <c r="C663">
        <f>VALUE(MID(Hex!$C$2,1+2*HEX2DEC(A663)+B663,1))</f>
        <v>0</v>
      </c>
      <c r="D663" s="1" t="str">
        <f t="shared" si="106"/>
        <v>295</v>
      </c>
      <c r="E663">
        <f>HEX2DEC(MID(Hex!$C$8,1+HEX2DEC(Edit!D663)*2,2))</f>
        <v>0</v>
      </c>
      <c r="F663">
        <f t="shared" si="107"/>
        <v>661</v>
      </c>
      <c r="G663" t="str">
        <f>_xlfn.LET(_xlpm.custom,_xlfn.XLOOKUP(F663,Data!A:A,Data!C:C),IF(_xlpm.custom="",_xlfn.XLOOKUP(F663,Data!A:A,Data!B:B),_xlpm.custom))</f>
        <v>Blastoisinite</v>
      </c>
      <c r="H663" t="str">
        <f>_xlfn.XLOOKUP(C663,Data!A:A,Data!E:E)</f>
        <v>General</v>
      </c>
      <c r="J663">
        <f>IF(I663="",C663,_xlfn.XLOOKUP(I663,Data!E:E,Data!A:A,""))</f>
        <v>0</v>
      </c>
      <c r="L663">
        <f t="shared" si="101"/>
        <v>0</v>
      </c>
      <c r="M663">
        <f t="shared" si="102"/>
        <v>0</v>
      </c>
      <c r="N663">
        <f t="shared" si="110"/>
        <v>0</v>
      </c>
      <c r="O663">
        <f t="shared" si="103"/>
        <v>0</v>
      </c>
      <c r="P663">
        <f t="shared" si="104"/>
        <v>0</v>
      </c>
      <c r="R663" t="str">
        <f t="shared" si="105"/>
        <v>00</v>
      </c>
    </row>
    <row r="664" spans="1:18" x14ac:dyDescent="0.4">
      <c r="A664" s="1" t="str">
        <f t="shared" si="108"/>
        <v>14B</v>
      </c>
      <c r="B664">
        <f t="shared" si="109"/>
        <v>0</v>
      </c>
      <c r="C664">
        <f>VALUE(MID(Hex!$C$2,1+2*HEX2DEC(A664)+B664,1))</f>
        <v>0</v>
      </c>
      <c r="D664" s="1" t="str">
        <f t="shared" si="106"/>
        <v>296</v>
      </c>
      <c r="E664">
        <f>HEX2DEC(MID(Hex!$C$8,1+HEX2DEC(Edit!D664)*2,2))</f>
        <v>0</v>
      </c>
      <c r="F664">
        <f t="shared" si="107"/>
        <v>662</v>
      </c>
      <c r="G664" t="str">
        <f>_xlfn.LET(_xlpm.custom,_xlfn.XLOOKUP(F664,Data!A:A,Data!C:C),IF(_xlpm.custom="",_xlfn.XLOOKUP(F664,Data!A:A,Data!B:B),_xlpm.custom))</f>
        <v>Mewtwonite X</v>
      </c>
      <c r="H664" t="str">
        <f>_xlfn.XLOOKUP(C664,Data!A:A,Data!E:E)</f>
        <v>General</v>
      </c>
      <c r="J664">
        <f>IF(I664="",C664,_xlfn.XLOOKUP(I664,Data!E:E,Data!A:A,""))</f>
        <v>0</v>
      </c>
      <c r="L664">
        <f t="shared" si="101"/>
        <v>0</v>
      </c>
      <c r="M664">
        <f t="shared" si="102"/>
        <v>0</v>
      </c>
      <c r="N664">
        <f t="shared" si="110"/>
        <v>0</v>
      </c>
      <c r="O664">
        <f t="shared" si="103"/>
        <v>0</v>
      </c>
      <c r="P664">
        <f t="shared" si="104"/>
        <v>0</v>
      </c>
      <c r="R664" t="str">
        <f t="shared" si="105"/>
        <v>00</v>
      </c>
    </row>
    <row r="665" spans="1:18" x14ac:dyDescent="0.4">
      <c r="A665" s="1" t="str">
        <f t="shared" si="108"/>
        <v>14B</v>
      </c>
      <c r="B665">
        <f t="shared" si="109"/>
        <v>1</v>
      </c>
      <c r="C665">
        <f>VALUE(MID(Hex!$C$2,1+2*HEX2DEC(A665)+B665,1))</f>
        <v>0</v>
      </c>
      <c r="D665" s="1" t="str">
        <f t="shared" si="106"/>
        <v>297</v>
      </c>
      <c r="E665">
        <f>HEX2DEC(MID(Hex!$C$8,1+HEX2DEC(Edit!D665)*2,2))</f>
        <v>0</v>
      </c>
      <c r="F665">
        <f t="shared" si="107"/>
        <v>663</v>
      </c>
      <c r="G665" t="str">
        <f>_xlfn.LET(_xlpm.custom,_xlfn.XLOOKUP(F665,Data!A:A,Data!C:C),IF(_xlpm.custom="",_xlfn.XLOOKUP(F665,Data!A:A,Data!B:B),_xlpm.custom))</f>
        <v>Mewtwonite Y</v>
      </c>
      <c r="H665" t="str">
        <f>_xlfn.XLOOKUP(C665,Data!A:A,Data!E:E)</f>
        <v>General</v>
      </c>
      <c r="J665">
        <f>IF(I665="",C665,_xlfn.XLOOKUP(I665,Data!E:E,Data!A:A,""))</f>
        <v>0</v>
      </c>
      <c r="L665">
        <f t="shared" si="101"/>
        <v>0</v>
      </c>
      <c r="M665">
        <f t="shared" si="102"/>
        <v>0</v>
      </c>
      <c r="N665">
        <f t="shared" si="110"/>
        <v>0</v>
      </c>
      <c r="O665">
        <f t="shared" si="103"/>
        <v>0</v>
      </c>
      <c r="P665">
        <f t="shared" si="104"/>
        <v>0</v>
      </c>
      <c r="R665" t="str">
        <f t="shared" si="105"/>
        <v>00</v>
      </c>
    </row>
    <row r="666" spans="1:18" x14ac:dyDescent="0.4">
      <c r="A666" s="1" t="str">
        <f t="shared" si="108"/>
        <v>14C</v>
      </c>
      <c r="B666">
        <f t="shared" si="109"/>
        <v>0</v>
      </c>
      <c r="C666">
        <f>VALUE(MID(Hex!$C$2,1+2*HEX2DEC(A666)+B666,1))</f>
        <v>0</v>
      </c>
      <c r="D666" s="1" t="str">
        <f t="shared" si="106"/>
        <v>298</v>
      </c>
      <c r="E666">
        <f>HEX2DEC(MID(Hex!$C$8,1+HEX2DEC(Edit!D666)*2,2))</f>
        <v>0</v>
      </c>
      <c r="F666">
        <f t="shared" si="107"/>
        <v>664</v>
      </c>
      <c r="G666" t="str">
        <f>_xlfn.LET(_xlpm.custom,_xlfn.XLOOKUP(F666,Data!A:A,Data!C:C),IF(_xlpm.custom="",_xlfn.XLOOKUP(F666,Data!A:A,Data!B:B),_xlpm.custom))</f>
        <v>Blazikenite</v>
      </c>
      <c r="H666" t="str">
        <f>_xlfn.XLOOKUP(C666,Data!A:A,Data!E:E)</f>
        <v>General</v>
      </c>
      <c r="J666">
        <f>IF(I666="",C666,_xlfn.XLOOKUP(I666,Data!E:E,Data!A:A,""))</f>
        <v>0</v>
      </c>
      <c r="L666">
        <f t="shared" si="101"/>
        <v>0</v>
      </c>
      <c r="M666">
        <f t="shared" si="102"/>
        <v>0</v>
      </c>
      <c r="N666">
        <f t="shared" si="110"/>
        <v>0</v>
      </c>
      <c r="O666">
        <f t="shared" si="103"/>
        <v>0</v>
      </c>
      <c r="P666">
        <f t="shared" si="104"/>
        <v>0</v>
      </c>
      <c r="R666" t="str">
        <f t="shared" si="105"/>
        <v>00</v>
      </c>
    </row>
    <row r="667" spans="1:18" x14ac:dyDescent="0.4">
      <c r="A667" s="1" t="str">
        <f t="shared" si="108"/>
        <v>14C</v>
      </c>
      <c r="B667">
        <f t="shared" si="109"/>
        <v>1</v>
      </c>
      <c r="C667">
        <f>VALUE(MID(Hex!$C$2,1+2*HEX2DEC(A667)+B667,1))</f>
        <v>0</v>
      </c>
      <c r="D667" s="1" t="str">
        <f t="shared" si="106"/>
        <v>299</v>
      </c>
      <c r="E667">
        <f>HEX2DEC(MID(Hex!$C$8,1+HEX2DEC(Edit!D667)*2,2))</f>
        <v>0</v>
      </c>
      <c r="F667">
        <f t="shared" si="107"/>
        <v>665</v>
      </c>
      <c r="G667" t="str">
        <f>_xlfn.LET(_xlpm.custom,_xlfn.XLOOKUP(F667,Data!A:A,Data!C:C),IF(_xlpm.custom="",_xlfn.XLOOKUP(F667,Data!A:A,Data!B:B),_xlpm.custom))</f>
        <v>Medichamite</v>
      </c>
      <c r="H667" t="str">
        <f>_xlfn.XLOOKUP(C667,Data!A:A,Data!E:E)</f>
        <v>General</v>
      </c>
      <c r="J667">
        <f>IF(I667="",C667,_xlfn.XLOOKUP(I667,Data!E:E,Data!A:A,""))</f>
        <v>0</v>
      </c>
      <c r="L667">
        <f t="shared" si="101"/>
        <v>0</v>
      </c>
      <c r="M667">
        <f t="shared" si="102"/>
        <v>0</v>
      </c>
      <c r="N667">
        <f t="shared" si="110"/>
        <v>0</v>
      </c>
      <c r="O667">
        <f t="shared" si="103"/>
        <v>0</v>
      </c>
      <c r="P667">
        <f t="shared" si="104"/>
        <v>0</v>
      </c>
      <c r="R667" t="str">
        <f t="shared" si="105"/>
        <v>00</v>
      </c>
    </row>
    <row r="668" spans="1:18" x14ac:dyDescent="0.4">
      <c r="A668" s="1" t="str">
        <f t="shared" si="108"/>
        <v>14D</v>
      </c>
      <c r="B668">
        <f t="shared" si="109"/>
        <v>0</v>
      </c>
      <c r="C668">
        <f>VALUE(MID(Hex!$C$2,1+2*HEX2DEC(A668)+B668,1))</f>
        <v>0</v>
      </c>
      <c r="D668" s="1" t="str">
        <f t="shared" si="106"/>
        <v>29A</v>
      </c>
      <c r="E668">
        <f>HEX2DEC(MID(Hex!$C$8,1+HEX2DEC(Edit!D668)*2,2))</f>
        <v>0</v>
      </c>
      <c r="F668">
        <f t="shared" si="107"/>
        <v>666</v>
      </c>
      <c r="G668" t="str">
        <f>_xlfn.LET(_xlpm.custom,_xlfn.XLOOKUP(F668,Data!A:A,Data!C:C),IF(_xlpm.custom="",_xlfn.XLOOKUP(F668,Data!A:A,Data!B:B),_xlpm.custom))</f>
        <v>Houndoominite</v>
      </c>
      <c r="H668" t="str">
        <f>_xlfn.XLOOKUP(C668,Data!A:A,Data!E:E)</f>
        <v>General</v>
      </c>
      <c r="J668">
        <f>IF(I668="",C668,_xlfn.XLOOKUP(I668,Data!E:E,Data!A:A,""))</f>
        <v>0</v>
      </c>
      <c r="L668">
        <f t="shared" si="101"/>
        <v>0</v>
      </c>
      <c r="M668">
        <f t="shared" si="102"/>
        <v>0</v>
      </c>
      <c r="N668">
        <f t="shared" si="110"/>
        <v>0</v>
      </c>
      <c r="O668">
        <f t="shared" si="103"/>
        <v>0</v>
      </c>
      <c r="P668">
        <f t="shared" si="104"/>
        <v>0</v>
      </c>
      <c r="R668" t="str">
        <f t="shared" si="105"/>
        <v>00</v>
      </c>
    </row>
    <row r="669" spans="1:18" x14ac:dyDescent="0.4">
      <c r="A669" s="1" t="str">
        <f t="shared" si="108"/>
        <v>14D</v>
      </c>
      <c r="B669">
        <f t="shared" si="109"/>
        <v>1</v>
      </c>
      <c r="C669">
        <f>VALUE(MID(Hex!$C$2,1+2*HEX2DEC(A669)+B669,1))</f>
        <v>0</v>
      </c>
      <c r="D669" s="1" t="str">
        <f t="shared" si="106"/>
        <v>29B</v>
      </c>
      <c r="E669">
        <f>HEX2DEC(MID(Hex!$C$8,1+HEX2DEC(Edit!D669)*2,2))</f>
        <v>0</v>
      </c>
      <c r="F669">
        <f t="shared" si="107"/>
        <v>667</v>
      </c>
      <c r="G669" t="str">
        <f>_xlfn.LET(_xlpm.custom,_xlfn.XLOOKUP(F669,Data!A:A,Data!C:C),IF(_xlpm.custom="",_xlfn.XLOOKUP(F669,Data!A:A,Data!B:B),_xlpm.custom))</f>
        <v>Aggronite</v>
      </c>
      <c r="H669" t="str">
        <f>_xlfn.XLOOKUP(C669,Data!A:A,Data!E:E)</f>
        <v>General</v>
      </c>
      <c r="J669">
        <f>IF(I669="",C669,_xlfn.XLOOKUP(I669,Data!E:E,Data!A:A,""))</f>
        <v>0</v>
      </c>
      <c r="L669">
        <f t="shared" si="101"/>
        <v>0</v>
      </c>
      <c r="M669">
        <f t="shared" si="102"/>
        <v>0</v>
      </c>
      <c r="N669">
        <f t="shared" si="110"/>
        <v>0</v>
      </c>
      <c r="O669">
        <f t="shared" si="103"/>
        <v>0</v>
      </c>
      <c r="P669">
        <f t="shared" si="104"/>
        <v>0</v>
      </c>
      <c r="R669" t="str">
        <f t="shared" si="105"/>
        <v>00</v>
      </c>
    </row>
    <row r="670" spans="1:18" x14ac:dyDescent="0.4">
      <c r="A670" s="1" t="str">
        <f t="shared" si="108"/>
        <v>14E</v>
      </c>
      <c r="B670">
        <f t="shared" si="109"/>
        <v>0</v>
      </c>
      <c r="C670">
        <f>VALUE(MID(Hex!$C$2,1+2*HEX2DEC(A670)+B670,1))</f>
        <v>0</v>
      </c>
      <c r="D670" s="1" t="str">
        <f t="shared" si="106"/>
        <v>29C</v>
      </c>
      <c r="E670">
        <f>HEX2DEC(MID(Hex!$C$8,1+HEX2DEC(Edit!D670)*2,2))</f>
        <v>0</v>
      </c>
      <c r="F670">
        <f t="shared" si="107"/>
        <v>668</v>
      </c>
      <c r="G670" t="str">
        <f>_xlfn.LET(_xlpm.custom,_xlfn.XLOOKUP(F670,Data!A:A,Data!C:C),IF(_xlpm.custom="",_xlfn.XLOOKUP(F670,Data!A:A,Data!B:B),_xlpm.custom))</f>
        <v>Banettite</v>
      </c>
      <c r="H670" t="str">
        <f>_xlfn.XLOOKUP(C670,Data!A:A,Data!E:E)</f>
        <v>General</v>
      </c>
      <c r="J670">
        <f>IF(I670="",C670,_xlfn.XLOOKUP(I670,Data!E:E,Data!A:A,""))</f>
        <v>0</v>
      </c>
      <c r="L670">
        <f t="shared" si="101"/>
        <v>0</v>
      </c>
      <c r="M670">
        <f t="shared" si="102"/>
        <v>0</v>
      </c>
      <c r="N670">
        <f t="shared" si="110"/>
        <v>0</v>
      </c>
      <c r="O670">
        <f t="shared" si="103"/>
        <v>0</v>
      </c>
      <c r="P670">
        <f t="shared" si="104"/>
        <v>0</v>
      </c>
      <c r="R670" t="str">
        <f t="shared" si="105"/>
        <v>00</v>
      </c>
    </row>
    <row r="671" spans="1:18" x14ac:dyDescent="0.4">
      <c r="A671" s="1" t="str">
        <f t="shared" si="108"/>
        <v>14E</v>
      </c>
      <c r="B671">
        <f t="shared" si="109"/>
        <v>1</v>
      </c>
      <c r="C671">
        <f>VALUE(MID(Hex!$C$2,1+2*HEX2DEC(A671)+B671,1))</f>
        <v>0</v>
      </c>
      <c r="D671" s="1" t="str">
        <f t="shared" si="106"/>
        <v>29D</v>
      </c>
      <c r="E671">
        <f>HEX2DEC(MID(Hex!$C$8,1+HEX2DEC(Edit!D671)*2,2))</f>
        <v>0</v>
      </c>
      <c r="F671">
        <f t="shared" si="107"/>
        <v>669</v>
      </c>
      <c r="G671" t="str">
        <f>_xlfn.LET(_xlpm.custom,_xlfn.XLOOKUP(F671,Data!A:A,Data!C:C),IF(_xlpm.custom="",_xlfn.XLOOKUP(F671,Data!A:A,Data!B:B),_xlpm.custom))</f>
        <v>Tyranitarite</v>
      </c>
      <c r="H671" t="str">
        <f>_xlfn.XLOOKUP(C671,Data!A:A,Data!E:E)</f>
        <v>General</v>
      </c>
      <c r="J671">
        <f>IF(I671="",C671,_xlfn.XLOOKUP(I671,Data!E:E,Data!A:A,""))</f>
        <v>0</v>
      </c>
      <c r="L671">
        <f t="shared" si="101"/>
        <v>0</v>
      </c>
      <c r="M671">
        <f t="shared" si="102"/>
        <v>0</v>
      </c>
      <c r="N671">
        <f t="shared" si="110"/>
        <v>0</v>
      </c>
      <c r="O671">
        <f t="shared" si="103"/>
        <v>0</v>
      </c>
      <c r="P671">
        <f t="shared" si="104"/>
        <v>0</v>
      </c>
      <c r="R671" t="str">
        <f t="shared" si="105"/>
        <v>00</v>
      </c>
    </row>
    <row r="672" spans="1:18" x14ac:dyDescent="0.4">
      <c r="A672" s="1" t="str">
        <f t="shared" si="108"/>
        <v>14F</v>
      </c>
      <c r="B672">
        <f t="shared" si="109"/>
        <v>0</v>
      </c>
      <c r="C672">
        <f>VALUE(MID(Hex!$C$2,1+2*HEX2DEC(A672)+B672,1))</f>
        <v>0</v>
      </c>
      <c r="D672" s="1" t="str">
        <f t="shared" si="106"/>
        <v>29E</v>
      </c>
      <c r="E672">
        <f>HEX2DEC(MID(Hex!$C$8,1+HEX2DEC(Edit!D672)*2,2))</f>
        <v>0</v>
      </c>
      <c r="F672">
        <f t="shared" si="107"/>
        <v>670</v>
      </c>
      <c r="G672" t="str">
        <f>_xlfn.LET(_xlpm.custom,_xlfn.XLOOKUP(F672,Data!A:A,Data!C:C),IF(_xlpm.custom="",_xlfn.XLOOKUP(F672,Data!A:A,Data!B:B),_xlpm.custom))</f>
        <v>Scizorite</v>
      </c>
      <c r="H672" t="str">
        <f>_xlfn.XLOOKUP(C672,Data!A:A,Data!E:E)</f>
        <v>General</v>
      </c>
      <c r="J672">
        <f>IF(I672="",C672,_xlfn.XLOOKUP(I672,Data!E:E,Data!A:A,""))</f>
        <v>0</v>
      </c>
      <c r="L672">
        <f t="shared" si="101"/>
        <v>0</v>
      </c>
      <c r="M672">
        <f t="shared" si="102"/>
        <v>0</v>
      </c>
      <c r="N672">
        <f t="shared" si="110"/>
        <v>0</v>
      </c>
      <c r="O672">
        <f t="shared" si="103"/>
        <v>0</v>
      </c>
      <c r="P672">
        <f t="shared" si="104"/>
        <v>0</v>
      </c>
      <c r="R672" t="str">
        <f t="shared" si="105"/>
        <v>00</v>
      </c>
    </row>
    <row r="673" spans="1:18" x14ac:dyDescent="0.4">
      <c r="A673" s="1" t="str">
        <f t="shared" si="108"/>
        <v>14F</v>
      </c>
      <c r="B673">
        <f t="shared" si="109"/>
        <v>1</v>
      </c>
      <c r="C673">
        <f>VALUE(MID(Hex!$C$2,1+2*HEX2DEC(A673)+B673,1))</f>
        <v>0</v>
      </c>
      <c r="D673" s="1" t="str">
        <f t="shared" si="106"/>
        <v>29F</v>
      </c>
      <c r="E673">
        <f>HEX2DEC(MID(Hex!$C$8,1+HEX2DEC(Edit!D673)*2,2))</f>
        <v>0</v>
      </c>
      <c r="F673">
        <f t="shared" si="107"/>
        <v>671</v>
      </c>
      <c r="G673" t="str">
        <f>_xlfn.LET(_xlpm.custom,_xlfn.XLOOKUP(F673,Data!A:A,Data!C:C),IF(_xlpm.custom="",_xlfn.XLOOKUP(F673,Data!A:A,Data!B:B),_xlpm.custom))</f>
        <v>Pinsirite</v>
      </c>
      <c r="H673" t="str">
        <f>_xlfn.XLOOKUP(C673,Data!A:A,Data!E:E)</f>
        <v>General</v>
      </c>
      <c r="J673">
        <f>IF(I673="",C673,_xlfn.XLOOKUP(I673,Data!E:E,Data!A:A,""))</f>
        <v>0</v>
      </c>
      <c r="L673">
        <f t="shared" si="101"/>
        <v>0</v>
      </c>
      <c r="M673">
        <f t="shared" si="102"/>
        <v>0</v>
      </c>
      <c r="N673">
        <f t="shared" si="110"/>
        <v>0</v>
      </c>
      <c r="O673">
        <f t="shared" si="103"/>
        <v>0</v>
      </c>
      <c r="P673">
        <f t="shared" si="104"/>
        <v>0</v>
      </c>
      <c r="R673" t="str">
        <f t="shared" si="105"/>
        <v>00</v>
      </c>
    </row>
    <row r="674" spans="1:18" x14ac:dyDescent="0.4">
      <c r="A674" s="1" t="str">
        <f t="shared" si="108"/>
        <v>150</v>
      </c>
      <c r="B674">
        <f t="shared" si="109"/>
        <v>0</v>
      </c>
      <c r="C674">
        <f>VALUE(MID(Hex!$C$2,1+2*HEX2DEC(A674)+B674,1))</f>
        <v>0</v>
      </c>
      <c r="D674" s="1" t="str">
        <f t="shared" si="106"/>
        <v>2A0</v>
      </c>
      <c r="E674">
        <f>HEX2DEC(MID(Hex!$C$8,1+HEX2DEC(Edit!D674)*2,2))</f>
        <v>0</v>
      </c>
      <c r="F674">
        <f t="shared" si="107"/>
        <v>672</v>
      </c>
      <c r="G674" t="str">
        <f>_xlfn.LET(_xlpm.custom,_xlfn.XLOOKUP(F674,Data!A:A,Data!C:C),IF(_xlpm.custom="",_xlfn.XLOOKUP(F674,Data!A:A,Data!B:B),_xlpm.custom))</f>
        <v>Aerodactylite</v>
      </c>
      <c r="H674" t="str">
        <f>_xlfn.XLOOKUP(C674,Data!A:A,Data!E:E)</f>
        <v>General</v>
      </c>
      <c r="J674">
        <f>IF(I674="",C674,_xlfn.XLOOKUP(I674,Data!E:E,Data!A:A,""))</f>
        <v>0</v>
      </c>
      <c r="L674">
        <f t="shared" si="101"/>
        <v>0</v>
      </c>
      <c r="M674">
        <f t="shared" si="102"/>
        <v>0</v>
      </c>
      <c r="N674">
        <f t="shared" si="110"/>
        <v>0</v>
      </c>
      <c r="O674">
        <f t="shared" si="103"/>
        <v>0</v>
      </c>
      <c r="P674">
        <f t="shared" si="104"/>
        <v>0</v>
      </c>
      <c r="R674" t="str">
        <f t="shared" si="105"/>
        <v>00</v>
      </c>
    </row>
    <row r="675" spans="1:18" x14ac:dyDescent="0.4">
      <c r="A675" s="1" t="str">
        <f t="shared" si="108"/>
        <v>150</v>
      </c>
      <c r="B675">
        <f t="shared" si="109"/>
        <v>1</v>
      </c>
      <c r="C675">
        <f>VALUE(MID(Hex!$C$2,1+2*HEX2DEC(A675)+B675,1))</f>
        <v>0</v>
      </c>
      <c r="D675" s="1" t="str">
        <f t="shared" si="106"/>
        <v>2A1</v>
      </c>
      <c r="E675">
        <f>HEX2DEC(MID(Hex!$C$8,1+HEX2DEC(Edit!D675)*2,2))</f>
        <v>0</v>
      </c>
      <c r="F675">
        <f t="shared" si="107"/>
        <v>673</v>
      </c>
      <c r="G675" t="str">
        <f>_xlfn.LET(_xlpm.custom,_xlfn.XLOOKUP(F675,Data!A:A,Data!C:C),IF(_xlpm.custom="",_xlfn.XLOOKUP(F675,Data!A:A,Data!B:B),_xlpm.custom))</f>
        <v>Lucarionite</v>
      </c>
      <c r="H675" t="str">
        <f>_xlfn.XLOOKUP(C675,Data!A:A,Data!E:E)</f>
        <v>General</v>
      </c>
      <c r="J675">
        <f>IF(I675="",C675,_xlfn.XLOOKUP(I675,Data!E:E,Data!A:A,""))</f>
        <v>0</v>
      </c>
      <c r="L675">
        <f t="shared" si="101"/>
        <v>0</v>
      </c>
      <c r="M675">
        <f t="shared" si="102"/>
        <v>0</v>
      </c>
      <c r="N675">
        <f t="shared" si="110"/>
        <v>0</v>
      </c>
      <c r="O675">
        <f t="shared" si="103"/>
        <v>0</v>
      </c>
      <c r="P675">
        <f t="shared" si="104"/>
        <v>0</v>
      </c>
      <c r="R675" t="str">
        <f t="shared" si="105"/>
        <v>00</v>
      </c>
    </row>
    <row r="676" spans="1:18" x14ac:dyDescent="0.4">
      <c r="A676" s="1" t="str">
        <f t="shared" si="108"/>
        <v>151</v>
      </c>
      <c r="B676">
        <f t="shared" si="109"/>
        <v>0</v>
      </c>
      <c r="C676">
        <f>VALUE(MID(Hex!$C$2,1+2*HEX2DEC(A676)+B676,1))</f>
        <v>0</v>
      </c>
      <c r="D676" s="1" t="str">
        <f t="shared" si="106"/>
        <v>2A2</v>
      </c>
      <c r="E676">
        <f>HEX2DEC(MID(Hex!$C$8,1+HEX2DEC(Edit!D676)*2,2))</f>
        <v>0</v>
      </c>
      <c r="F676">
        <f t="shared" si="107"/>
        <v>674</v>
      </c>
      <c r="G676" t="str">
        <f>_xlfn.LET(_xlpm.custom,_xlfn.XLOOKUP(F676,Data!A:A,Data!C:C),IF(_xlpm.custom="",_xlfn.XLOOKUP(F676,Data!A:A,Data!B:B),_xlpm.custom))</f>
        <v>Abomasite</v>
      </c>
      <c r="H676" t="str">
        <f>_xlfn.XLOOKUP(C676,Data!A:A,Data!E:E)</f>
        <v>General</v>
      </c>
      <c r="J676">
        <f>IF(I676="",C676,_xlfn.XLOOKUP(I676,Data!E:E,Data!A:A,""))</f>
        <v>0</v>
      </c>
      <c r="L676">
        <f t="shared" si="101"/>
        <v>0</v>
      </c>
      <c r="M676">
        <f t="shared" si="102"/>
        <v>0</v>
      </c>
      <c r="N676">
        <f t="shared" si="110"/>
        <v>0</v>
      </c>
      <c r="O676">
        <f t="shared" si="103"/>
        <v>0</v>
      </c>
      <c r="P676">
        <f t="shared" si="104"/>
        <v>0</v>
      </c>
      <c r="R676" t="str">
        <f t="shared" si="105"/>
        <v>00</v>
      </c>
    </row>
    <row r="677" spans="1:18" x14ac:dyDescent="0.4">
      <c r="A677" s="1" t="str">
        <f t="shared" si="108"/>
        <v>151</v>
      </c>
      <c r="B677">
        <f t="shared" si="109"/>
        <v>1</v>
      </c>
      <c r="C677">
        <f>VALUE(MID(Hex!$C$2,1+2*HEX2DEC(A677)+B677,1))</f>
        <v>0</v>
      </c>
      <c r="D677" s="1" t="str">
        <f t="shared" si="106"/>
        <v>2A3</v>
      </c>
      <c r="E677">
        <f>HEX2DEC(MID(Hex!$C$8,1+HEX2DEC(Edit!D677)*2,2))</f>
        <v>0</v>
      </c>
      <c r="F677">
        <f t="shared" si="107"/>
        <v>675</v>
      </c>
      <c r="G677" t="str">
        <f>_xlfn.LET(_xlpm.custom,_xlfn.XLOOKUP(F677,Data!A:A,Data!C:C),IF(_xlpm.custom="",_xlfn.XLOOKUP(F677,Data!A:A,Data!B:B),_xlpm.custom))</f>
        <v>Kangaskhanite</v>
      </c>
      <c r="H677" t="str">
        <f>_xlfn.XLOOKUP(C677,Data!A:A,Data!E:E)</f>
        <v>General</v>
      </c>
      <c r="J677">
        <f>IF(I677="",C677,_xlfn.XLOOKUP(I677,Data!E:E,Data!A:A,""))</f>
        <v>0</v>
      </c>
      <c r="L677">
        <f t="shared" si="101"/>
        <v>0</v>
      </c>
      <c r="M677">
        <f t="shared" si="102"/>
        <v>0</v>
      </c>
      <c r="N677">
        <f t="shared" si="110"/>
        <v>0</v>
      </c>
      <c r="O677">
        <f t="shared" si="103"/>
        <v>0</v>
      </c>
      <c r="P677">
        <f t="shared" si="104"/>
        <v>0</v>
      </c>
      <c r="R677" t="str">
        <f t="shared" si="105"/>
        <v>00</v>
      </c>
    </row>
    <row r="678" spans="1:18" x14ac:dyDescent="0.4">
      <c r="A678" s="1" t="str">
        <f t="shared" si="108"/>
        <v>152</v>
      </c>
      <c r="B678">
        <f t="shared" si="109"/>
        <v>0</v>
      </c>
      <c r="C678">
        <f>VALUE(MID(Hex!$C$2,1+2*HEX2DEC(A678)+B678,1))</f>
        <v>0</v>
      </c>
      <c r="D678" s="1" t="str">
        <f t="shared" si="106"/>
        <v>2A4</v>
      </c>
      <c r="E678">
        <f>HEX2DEC(MID(Hex!$C$8,1+HEX2DEC(Edit!D678)*2,2))</f>
        <v>0</v>
      </c>
      <c r="F678">
        <f t="shared" si="107"/>
        <v>676</v>
      </c>
      <c r="G678" t="str">
        <f>_xlfn.LET(_xlpm.custom,_xlfn.XLOOKUP(F678,Data!A:A,Data!C:C),IF(_xlpm.custom="",_xlfn.XLOOKUP(F678,Data!A:A,Data!B:B),_xlpm.custom))</f>
        <v>Gyaradosite</v>
      </c>
      <c r="H678" t="str">
        <f>_xlfn.XLOOKUP(C678,Data!A:A,Data!E:E)</f>
        <v>General</v>
      </c>
      <c r="J678">
        <f>IF(I678="",C678,_xlfn.XLOOKUP(I678,Data!E:E,Data!A:A,""))</f>
        <v>0</v>
      </c>
      <c r="L678">
        <f t="shared" si="101"/>
        <v>0</v>
      </c>
      <c r="M678">
        <f t="shared" si="102"/>
        <v>0</v>
      </c>
      <c r="N678">
        <f t="shared" si="110"/>
        <v>0</v>
      </c>
      <c r="O678">
        <f t="shared" si="103"/>
        <v>0</v>
      </c>
      <c r="P678">
        <f t="shared" si="104"/>
        <v>0</v>
      </c>
      <c r="R678" t="str">
        <f t="shared" si="105"/>
        <v>00</v>
      </c>
    </row>
    <row r="679" spans="1:18" x14ac:dyDescent="0.4">
      <c r="A679" s="1" t="str">
        <f t="shared" si="108"/>
        <v>152</v>
      </c>
      <c r="B679">
        <f t="shared" si="109"/>
        <v>1</v>
      </c>
      <c r="C679">
        <f>VALUE(MID(Hex!$C$2,1+2*HEX2DEC(A679)+B679,1))</f>
        <v>0</v>
      </c>
      <c r="D679" s="1" t="str">
        <f t="shared" si="106"/>
        <v>2A5</v>
      </c>
      <c r="E679">
        <f>HEX2DEC(MID(Hex!$C$8,1+HEX2DEC(Edit!D679)*2,2))</f>
        <v>0</v>
      </c>
      <c r="F679">
        <f t="shared" si="107"/>
        <v>677</v>
      </c>
      <c r="G679" t="str">
        <f>_xlfn.LET(_xlpm.custom,_xlfn.XLOOKUP(F679,Data!A:A,Data!C:C),IF(_xlpm.custom="",_xlfn.XLOOKUP(F679,Data!A:A,Data!B:B),_xlpm.custom))</f>
        <v>Absolite</v>
      </c>
      <c r="H679" t="str">
        <f>_xlfn.XLOOKUP(C679,Data!A:A,Data!E:E)</f>
        <v>General</v>
      </c>
      <c r="J679">
        <f>IF(I679="",C679,_xlfn.XLOOKUP(I679,Data!E:E,Data!A:A,""))</f>
        <v>0</v>
      </c>
      <c r="L679">
        <f t="shared" si="101"/>
        <v>0</v>
      </c>
      <c r="M679">
        <f t="shared" si="102"/>
        <v>0</v>
      </c>
      <c r="N679">
        <f t="shared" si="110"/>
        <v>0</v>
      </c>
      <c r="O679">
        <f t="shared" si="103"/>
        <v>0</v>
      </c>
      <c r="P679">
        <f t="shared" si="104"/>
        <v>0</v>
      </c>
      <c r="R679" t="str">
        <f t="shared" si="105"/>
        <v>00</v>
      </c>
    </row>
    <row r="680" spans="1:18" x14ac:dyDescent="0.4">
      <c r="A680" s="1" t="str">
        <f t="shared" si="108"/>
        <v>153</v>
      </c>
      <c r="B680">
        <f t="shared" si="109"/>
        <v>0</v>
      </c>
      <c r="C680">
        <f>VALUE(MID(Hex!$C$2,1+2*HEX2DEC(A680)+B680,1))</f>
        <v>0</v>
      </c>
      <c r="D680" s="1" t="str">
        <f t="shared" si="106"/>
        <v>2A6</v>
      </c>
      <c r="E680">
        <f>HEX2DEC(MID(Hex!$C$8,1+HEX2DEC(Edit!D680)*2,2))</f>
        <v>0</v>
      </c>
      <c r="F680">
        <f t="shared" si="107"/>
        <v>678</v>
      </c>
      <c r="G680" t="str">
        <f>_xlfn.LET(_xlpm.custom,_xlfn.XLOOKUP(F680,Data!A:A,Data!C:C),IF(_xlpm.custom="",_xlfn.XLOOKUP(F680,Data!A:A,Data!B:B),_xlpm.custom))</f>
        <v>Charizardite Y</v>
      </c>
      <c r="H680" t="str">
        <f>_xlfn.XLOOKUP(C680,Data!A:A,Data!E:E)</f>
        <v>General</v>
      </c>
      <c r="J680">
        <f>IF(I680="",C680,_xlfn.XLOOKUP(I680,Data!E:E,Data!A:A,""))</f>
        <v>0</v>
      </c>
      <c r="L680">
        <f t="shared" si="101"/>
        <v>0</v>
      </c>
      <c r="M680">
        <f t="shared" si="102"/>
        <v>0</v>
      </c>
      <c r="N680">
        <f t="shared" si="110"/>
        <v>0</v>
      </c>
      <c r="O680">
        <f t="shared" si="103"/>
        <v>0</v>
      </c>
      <c r="P680">
        <f t="shared" si="104"/>
        <v>0</v>
      </c>
      <c r="R680" t="str">
        <f t="shared" si="105"/>
        <v>00</v>
      </c>
    </row>
    <row r="681" spans="1:18" x14ac:dyDescent="0.4">
      <c r="A681" s="1" t="str">
        <f t="shared" si="108"/>
        <v>153</v>
      </c>
      <c r="B681">
        <f t="shared" si="109"/>
        <v>1</v>
      </c>
      <c r="C681">
        <f>VALUE(MID(Hex!$C$2,1+2*HEX2DEC(A681)+B681,1))</f>
        <v>0</v>
      </c>
      <c r="D681" s="1" t="str">
        <f t="shared" si="106"/>
        <v>2A7</v>
      </c>
      <c r="E681">
        <f>HEX2DEC(MID(Hex!$C$8,1+HEX2DEC(Edit!D681)*2,2))</f>
        <v>0</v>
      </c>
      <c r="F681">
        <f t="shared" si="107"/>
        <v>679</v>
      </c>
      <c r="G681" t="str">
        <f>_xlfn.LET(_xlpm.custom,_xlfn.XLOOKUP(F681,Data!A:A,Data!C:C),IF(_xlpm.custom="",_xlfn.XLOOKUP(F681,Data!A:A,Data!B:B),_xlpm.custom))</f>
        <v>Alakazite</v>
      </c>
      <c r="H681" t="str">
        <f>_xlfn.XLOOKUP(C681,Data!A:A,Data!E:E)</f>
        <v>General</v>
      </c>
      <c r="J681">
        <f>IF(I681="",C681,_xlfn.XLOOKUP(I681,Data!E:E,Data!A:A,""))</f>
        <v>0</v>
      </c>
      <c r="L681">
        <f t="shared" si="101"/>
        <v>0</v>
      </c>
      <c r="M681">
        <f t="shared" si="102"/>
        <v>0</v>
      </c>
      <c r="N681">
        <f t="shared" si="110"/>
        <v>0</v>
      </c>
      <c r="O681">
        <f t="shared" si="103"/>
        <v>0</v>
      </c>
      <c r="P681">
        <f t="shared" si="104"/>
        <v>0</v>
      </c>
      <c r="R681" t="str">
        <f t="shared" si="105"/>
        <v>00</v>
      </c>
    </row>
    <row r="682" spans="1:18" x14ac:dyDescent="0.4">
      <c r="A682" s="1" t="str">
        <f t="shared" si="108"/>
        <v>154</v>
      </c>
      <c r="B682">
        <f t="shared" si="109"/>
        <v>0</v>
      </c>
      <c r="C682">
        <f>VALUE(MID(Hex!$C$2,1+2*HEX2DEC(A682)+B682,1))</f>
        <v>0</v>
      </c>
      <c r="D682" s="1" t="str">
        <f t="shared" si="106"/>
        <v>2A8</v>
      </c>
      <c r="E682">
        <f>HEX2DEC(MID(Hex!$C$8,1+HEX2DEC(Edit!D682)*2,2))</f>
        <v>0</v>
      </c>
      <c r="F682">
        <f t="shared" si="107"/>
        <v>680</v>
      </c>
      <c r="G682" t="str">
        <f>_xlfn.LET(_xlpm.custom,_xlfn.XLOOKUP(F682,Data!A:A,Data!C:C),IF(_xlpm.custom="",_xlfn.XLOOKUP(F682,Data!A:A,Data!B:B),_xlpm.custom))</f>
        <v>Heracronite</v>
      </c>
      <c r="H682" t="str">
        <f>_xlfn.XLOOKUP(C682,Data!A:A,Data!E:E)</f>
        <v>General</v>
      </c>
      <c r="J682">
        <f>IF(I682="",C682,_xlfn.XLOOKUP(I682,Data!E:E,Data!A:A,""))</f>
        <v>0</v>
      </c>
      <c r="L682">
        <f t="shared" si="101"/>
        <v>0</v>
      </c>
      <c r="M682">
        <f t="shared" si="102"/>
        <v>0</v>
      </c>
      <c r="N682">
        <f t="shared" si="110"/>
        <v>0</v>
      </c>
      <c r="O682">
        <f t="shared" si="103"/>
        <v>0</v>
      </c>
      <c r="P682">
        <f t="shared" si="104"/>
        <v>0</v>
      </c>
      <c r="R682" t="str">
        <f t="shared" si="105"/>
        <v>00</v>
      </c>
    </row>
    <row r="683" spans="1:18" x14ac:dyDescent="0.4">
      <c r="A683" s="1" t="str">
        <f t="shared" si="108"/>
        <v>154</v>
      </c>
      <c r="B683">
        <f t="shared" si="109"/>
        <v>1</v>
      </c>
      <c r="C683">
        <f>VALUE(MID(Hex!$C$2,1+2*HEX2DEC(A683)+B683,1))</f>
        <v>0</v>
      </c>
      <c r="D683" s="1" t="str">
        <f t="shared" si="106"/>
        <v>2A9</v>
      </c>
      <c r="E683">
        <f>HEX2DEC(MID(Hex!$C$8,1+HEX2DEC(Edit!D683)*2,2))</f>
        <v>0</v>
      </c>
      <c r="F683">
        <f t="shared" si="107"/>
        <v>681</v>
      </c>
      <c r="G683" t="str">
        <f>_xlfn.LET(_xlpm.custom,_xlfn.XLOOKUP(F683,Data!A:A,Data!C:C),IF(_xlpm.custom="",_xlfn.XLOOKUP(F683,Data!A:A,Data!B:B),_xlpm.custom))</f>
        <v>Mawilite</v>
      </c>
      <c r="H683" t="str">
        <f>_xlfn.XLOOKUP(C683,Data!A:A,Data!E:E)</f>
        <v>General</v>
      </c>
      <c r="J683">
        <f>IF(I683="",C683,_xlfn.XLOOKUP(I683,Data!E:E,Data!A:A,""))</f>
        <v>0</v>
      </c>
      <c r="L683">
        <f t="shared" si="101"/>
        <v>0</v>
      </c>
      <c r="M683">
        <f t="shared" si="102"/>
        <v>0</v>
      </c>
      <c r="N683">
        <f t="shared" si="110"/>
        <v>0</v>
      </c>
      <c r="O683">
        <f t="shared" si="103"/>
        <v>0</v>
      </c>
      <c r="P683">
        <f t="shared" si="104"/>
        <v>0</v>
      </c>
      <c r="R683" t="str">
        <f t="shared" si="105"/>
        <v>00</v>
      </c>
    </row>
    <row r="684" spans="1:18" x14ac:dyDescent="0.4">
      <c r="A684" s="1" t="str">
        <f t="shared" si="108"/>
        <v>155</v>
      </c>
      <c r="B684">
        <f t="shared" si="109"/>
        <v>0</v>
      </c>
      <c r="C684">
        <f>VALUE(MID(Hex!$C$2,1+2*HEX2DEC(A684)+B684,1))</f>
        <v>0</v>
      </c>
      <c r="D684" s="1" t="str">
        <f t="shared" si="106"/>
        <v>2AA</v>
      </c>
      <c r="E684">
        <f>HEX2DEC(MID(Hex!$C$8,1+HEX2DEC(Edit!D684)*2,2))</f>
        <v>0</v>
      </c>
      <c r="F684">
        <f t="shared" si="107"/>
        <v>682</v>
      </c>
      <c r="G684" t="str">
        <f>_xlfn.LET(_xlpm.custom,_xlfn.XLOOKUP(F684,Data!A:A,Data!C:C),IF(_xlpm.custom="",_xlfn.XLOOKUP(F684,Data!A:A,Data!B:B),_xlpm.custom))</f>
        <v>Manectite</v>
      </c>
      <c r="H684" t="str">
        <f>_xlfn.XLOOKUP(C684,Data!A:A,Data!E:E)</f>
        <v>General</v>
      </c>
      <c r="J684">
        <f>IF(I684="",C684,_xlfn.XLOOKUP(I684,Data!E:E,Data!A:A,""))</f>
        <v>0</v>
      </c>
      <c r="L684">
        <f t="shared" si="101"/>
        <v>0</v>
      </c>
      <c r="M684">
        <f t="shared" si="102"/>
        <v>0</v>
      </c>
      <c r="N684">
        <f t="shared" si="110"/>
        <v>0</v>
      </c>
      <c r="O684">
        <f t="shared" si="103"/>
        <v>0</v>
      </c>
      <c r="P684">
        <f t="shared" si="104"/>
        <v>0</v>
      </c>
      <c r="R684" t="str">
        <f t="shared" si="105"/>
        <v>00</v>
      </c>
    </row>
    <row r="685" spans="1:18" x14ac:dyDescent="0.4">
      <c r="A685" s="1" t="str">
        <f t="shared" si="108"/>
        <v>155</v>
      </c>
      <c r="B685">
        <f t="shared" si="109"/>
        <v>1</v>
      </c>
      <c r="C685">
        <f>VALUE(MID(Hex!$C$2,1+2*HEX2DEC(A685)+B685,1))</f>
        <v>0</v>
      </c>
      <c r="D685" s="1" t="str">
        <f t="shared" si="106"/>
        <v>2AB</v>
      </c>
      <c r="E685">
        <f>HEX2DEC(MID(Hex!$C$8,1+HEX2DEC(Edit!D685)*2,2))</f>
        <v>0</v>
      </c>
      <c r="F685">
        <f t="shared" si="107"/>
        <v>683</v>
      </c>
      <c r="G685" t="str">
        <f>_xlfn.LET(_xlpm.custom,_xlfn.XLOOKUP(F685,Data!A:A,Data!C:C),IF(_xlpm.custom="",_xlfn.XLOOKUP(F685,Data!A:A,Data!B:B),_xlpm.custom))</f>
        <v>Garchompite</v>
      </c>
      <c r="H685" t="str">
        <f>_xlfn.XLOOKUP(C685,Data!A:A,Data!E:E)</f>
        <v>General</v>
      </c>
      <c r="J685">
        <f>IF(I685="",C685,_xlfn.XLOOKUP(I685,Data!E:E,Data!A:A,""))</f>
        <v>0</v>
      </c>
      <c r="L685">
        <f t="shared" si="101"/>
        <v>0</v>
      </c>
      <c r="M685">
        <f t="shared" si="102"/>
        <v>0</v>
      </c>
      <c r="N685">
        <f t="shared" si="110"/>
        <v>0</v>
      </c>
      <c r="O685">
        <f t="shared" si="103"/>
        <v>0</v>
      </c>
      <c r="P685">
        <f t="shared" si="104"/>
        <v>0</v>
      </c>
      <c r="R685" t="str">
        <f t="shared" si="105"/>
        <v>00</v>
      </c>
    </row>
    <row r="686" spans="1:18" x14ac:dyDescent="0.4">
      <c r="A686" s="1" t="str">
        <f t="shared" si="108"/>
        <v>156</v>
      </c>
      <c r="B686">
        <f t="shared" si="109"/>
        <v>0</v>
      </c>
      <c r="C686">
        <f>VALUE(MID(Hex!$C$2,1+2*HEX2DEC(A686)+B686,1))</f>
        <v>0</v>
      </c>
      <c r="D686" s="1" t="str">
        <f t="shared" si="106"/>
        <v>2AC</v>
      </c>
      <c r="E686">
        <f>HEX2DEC(MID(Hex!$C$8,1+HEX2DEC(Edit!D686)*2,2))</f>
        <v>0</v>
      </c>
      <c r="F686">
        <f t="shared" si="107"/>
        <v>684</v>
      </c>
      <c r="G686" t="str">
        <f>_xlfn.LET(_xlpm.custom,_xlfn.XLOOKUP(F686,Data!A:A,Data!C:C),IF(_xlpm.custom="",_xlfn.XLOOKUP(F686,Data!A:A,Data!B:B),_xlpm.custom))</f>
        <v>Latiasite</v>
      </c>
      <c r="H686" t="str">
        <f>_xlfn.XLOOKUP(C686,Data!A:A,Data!E:E)</f>
        <v>General</v>
      </c>
      <c r="J686">
        <f>IF(I686="",C686,_xlfn.XLOOKUP(I686,Data!E:E,Data!A:A,""))</f>
        <v>0</v>
      </c>
      <c r="L686">
        <f t="shared" si="101"/>
        <v>0</v>
      </c>
      <c r="M686">
        <f t="shared" si="102"/>
        <v>0</v>
      </c>
      <c r="N686">
        <f t="shared" si="110"/>
        <v>0</v>
      </c>
      <c r="O686">
        <f t="shared" si="103"/>
        <v>0</v>
      </c>
      <c r="P686">
        <f t="shared" si="104"/>
        <v>0</v>
      </c>
      <c r="R686" t="str">
        <f t="shared" si="105"/>
        <v>00</v>
      </c>
    </row>
    <row r="687" spans="1:18" x14ac:dyDescent="0.4">
      <c r="A687" s="1" t="str">
        <f t="shared" si="108"/>
        <v>156</v>
      </c>
      <c r="B687">
        <f t="shared" si="109"/>
        <v>1</v>
      </c>
      <c r="C687">
        <f>VALUE(MID(Hex!$C$2,1+2*HEX2DEC(A687)+B687,1))</f>
        <v>0</v>
      </c>
      <c r="D687" s="1" t="str">
        <f t="shared" si="106"/>
        <v>2AD</v>
      </c>
      <c r="E687">
        <f>HEX2DEC(MID(Hex!$C$8,1+HEX2DEC(Edit!D687)*2,2))</f>
        <v>0</v>
      </c>
      <c r="F687">
        <f t="shared" si="107"/>
        <v>685</v>
      </c>
      <c r="G687" t="str">
        <f>_xlfn.LET(_xlpm.custom,_xlfn.XLOOKUP(F687,Data!A:A,Data!C:C),IF(_xlpm.custom="",_xlfn.XLOOKUP(F687,Data!A:A,Data!B:B),_xlpm.custom))</f>
        <v>Latiosite</v>
      </c>
      <c r="H687" t="str">
        <f>_xlfn.XLOOKUP(C687,Data!A:A,Data!E:E)</f>
        <v>General</v>
      </c>
      <c r="J687">
        <f>IF(I687="",C687,_xlfn.XLOOKUP(I687,Data!E:E,Data!A:A,""))</f>
        <v>0</v>
      </c>
      <c r="L687">
        <f t="shared" si="101"/>
        <v>0</v>
      </c>
      <c r="M687">
        <f t="shared" si="102"/>
        <v>0</v>
      </c>
      <c r="N687">
        <f t="shared" si="110"/>
        <v>0</v>
      </c>
      <c r="O687">
        <f t="shared" si="103"/>
        <v>0</v>
      </c>
      <c r="P687">
        <f t="shared" si="104"/>
        <v>0</v>
      </c>
      <c r="R687" t="str">
        <f t="shared" si="105"/>
        <v>00</v>
      </c>
    </row>
    <row r="688" spans="1:18" x14ac:dyDescent="0.4">
      <c r="A688" s="1" t="str">
        <f t="shared" si="108"/>
        <v>157</v>
      </c>
      <c r="B688">
        <f t="shared" si="109"/>
        <v>0</v>
      </c>
      <c r="C688">
        <f>VALUE(MID(Hex!$C$2,1+2*HEX2DEC(A688)+B688,1))</f>
        <v>3</v>
      </c>
      <c r="D688" s="1" t="str">
        <f t="shared" si="106"/>
        <v>2AE</v>
      </c>
      <c r="E688">
        <f>HEX2DEC(MID(Hex!$C$8,1+HEX2DEC(Edit!D688)*2,2))</f>
        <v>0</v>
      </c>
      <c r="F688">
        <f t="shared" si="107"/>
        <v>686</v>
      </c>
      <c r="G688" t="str">
        <f>_xlfn.LET(_xlpm.custom,_xlfn.XLOOKUP(F688,Data!A:A,Data!C:C),IF(_xlpm.custom="",_xlfn.XLOOKUP(F688,Data!A:A,Data!B:B),_xlpm.custom))</f>
        <v>Roseli Berry</v>
      </c>
      <c r="H688" t="str">
        <f>_xlfn.XLOOKUP(C688,Data!A:A,Data!E:E)</f>
        <v>Berry</v>
      </c>
      <c r="J688">
        <f>IF(I688="",C688,_xlfn.XLOOKUP(I688,Data!E:E,Data!A:A,""))</f>
        <v>3</v>
      </c>
      <c r="L688">
        <f t="shared" si="101"/>
        <v>0</v>
      </c>
      <c r="M688">
        <f t="shared" si="102"/>
        <v>0</v>
      </c>
      <c r="N688">
        <f t="shared" si="110"/>
        <v>0</v>
      </c>
      <c r="O688">
        <f t="shared" si="103"/>
        <v>0</v>
      </c>
      <c r="P688">
        <f t="shared" si="104"/>
        <v>0</v>
      </c>
      <c r="R688" t="str">
        <f t="shared" si="105"/>
        <v>00</v>
      </c>
    </row>
    <row r="689" spans="1:18" x14ac:dyDescent="0.4">
      <c r="A689" s="1" t="str">
        <f t="shared" si="108"/>
        <v>157</v>
      </c>
      <c r="B689">
        <f t="shared" si="109"/>
        <v>1</v>
      </c>
      <c r="C689">
        <f>VALUE(MID(Hex!$C$2,1+2*HEX2DEC(A689)+B689,1))</f>
        <v>3</v>
      </c>
      <c r="D689" s="1" t="str">
        <f t="shared" si="106"/>
        <v>2AF</v>
      </c>
      <c r="E689">
        <f>HEX2DEC(MID(Hex!$C$8,1+HEX2DEC(Edit!D689)*2,2))</f>
        <v>0</v>
      </c>
      <c r="F689">
        <f t="shared" si="107"/>
        <v>687</v>
      </c>
      <c r="G689" t="str">
        <f>_xlfn.LET(_xlpm.custom,_xlfn.XLOOKUP(F689,Data!A:A,Data!C:C),IF(_xlpm.custom="",_xlfn.XLOOKUP(F689,Data!A:A,Data!B:B),_xlpm.custom))</f>
        <v>Kee Berry</v>
      </c>
      <c r="H689" t="str">
        <f>_xlfn.XLOOKUP(C689,Data!A:A,Data!E:E)</f>
        <v>Berry</v>
      </c>
      <c r="J689">
        <f>IF(I689="",C689,_xlfn.XLOOKUP(I689,Data!E:E,Data!A:A,""))</f>
        <v>3</v>
      </c>
      <c r="L689">
        <f t="shared" si="101"/>
        <v>0</v>
      </c>
      <c r="M689">
        <f t="shared" si="102"/>
        <v>0</v>
      </c>
      <c r="N689">
        <f t="shared" si="110"/>
        <v>0</v>
      </c>
      <c r="O689">
        <f t="shared" si="103"/>
        <v>0</v>
      </c>
      <c r="P689">
        <f t="shared" si="104"/>
        <v>0</v>
      </c>
      <c r="R689" t="str">
        <f t="shared" si="105"/>
        <v>00</v>
      </c>
    </row>
    <row r="690" spans="1:18" x14ac:dyDescent="0.4">
      <c r="A690" s="1" t="str">
        <f t="shared" si="108"/>
        <v>158</v>
      </c>
      <c r="B690">
        <f t="shared" si="109"/>
        <v>0</v>
      </c>
      <c r="C690">
        <f>VALUE(MID(Hex!$C$2,1+2*HEX2DEC(A690)+B690,1))</f>
        <v>3</v>
      </c>
      <c r="D690" s="1" t="str">
        <f t="shared" si="106"/>
        <v>2B0</v>
      </c>
      <c r="E690">
        <f>HEX2DEC(MID(Hex!$C$8,1+HEX2DEC(Edit!D690)*2,2))</f>
        <v>0</v>
      </c>
      <c r="F690">
        <f t="shared" si="107"/>
        <v>688</v>
      </c>
      <c r="G690" t="str">
        <f>_xlfn.LET(_xlpm.custom,_xlfn.XLOOKUP(F690,Data!A:A,Data!C:C),IF(_xlpm.custom="",_xlfn.XLOOKUP(F690,Data!A:A,Data!B:B),_xlpm.custom))</f>
        <v>Maranga Berry</v>
      </c>
      <c r="H690" t="str">
        <f>_xlfn.XLOOKUP(C690,Data!A:A,Data!E:E)</f>
        <v>Berry</v>
      </c>
      <c r="J690">
        <f>IF(I690="",C690,_xlfn.XLOOKUP(I690,Data!E:E,Data!A:A,""))</f>
        <v>3</v>
      </c>
      <c r="L690">
        <f t="shared" si="101"/>
        <v>0</v>
      </c>
      <c r="M690">
        <f t="shared" si="102"/>
        <v>0</v>
      </c>
      <c r="N690">
        <f t="shared" si="110"/>
        <v>0</v>
      </c>
      <c r="O690">
        <f t="shared" si="103"/>
        <v>0</v>
      </c>
      <c r="P690">
        <f t="shared" si="104"/>
        <v>0</v>
      </c>
      <c r="R690" t="str">
        <f t="shared" si="105"/>
        <v>00</v>
      </c>
    </row>
    <row r="691" spans="1:18" x14ac:dyDescent="0.4">
      <c r="A691" s="1" t="str">
        <f t="shared" si="108"/>
        <v>158</v>
      </c>
      <c r="B691">
        <f t="shared" si="109"/>
        <v>1</v>
      </c>
      <c r="C691">
        <f>VALUE(MID(Hex!$C$2,1+2*HEX2DEC(A691)+B691,1))</f>
        <v>4</v>
      </c>
      <c r="D691" s="1" t="str">
        <f t="shared" si="106"/>
        <v>2B1</v>
      </c>
      <c r="E691">
        <f>HEX2DEC(MID(Hex!$C$8,1+HEX2DEC(Edit!D691)*2,2))</f>
        <v>0</v>
      </c>
      <c r="F691">
        <f t="shared" si="107"/>
        <v>689</v>
      </c>
      <c r="G691" t="str">
        <f>_xlfn.LET(_xlpm.custom,_xlfn.XLOOKUP(F691,Data!A:A,Data!C:C),IF(_xlpm.custom="",_xlfn.XLOOKUP(F691,Data!A:A,Data!B:B),_xlpm.custom))</f>
        <v>Sprinklotad</v>
      </c>
      <c r="H691" t="str">
        <f>_xlfn.XLOOKUP(C691,Data!A:A,Data!E:E)</f>
        <v>Key</v>
      </c>
      <c r="J691">
        <f>IF(I691="",C691,_xlfn.XLOOKUP(I691,Data!E:E,Data!A:A,""))</f>
        <v>4</v>
      </c>
      <c r="L691">
        <f t="shared" si="101"/>
        <v>0</v>
      </c>
      <c r="M691">
        <f t="shared" si="102"/>
        <v>0</v>
      </c>
      <c r="N691">
        <f t="shared" si="110"/>
        <v>0</v>
      </c>
      <c r="O691">
        <f t="shared" si="103"/>
        <v>0</v>
      </c>
      <c r="P691">
        <f t="shared" si="104"/>
        <v>0</v>
      </c>
      <c r="R691" t="str">
        <f t="shared" si="105"/>
        <v>00</v>
      </c>
    </row>
    <row r="692" spans="1:18" x14ac:dyDescent="0.4">
      <c r="A692" s="1" t="str">
        <f t="shared" si="108"/>
        <v>159</v>
      </c>
      <c r="B692">
        <f t="shared" si="109"/>
        <v>0</v>
      </c>
      <c r="C692">
        <f>VALUE(MID(Hex!$C$2,1+2*HEX2DEC(A692)+B692,1))</f>
        <v>2</v>
      </c>
      <c r="D692" s="1" t="str">
        <f t="shared" si="106"/>
        <v>2B2</v>
      </c>
      <c r="E692">
        <f>HEX2DEC(MID(Hex!$C$8,1+HEX2DEC(Edit!D692)*2,2))</f>
        <v>0</v>
      </c>
      <c r="F692">
        <f t="shared" si="107"/>
        <v>690</v>
      </c>
      <c r="G692" t="str">
        <f>_xlfn.LET(_xlpm.custom,_xlfn.XLOOKUP(F692,Data!A:A,Data!C:C),IF(_xlpm.custom="",_xlfn.XLOOKUP(F692,Data!A:A,Data!B:B),_xlpm.custom))</f>
        <v>TM096</v>
      </c>
      <c r="H692" t="str">
        <f>_xlfn.XLOOKUP(C692,Data!A:A,Data!E:E)</f>
        <v>TM/HM</v>
      </c>
      <c r="J692">
        <f>IF(I692="",C692,_xlfn.XLOOKUP(I692,Data!E:E,Data!A:A,""))</f>
        <v>2</v>
      </c>
      <c r="L692">
        <f t="shared" si="101"/>
        <v>0</v>
      </c>
      <c r="M692">
        <f t="shared" si="102"/>
        <v>0</v>
      </c>
      <c r="N692">
        <f t="shared" si="110"/>
        <v>0</v>
      </c>
      <c r="O692">
        <f t="shared" si="103"/>
        <v>0</v>
      </c>
      <c r="P692">
        <f t="shared" si="104"/>
        <v>0</v>
      </c>
      <c r="R692" t="str">
        <f t="shared" si="105"/>
        <v>00</v>
      </c>
    </row>
    <row r="693" spans="1:18" x14ac:dyDescent="0.4">
      <c r="A693" s="1" t="str">
        <f t="shared" si="108"/>
        <v>159</v>
      </c>
      <c r="B693">
        <f t="shared" si="109"/>
        <v>1</v>
      </c>
      <c r="C693">
        <f>VALUE(MID(Hex!$C$2,1+2*HEX2DEC(A693)+B693,1))</f>
        <v>2</v>
      </c>
      <c r="D693" s="1" t="str">
        <f t="shared" si="106"/>
        <v>2B3</v>
      </c>
      <c r="E693">
        <f>HEX2DEC(MID(Hex!$C$8,1+HEX2DEC(Edit!D693)*2,2))</f>
        <v>0</v>
      </c>
      <c r="F693">
        <f t="shared" si="107"/>
        <v>691</v>
      </c>
      <c r="G693" t="str">
        <f>_xlfn.LET(_xlpm.custom,_xlfn.XLOOKUP(F693,Data!A:A,Data!C:C),IF(_xlpm.custom="",_xlfn.XLOOKUP(F693,Data!A:A,Data!B:B),_xlpm.custom))</f>
        <v>TM097</v>
      </c>
      <c r="H693" t="str">
        <f>_xlfn.XLOOKUP(C693,Data!A:A,Data!E:E)</f>
        <v>TM/HM</v>
      </c>
      <c r="J693">
        <f>IF(I693="",C693,_xlfn.XLOOKUP(I693,Data!E:E,Data!A:A,""))</f>
        <v>2</v>
      </c>
      <c r="L693">
        <f t="shared" si="101"/>
        <v>0</v>
      </c>
      <c r="M693">
        <f t="shared" si="102"/>
        <v>0</v>
      </c>
      <c r="N693">
        <f t="shared" si="110"/>
        <v>0</v>
      </c>
      <c r="O693">
        <f t="shared" si="103"/>
        <v>0</v>
      </c>
      <c r="P693">
        <f t="shared" si="104"/>
        <v>0</v>
      </c>
      <c r="R693" t="str">
        <f t="shared" si="105"/>
        <v>00</v>
      </c>
    </row>
    <row r="694" spans="1:18" x14ac:dyDescent="0.4">
      <c r="A694" s="1" t="str">
        <f t="shared" si="108"/>
        <v>15A</v>
      </c>
      <c r="B694">
        <f t="shared" si="109"/>
        <v>0</v>
      </c>
      <c r="C694">
        <f>VALUE(MID(Hex!$C$2,1+2*HEX2DEC(A694)+B694,1))</f>
        <v>2</v>
      </c>
      <c r="D694" s="1" t="str">
        <f t="shared" si="106"/>
        <v>2B4</v>
      </c>
      <c r="E694">
        <f>HEX2DEC(MID(Hex!$C$8,1+HEX2DEC(Edit!D694)*2,2))</f>
        <v>0</v>
      </c>
      <c r="F694">
        <f t="shared" si="107"/>
        <v>692</v>
      </c>
      <c r="G694" t="str">
        <f>_xlfn.LET(_xlpm.custom,_xlfn.XLOOKUP(F694,Data!A:A,Data!C:C),IF(_xlpm.custom="",_xlfn.XLOOKUP(F694,Data!A:A,Data!B:B),_xlpm.custom))</f>
        <v>TM098</v>
      </c>
      <c r="H694" t="str">
        <f>_xlfn.XLOOKUP(C694,Data!A:A,Data!E:E)</f>
        <v>TM/HM</v>
      </c>
      <c r="J694">
        <f>IF(I694="",C694,_xlfn.XLOOKUP(I694,Data!E:E,Data!A:A,""))</f>
        <v>2</v>
      </c>
      <c r="L694">
        <f t="shared" si="101"/>
        <v>0</v>
      </c>
      <c r="M694">
        <f t="shared" si="102"/>
        <v>0</v>
      </c>
      <c r="N694">
        <f t="shared" si="110"/>
        <v>0</v>
      </c>
      <c r="O694">
        <f t="shared" si="103"/>
        <v>0</v>
      </c>
      <c r="P694">
        <f t="shared" si="104"/>
        <v>0</v>
      </c>
      <c r="R694" t="str">
        <f t="shared" si="105"/>
        <v>00</v>
      </c>
    </row>
    <row r="695" spans="1:18" x14ac:dyDescent="0.4">
      <c r="A695" s="1" t="str">
        <f t="shared" si="108"/>
        <v>15A</v>
      </c>
      <c r="B695">
        <f t="shared" si="109"/>
        <v>1</v>
      </c>
      <c r="C695">
        <f>VALUE(MID(Hex!$C$2,1+2*HEX2DEC(A695)+B695,1))</f>
        <v>2</v>
      </c>
      <c r="D695" s="1" t="str">
        <f t="shared" si="106"/>
        <v>2B5</v>
      </c>
      <c r="E695">
        <f>HEX2DEC(MID(Hex!$C$8,1+HEX2DEC(Edit!D695)*2,2))</f>
        <v>0</v>
      </c>
      <c r="F695">
        <f t="shared" si="107"/>
        <v>693</v>
      </c>
      <c r="G695" t="str">
        <f>_xlfn.LET(_xlpm.custom,_xlfn.XLOOKUP(F695,Data!A:A,Data!C:C),IF(_xlpm.custom="",_xlfn.XLOOKUP(F695,Data!A:A,Data!B:B),_xlpm.custom))</f>
        <v>TM099</v>
      </c>
      <c r="H695" t="str">
        <f>_xlfn.XLOOKUP(C695,Data!A:A,Data!E:E)</f>
        <v>TM/HM</v>
      </c>
      <c r="J695">
        <f>IF(I695="",C695,_xlfn.XLOOKUP(I695,Data!E:E,Data!A:A,""))</f>
        <v>2</v>
      </c>
      <c r="L695">
        <f t="shared" si="101"/>
        <v>0</v>
      </c>
      <c r="M695">
        <f t="shared" si="102"/>
        <v>0</v>
      </c>
      <c r="N695">
        <f t="shared" si="110"/>
        <v>0</v>
      </c>
      <c r="O695">
        <f t="shared" si="103"/>
        <v>0</v>
      </c>
      <c r="P695">
        <f t="shared" si="104"/>
        <v>0</v>
      </c>
      <c r="R695" t="str">
        <f t="shared" si="105"/>
        <v>00</v>
      </c>
    </row>
    <row r="696" spans="1:18" x14ac:dyDescent="0.4">
      <c r="A696" s="1" t="str">
        <f t="shared" si="108"/>
        <v>15B</v>
      </c>
      <c r="B696">
        <f t="shared" si="109"/>
        <v>0</v>
      </c>
      <c r="C696">
        <f>VALUE(MID(Hex!$C$2,1+2*HEX2DEC(A696)+B696,1))</f>
        <v>2</v>
      </c>
      <c r="D696" s="1" t="str">
        <f t="shared" si="106"/>
        <v>2B6</v>
      </c>
      <c r="E696">
        <f>HEX2DEC(MID(Hex!$C$8,1+HEX2DEC(Edit!D696)*2,2))</f>
        <v>0</v>
      </c>
      <c r="F696">
        <f t="shared" si="107"/>
        <v>694</v>
      </c>
      <c r="G696" t="str">
        <f>_xlfn.LET(_xlpm.custom,_xlfn.XLOOKUP(F696,Data!A:A,Data!C:C),IF(_xlpm.custom="",_xlfn.XLOOKUP(F696,Data!A:A,Data!B:B),_xlpm.custom))</f>
        <v>TM100</v>
      </c>
      <c r="H696" t="str">
        <f>_xlfn.XLOOKUP(C696,Data!A:A,Data!E:E)</f>
        <v>TM/HM</v>
      </c>
      <c r="J696">
        <f>IF(I696="",C696,_xlfn.XLOOKUP(I696,Data!E:E,Data!A:A,""))</f>
        <v>2</v>
      </c>
      <c r="L696">
        <f t="shared" si="101"/>
        <v>0</v>
      </c>
      <c r="M696">
        <f t="shared" si="102"/>
        <v>0</v>
      </c>
      <c r="N696">
        <f t="shared" si="110"/>
        <v>0</v>
      </c>
      <c r="O696">
        <f t="shared" si="103"/>
        <v>0</v>
      </c>
      <c r="P696">
        <f t="shared" si="104"/>
        <v>0</v>
      </c>
      <c r="R696" t="str">
        <f t="shared" si="105"/>
        <v>00</v>
      </c>
    </row>
    <row r="697" spans="1:18" x14ac:dyDescent="0.4">
      <c r="A697" s="1" t="str">
        <f t="shared" si="108"/>
        <v>15B</v>
      </c>
      <c r="B697">
        <f t="shared" si="109"/>
        <v>1</v>
      </c>
      <c r="C697">
        <f>VALUE(MID(Hex!$C$2,1+2*HEX2DEC(A697)+B697,1))</f>
        <v>4</v>
      </c>
      <c r="D697" s="1" t="str">
        <f t="shared" si="106"/>
        <v>2B7</v>
      </c>
      <c r="E697">
        <f>HEX2DEC(MID(Hex!$C$8,1+HEX2DEC(Edit!D697)*2,2))</f>
        <v>0</v>
      </c>
      <c r="F697">
        <f t="shared" si="107"/>
        <v>695</v>
      </c>
      <c r="G697" t="str">
        <f>_xlfn.LET(_xlpm.custom,_xlfn.XLOOKUP(F697,Data!A:A,Data!C:C),IF(_xlpm.custom="",_xlfn.XLOOKUP(F697,Data!A:A,Data!B:B),_xlpm.custom))</f>
        <v>Power Plant Pass</v>
      </c>
      <c r="H697" t="str">
        <f>_xlfn.XLOOKUP(C697,Data!A:A,Data!E:E)</f>
        <v>Key</v>
      </c>
      <c r="J697">
        <f>IF(I697="",C697,_xlfn.XLOOKUP(I697,Data!E:E,Data!A:A,""))</f>
        <v>4</v>
      </c>
      <c r="L697">
        <f t="shared" si="101"/>
        <v>0</v>
      </c>
      <c r="M697">
        <f t="shared" si="102"/>
        <v>0</v>
      </c>
      <c r="N697">
        <f t="shared" si="110"/>
        <v>0</v>
      </c>
      <c r="O697">
        <f t="shared" si="103"/>
        <v>0</v>
      </c>
      <c r="P697">
        <f t="shared" si="104"/>
        <v>0</v>
      </c>
      <c r="R697" t="str">
        <f t="shared" si="105"/>
        <v>00</v>
      </c>
    </row>
    <row r="698" spans="1:18" x14ac:dyDescent="0.4">
      <c r="A698" s="1" t="str">
        <f t="shared" si="108"/>
        <v>15C</v>
      </c>
      <c r="B698">
        <f t="shared" si="109"/>
        <v>0</v>
      </c>
      <c r="C698">
        <f>VALUE(MID(Hex!$C$2,1+2*HEX2DEC(A698)+B698,1))</f>
        <v>4</v>
      </c>
      <c r="D698" s="1" t="str">
        <f t="shared" si="106"/>
        <v>2B8</v>
      </c>
      <c r="E698">
        <f>HEX2DEC(MID(Hex!$C$8,1+HEX2DEC(Edit!D698)*2,2))</f>
        <v>0</v>
      </c>
      <c r="F698">
        <f t="shared" si="107"/>
        <v>696</v>
      </c>
      <c r="G698" t="str">
        <f>_xlfn.LET(_xlpm.custom,_xlfn.XLOOKUP(F698,Data!A:A,Data!C:C),IF(_xlpm.custom="",_xlfn.XLOOKUP(F698,Data!A:A,Data!B:B),_xlpm.custom))</f>
        <v>Mega Ring</v>
      </c>
      <c r="H698" t="str">
        <f>_xlfn.XLOOKUP(C698,Data!A:A,Data!E:E)</f>
        <v>Key</v>
      </c>
      <c r="J698">
        <f>IF(I698="",C698,_xlfn.XLOOKUP(I698,Data!E:E,Data!A:A,""))</f>
        <v>4</v>
      </c>
      <c r="L698">
        <f t="shared" si="101"/>
        <v>0</v>
      </c>
      <c r="M698">
        <f t="shared" si="102"/>
        <v>0</v>
      </c>
      <c r="N698">
        <f t="shared" si="110"/>
        <v>0</v>
      </c>
      <c r="O698">
        <f t="shared" si="103"/>
        <v>0</v>
      </c>
      <c r="P698">
        <f t="shared" si="104"/>
        <v>0</v>
      </c>
      <c r="R698" t="str">
        <f t="shared" si="105"/>
        <v>00</v>
      </c>
    </row>
    <row r="699" spans="1:18" x14ac:dyDescent="0.4">
      <c r="A699" s="1" t="str">
        <f t="shared" si="108"/>
        <v>15C</v>
      </c>
      <c r="B699">
        <f t="shared" si="109"/>
        <v>1</v>
      </c>
      <c r="C699">
        <f>VALUE(MID(Hex!$C$2,1+2*HEX2DEC(A699)+B699,1))</f>
        <v>4</v>
      </c>
      <c r="D699" s="1" t="str">
        <f t="shared" si="106"/>
        <v>2B9</v>
      </c>
      <c r="E699">
        <f>HEX2DEC(MID(Hex!$C$8,1+HEX2DEC(Edit!D699)*2,2))</f>
        <v>0</v>
      </c>
      <c r="F699">
        <f t="shared" si="107"/>
        <v>697</v>
      </c>
      <c r="G699" t="str">
        <f>_xlfn.LET(_xlpm.custom,_xlfn.XLOOKUP(F699,Data!A:A,Data!C:C),IF(_xlpm.custom="",_xlfn.XLOOKUP(F699,Data!A:A,Data!B:B),_xlpm.custom))</f>
        <v>Intriguing Stone</v>
      </c>
      <c r="H699" t="str">
        <f>_xlfn.XLOOKUP(C699,Data!A:A,Data!E:E)</f>
        <v>Key</v>
      </c>
      <c r="J699">
        <f>IF(I699="",C699,_xlfn.XLOOKUP(I699,Data!E:E,Data!A:A,""))</f>
        <v>4</v>
      </c>
      <c r="L699">
        <f t="shared" si="101"/>
        <v>0</v>
      </c>
      <c r="M699">
        <f t="shared" si="102"/>
        <v>0</v>
      </c>
      <c r="N699">
        <f t="shared" si="110"/>
        <v>0</v>
      </c>
      <c r="O699">
        <f t="shared" si="103"/>
        <v>0</v>
      </c>
      <c r="P699">
        <f t="shared" si="104"/>
        <v>0</v>
      </c>
      <c r="R699" t="str">
        <f t="shared" si="105"/>
        <v>00</v>
      </c>
    </row>
    <row r="700" spans="1:18" x14ac:dyDescent="0.4">
      <c r="A700" s="1" t="str">
        <f t="shared" si="108"/>
        <v>15D</v>
      </c>
      <c r="B700">
        <f t="shared" si="109"/>
        <v>0</v>
      </c>
      <c r="C700">
        <f>VALUE(MID(Hex!$C$2,1+2*HEX2DEC(A700)+B700,1))</f>
        <v>4</v>
      </c>
      <c r="D700" s="1" t="str">
        <f t="shared" si="106"/>
        <v>2BA</v>
      </c>
      <c r="E700">
        <f>HEX2DEC(MID(Hex!$C$8,1+HEX2DEC(Edit!D700)*2,2))</f>
        <v>0</v>
      </c>
      <c r="F700">
        <f t="shared" si="107"/>
        <v>698</v>
      </c>
      <c r="G700" t="str">
        <f>_xlfn.LET(_xlpm.custom,_xlfn.XLOOKUP(F700,Data!A:A,Data!C:C),IF(_xlpm.custom="",_xlfn.XLOOKUP(F700,Data!A:A,Data!B:B),_xlpm.custom))</f>
        <v>Common Stone</v>
      </c>
      <c r="H700" t="str">
        <f>_xlfn.XLOOKUP(C700,Data!A:A,Data!E:E)</f>
        <v>Key</v>
      </c>
      <c r="J700">
        <f>IF(I700="",C700,_xlfn.XLOOKUP(I700,Data!E:E,Data!A:A,""))</f>
        <v>4</v>
      </c>
      <c r="L700">
        <f t="shared" si="101"/>
        <v>0</v>
      </c>
      <c r="M700">
        <f t="shared" si="102"/>
        <v>0</v>
      </c>
      <c r="N700">
        <f t="shared" si="110"/>
        <v>0</v>
      </c>
      <c r="O700">
        <f t="shared" si="103"/>
        <v>0</v>
      </c>
      <c r="P700">
        <f t="shared" si="104"/>
        <v>0</v>
      </c>
      <c r="R700" t="str">
        <f t="shared" si="105"/>
        <v>00</v>
      </c>
    </row>
    <row r="701" spans="1:18" x14ac:dyDescent="0.4">
      <c r="A701" s="1" t="str">
        <f t="shared" si="108"/>
        <v>15D</v>
      </c>
      <c r="B701">
        <f t="shared" si="109"/>
        <v>1</v>
      </c>
      <c r="C701">
        <f>VALUE(MID(Hex!$C$2,1+2*HEX2DEC(A701)+B701,1))</f>
        <v>0</v>
      </c>
      <c r="D701" s="1" t="str">
        <f t="shared" si="106"/>
        <v>2BB</v>
      </c>
      <c r="E701">
        <f>HEX2DEC(MID(Hex!$C$8,1+HEX2DEC(Edit!D701)*2,2))</f>
        <v>0</v>
      </c>
      <c r="F701">
        <f t="shared" si="107"/>
        <v>699</v>
      </c>
      <c r="G701" t="str">
        <f>_xlfn.LET(_xlpm.custom,_xlfn.XLOOKUP(F701,Data!A:A,Data!C:C),IF(_xlpm.custom="",_xlfn.XLOOKUP(F701,Data!A:A,Data!B:B),_xlpm.custom))</f>
        <v>Discount Coupon</v>
      </c>
      <c r="H701" t="str">
        <f>_xlfn.XLOOKUP(C701,Data!A:A,Data!E:E)</f>
        <v>General</v>
      </c>
      <c r="J701">
        <f>IF(I701="",C701,_xlfn.XLOOKUP(I701,Data!E:E,Data!A:A,""))</f>
        <v>0</v>
      </c>
      <c r="L701">
        <f t="shared" si="101"/>
        <v>0</v>
      </c>
      <c r="M701">
        <f t="shared" si="102"/>
        <v>0</v>
      </c>
      <c r="N701">
        <f t="shared" si="110"/>
        <v>0</v>
      </c>
      <c r="O701">
        <f t="shared" si="103"/>
        <v>0</v>
      </c>
      <c r="P701">
        <f t="shared" si="104"/>
        <v>0</v>
      </c>
      <c r="R701" t="str">
        <f t="shared" si="105"/>
        <v>00</v>
      </c>
    </row>
    <row r="702" spans="1:18" x14ac:dyDescent="0.4">
      <c r="A702" s="1" t="str">
        <f t="shared" si="108"/>
        <v>15E</v>
      </c>
      <c r="B702">
        <f t="shared" si="109"/>
        <v>0</v>
      </c>
      <c r="C702">
        <f>VALUE(MID(Hex!$C$2,1+2*HEX2DEC(A702)+B702,1))</f>
        <v>4</v>
      </c>
      <c r="D702" s="1" t="str">
        <f t="shared" si="106"/>
        <v>2BC</v>
      </c>
      <c r="E702">
        <f>HEX2DEC(MID(Hex!$C$8,1+HEX2DEC(Edit!D702)*2,2))</f>
        <v>0</v>
      </c>
      <c r="F702">
        <f t="shared" si="107"/>
        <v>700</v>
      </c>
      <c r="G702" t="str">
        <f>_xlfn.LET(_xlpm.custom,_xlfn.XLOOKUP(F702,Data!A:A,Data!C:C),IF(_xlpm.custom="",_xlfn.XLOOKUP(F702,Data!A:A,Data!B:B),_xlpm.custom))</f>
        <v>Elevator Key</v>
      </c>
      <c r="H702" t="str">
        <f>_xlfn.XLOOKUP(C702,Data!A:A,Data!E:E)</f>
        <v>Key</v>
      </c>
      <c r="J702">
        <f>IF(I702="",C702,_xlfn.XLOOKUP(I702,Data!E:E,Data!A:A,""))</f>
        <v>4</v>
      </c>
      <c r="L702">
        <f t="shared" si="101"/>
        <v>0</v>
      </c>
      <c r="M702">
        <f t="shared" si="102"/>
        <v>0</v>
      </c>
      <c r="N702">
        <f t="shared" si="110"/>
        <v>0</v>
      </c>
      <c r="O702">
        <f t="shared" si="103"/>
        <v>0</v>
      </c>
      <c r="P702">
        <f t="shared" si="104"/>
        <v>0</v>
      </c>
      <c r="R702" t="str">
        <f t="shared" si="105"/>
        <v>00</v>
      </c>
    </row>
    <row r="703" spans="1:18" x14ac:dyDescent="0.4">
      <c r="A703" s="1" t="str">
        <f t="shared" si="108"/>
        <v>15E</v>
      </c>
      <c r="B703">
        <f t="shared" si="109"/>
        <v>1</v>
      </c>
      <c r="C703">
        <f>VALUE(MID(Hex!$C$2,1+2*HEX2DEC(A703)+B703,1))</f>
        <v>4</v>
      </c>
      <c r="D703" s="1" t="str">
        <f t="shared" si="106"/>
        <v>2BD</v>
      </c>
      <c r="E703">
        <f>HEX2DEC(MID(Hex!$C$8,1+HEX2DEC(Edit!D703)*2,2))</f>
        <v>0</v>
      </c>
      <c r="F703">
        <f t="shared" si="107"/>
        <v>701</v>
      </c>
      <c r="G703" t="str">
        <f>_xlfn.LET(_xlpm.custom,_xlfn.XLOOKUP(F703,Data!A:A,Data!C:C),IF(_xlpm.custom="",_xlfn.XLOOKUP(F703,Data!A:A,Data!B:B),_xlpm.custom))</f>
        <v>TMV Pass</v>
      </c>
      <c r="H703" t="str">
        <f>_xlfn.XLOOKUP(C703,Data!A:A,Data!E:E)</f>
        <v>Key</v>
      </c>
      <c r="J703">
        <f>IF(I703="",C703,_xlfn.XLOOKUP(I703,Data!E:E,Data!A:A,""))</f>
        <v>4</v>
      </c>
      <c r="L703">
        <f t="shared" si="101"/>
        <v>0</v>
      </c>
      <c r="M703">
        <f t="shared" si="102"/>
        <v>0</v>
      </c>
      <c r="N703">
        <f t="shared" si="110"/>
        <v>0</v>
      </c>
      <c r="O703">
        <f t="shared" si="103"/>
        <v>0</v>
      </c>
      <c r="P703">
        <f t="shared" si="104"/>
        <v>0</v>
      </c>
      <c r="R703" t="str">
        <f t="shared" si="105"/>
        <v>00</v>
      </c>
    </row>
    <row r="704" spans="1:18" x14ac:dyDescent="0.4">
      <c r="A704" s="1" t="str">
        <f t="shared" si="108"/>
        <v>15F</v>
      </c>
      <c r="B704">
        <f t="shared" si="109"/>
        <v>0</v>
      </c>
      <c r="C704">
        <f>VALUE(MID(Hex!$C$2,1+2*HEX2DEC(A704)+B704,1))</f>
        <v>4</v>
      </c>
      <c r="D704" s="1" t="str">
        <f t="shared" si="106"/>
        <v>2BE</v>
      </c>
      <c r="E704">
        <f>HEX2DEC(MID(Hex!$C$8,1+HEX2DEC(Edit!D704)*2,2))</f>
        <v>0</v>
      </c>
      <c r="F704">
        <f t="shared" si="107"/>
        <v>702</v>
      </c>
      <c r="G704" t="str">
        <f>_xlfn.LET(_xlpm.custom,_xlfn.XLOOKUP(F704,Data!A:A,Data!C:C),IF(_xlpm.custom="",_xlfn.XLOOKUP(F704,Data!A:A,Data!B:B),_xlpm.custom))</f>
        <v>Honor of Kalos</v>
      </c>
      <c r="H704" t="str">
        <f>_xlfn.XLOOKUP(C704,Data!A:A,Data!E:E)</f>
        <v>Key</v>
      </c>
      <c r="J704">
        <f>IF(I704="",C704,_xlfn.XLOOKUP(I704,Data!E:E,Data!A:A,""))</f>
        <v>4</v>
      </c>
      <c r="L704">
        <f t="shared" si="101"/>
        <v>0</v>
      </c>
      <c r="M704">
        <f t="shared" si="102"/>
        <v>0</v>
      </c>
      <c r="N704">
        <f t="shared" si="110"/>
        <v>0</v>
      </c>
      <c r="O704">
        <f t="shared" si="103"/>
        <v>0</v>
      </c>
      <c r="P704">
        <f t="shared" si="104"/>
        <v>0</v>
      </c>
      <c r="R704" t="str">
        <f t="shared" si="105"/>
        <v>00</v>
      </c>
    </row>
    <row r="705" spans="1:18" x14ac:dyDescent="0.4">
      <c r="A705" s="1" t="str">
        <f t="shared" si="108"/>
        <v>15F</v>
      </c>
      <c r="B705">
        <f t="shared" si="109"/>
        <v>1</v>
      </c>
      <c r="C705">
        <f>VALUE(MID(Hex!$C$2,1+2*HEX2DEC(A705)+B705,1))</f>
        <v>4</v>
      </c>
      <c r="D705" s="1" t="str">
        <f t="shared" si="106"/>
        <v>2BF</v>
      </c>
      <c r="E705">
        <f>HEX2DEC(MID(Hex!$C$8,1+HEX2DEC(Edit!D705)*2,2))</f>
        <v>0</v>
      </c>
      <c r="F705">
        <f t="shared" si="107"/>
        <v>703</v>
      </c>
      <c r="G705" t="str">
        <f>_xlfn.LET(_xlpm.custom,_xlfn.XLOOKUP(F705,Data!A:A,Data!C:C),IF(_xlpm.custom="",_xlfn.XLOOKUP(F705,Data!A:A,Data!B:B),_xlpm.custom))</f>
        <v>Adventure Rules</v>
      </c>
      <c r="H705" t="str">
        <f>_xlfn.XLOOKUP(C705,Data!A:A,Data!E:E)</f>
        <v>Key</v>
      </c>
      <c r="J705">
        <f>IF(I705="",C705,_xlfn.XLOOKUP(I705,Data!E:E,Data!A:A,""))</f>
        <v>4</v>
      </c>
      <c r="L705">
        <f t="shared" si="101"/>
        <v>0</v>
      </c>
      <c r="M705">
        <f t="shared" si="102"/>
        <v>0</v>
      </c>
      <c r="N705">
        <f t="shared" si="110"/>
        <v>0</v>
      </c>
      <c r="O705">
        <f t="shared" si="103"/>
        <v>0</v>
      </c>
      <c r="P705">
        <f t="shared" si="104"/>
        <v>0</v>
      </c>
      <c r="R705" t="str">
        <f t="shared" si="105"/>
        <v>00</v>
      </c>
    </row>
    <row r="706" spans="1:18" x14ac:dyDescent="0.4">
      <c r="A706" s="1" t="str">
        <f t="shared" si="108"/>
        <v>160</v>
      </c>
      <c r="B706">
        <f t="shared" si="109"/>
        <v>0</v>
      </c>
      <c r="C706">
        <f>VALUE(MID(Hex!$C$2,1+2*HEX2DEC(A706)+B706,1))</f>
        <v>0</v>
      </c>
      <c r="D706" s="1" t="str">
        <f t="shared" si="106"/>
        <v>2C0</v>
      </c>
      <c r="E706">
        <f>HEX2DEC(MID(Hex!$C$8,1+HEX2DEC(Edit!D706)*2,2))</f>
        <v>0</v>
      </c>
      <c r="F706">
        <f t="shared" si="107"/>
        <v>704</v>
      </c>
      <c r="G706" t="str">
        <f>_xlfn.LET(_xlpm.custom,_xlfn.XLOOKUP(F706,Data!A:A,Data!C:C),IF(_xlpm.custom="",_xlfn.XLOOKUP(F706,Data!A:A,Data!B:B),_xlpm.custom))</f>
        <v>Strange Souvenir</v>
      </c>
      <c r="H706" t="str">
        <f>_xlfn.XLOOKUP(C706,Data!A:A,Data!E:E)</f>
        <v>General</v>
      </c>
      <c r="J706">
        <f>IF(I706="",C706,_xlfn.XLOOKUP(I706,Data!E:E,Data!A:A,""))</f>
        <v>0</v>
      </c>
      <c r="L706">
        <f t="shared" si="101"/>
        <v>0</v>
      </c>
      <c r="M706">
        <f t="shared" si="102"/>
        <v>0</v>
      </c>
      <c r="N706">
        <f t="shared" si="110"/>
        <v>0</v>
      </c>
      <c r="O706">
        <f t="shared" si="103"/>
        <v>0</v>
      </c>
      <c r="P706">
        <f t="shared" si="104"/>
        <v>0</v>
      </c>
      <c r="R706" t="str">
        <f t="shared" si="105"/>
        <v>00</v>
      </c>
    </row>
    <row r="707" spans="1:18" x14ac:dyDescent="0.4">
      <c r="A707" s="1" t="str">
        <f t="shared" si="108"/>
        <v>160</v>
      </c>
      <c r="B707">
        <f t="shared" si="109"/>
        <v>1</v>
      </c>
      <c r="C707">
        <f>VALUE(MID(Hex!$C$2,1+2*HEX2DEC(A707)+B707,1))</f>
        <v>4</v>
      </c>
      <c r="D707" s="1" t="str">
        <f t="shared" si="106"/>
        <v>2C1</v>
      </c>
      <c r="E707">
        <f>HEX2DEC(MID(Hex!$C$8,1+HEX2DEC(Edit!D707)*2,2))</f>
        <v>0</v>
      </c>
      <c r="F707">
        <f t="shared" si="107"/>
        <v>705</v>
      </c>
      <c r="G707" t="str">
        <f>_xlfn.LET(_xlpm.custom,_xlfn.XLOOKUP(F707,Data!A:A,Data!C:C),IF(_xlpm.custom="",_xlfn.XLOOKUP(F707,Data!A:A,Data!B:B),_xlpm.custom))</f>
        <v>Lens Case</v>
      </c>
      <c r="H707" t="str">
        <f>_xlfn.XLOOKUP(C707,Data!A:A,Data!E:E)</f>
        <v>Key</v>
      </c>
      <c r="J707">
        <f>IF(I707="",C707,_xlfn.XLOOKUP(I707,Data!E:E,Data!A:A,""))</f>
        <v>4</v>
      </c>
      <c r="L707">
        <f t="shared" ref="L707:L770" si="111">_xlfn.BITAND(E707,1)</f>
        <v>0</v>
      </c>
      <c r="M707">
        <f t="shared" ref="M707:M770" si="112">_xlfn.BITAND($E707,2)</f>
        <v>0</v>
      </c>
      <c r="N707">
        <f t="shared" si="110"/>
        <v>0</v>
      </c>
      <c r="O707">
        <f t="shared" ref="O707:O770" si="113">_xlfn.BITAND($E707,8)</f>
        <v>0</v>
      </c>
      <c r="P707">
        <f t="shared" ref="P707:P770" si="114">_xlfn.BITAND($E707,16)</f>
        <v>0</v>
      </c>
      <c r="R707" t="str">
        <f t="shared" ref="R707:R770" si="115">DEC2HEX(SUM(L707:P707),2)</f>
        <v>00</v>
      </c>
    </row>
    <row r="708" spans="1:18" x14ac:dyDescent="0.4">
      <c r="A708" s="1" t="str">
        <f t="shared" si="108"/>
        <v>161</v>
      </c>
      <c r="B708">
        <f t="shared" si="109"/>
        <v>0</v>
      </c>
      <c r="C708">
        <f>VALUE(MID(Hex!$C$2,1+2*HEX2DEC(A708)+B708,1))</f>
        <v>4</v>
      </c>
      <c r="D708" s="1" t="str">
        <f t="shared" ref="D708:D771" si="116">DEC2HEX(1+HEX2DEC(D707),3)</f>
        <v>2C2</v>
      </c>
      <c r="E708">
        <f>HEX2DEC(MID(Hex!$C$8,1+HEX2DEC(Edit!D708)*2,2))</f>
        <v>0</v>
      </c>
      <c r="F708">
        <f t="shared" ref="F708:F771" si="117">F707+1</f>
        <v>706</v>
      </c>
      <c r="G708" t="str">
        <f>_xlfn.LET(_xlpm.custom,_xlfn.XLOOKUP(F708,Data!A:A,Data!C:C),IF(_xlpm.custom="",_xlfn.XLOOKUP(F708,Data!A:A,Data!B:B),_xlpm.custom))</f>
        <v>Makeup Bag</v>
      </c>
      <c r="H708" t="str">
        <f>_xlfn.XLOOKUP(C708,Data!A:A,Data!E:E)</f>
        <v>Key</v>
      </c>
      <c r="J708">
        <f>IF(I708="",C708,_xlfn.XLOOKUP(I708,Data!E:E,Data!A:A,""))</f>
        <v>4</v>
      </c>
      <c r="L708">
        <f t="shared" si="111"/>
        <v>0</v>
      </c>
      <c r="M708">
        <f t="shared" si="112"/>
        <v>0</v>
      </c>
      <c r="N708">
        <f t="shared" si="110"/>
        <v>0</v>
      </c>
      <c r="O708">
        <f t="shared" si="113"/>
        <v>0</v>
      </c>
      <c r="P708">
        <f t="shared" si="114"/>
        <v>0</v>
      </c>
      <c r="R708" t="str">
        <f t="shared" si="115"/>
        <v>00</v>
      </c>
    </row>
    <row r="709" spans="1:18" x14ac:dyDescent="0.4">
      <c r="A709" s="1" t="str">
        <f t="shared" ref="A709:A772" si="118">DEC2HEX(1+HEX2DEC(A707),3)</f>
        <v>161</v>
      </c>
      <c r="B709">
        <f t="shared" ref="B709:B772" si="119">B707</f>
        <v>1</v>
      </c>
      <c r="C709">
        <f>VALUE(MID(Hex!$C$2,1+2*HEX2DEC(A709)+B709,1))</f>
        <v>4</v>
      </c>
      <c r="D709" s="1" t="str">
        <f t="shared" si="116"/>
        <v>2C3</v>
      </c>
      <c r="E709">
        <f>HEX2DEC(MID(Hex!$C$8,1+HEX2DEC(Edit!D709)*2,2))</f>
        <v>0</v>
      </c>
      <c r="F709">
        <f t="shared" si="117"/>
        <v>707</v>
      </c>
      <c r="G709" t="str">
        <f>_xlfn.LET(_xlpm.custom,_xlfn.XLOOKUP(F709,Data!A:A,Data!C:C),IF(_xlpm.custom="",_xlfn.XLOOKUP(F709,Data!A:A,Data!B:B),_xlpm.custom))</f>
        <v>Travel Trunk</v>
      </c>
      <c r="H709" t="str">
        <f>_xlfn.XLOOKUP(C709,Data!A:A,Data!E:E)</f>
        <v>Key</v>
      </c>
      <c r="J709">
        <f>IF(I709="",C709,_xlfn.XLOOKUP(I709,Data!E:E,Data!A:A,""))</f>
        <v>4</v>
      </c>
      <c r="L709">
        <f t="shared" si="111"/>
        <v>0</v>
      </c>
      <c r="M709">
        <f t="shared" si="112"/>
        <v>0</v>
      </c>
      <c r="N709">
        <f t="shared" si="110"/>
        <v>0</v>
      </c>
      <c r="O709">
        <f t="shared" si="113"/>
        <v>0</v>
      </c>
      <c r="P709">
        <f t="shared" si="114"/>
        <v>0</v>
      </c>
      <c r="R709" t="str">
        <f t="shared" si="115"/>
        <v>00</v>
      </c>
    </row>
    <row r="710" spans="1:18" x14ac:dyDescent="0.4">
      <c r="A710" s="1" t="str">
        <f t="shared" si="118"/>
        <v>162</v>
      </c>
      <c r="B710">
        <f t="shared" si="119"/>
        <v>0</v>
      </c>
      <c r="C710">
        <f>VALUE(MID(Hex!$C$2,1+2*HEX2DEC(A710)+B710,1))</f>
        <v>1</v>
      </c>
      <c r="D710" s="1" t="str">
        <f t="shared" si="116"/>
        <v>2C4</v>
      </c>
      <c r="E710">
        <f>HEX2DEC(MID(Hex!$C$8,1+HEX2DEC(Edit!D710)*2,2))</f>
        <v>8</v>
      </c>
      <c r="F710">
        <f t="shared" si="117"/>
        <v>708</v>
      </c>
      <c r="G710" t="str">
        <f>_xlfn.LET(_xlpm.custom,_xlfn.XLOOKUP(F710,Data!A:A,Data!C:C),IF(_xlpm.custom="",_xlfn.XLOOKUP(F710,Data!A:A,Data!B:B),_xlpm.custom))</f>
        <v>Lumiose Galette</v>
      </c>
      <c r="H710" t="str">
        <f>_xlfn.XLOOKUP(C710,Data!A:A,Data!E:E)</f>
        <v>Medicine</v>
      </c>
      <c r="J710">
        <f>IF(I710="",C710,_xlfn.XLOOKUP(I710,Data!E:E,Data!A:A,""))</f>
        <v>1</v>
      </c>
      <c r="L710">
        <f t="shared" si="111"/>
        <v>0</v>
      </c>
      <c r="M710">
        <f t="shared" si="112"/>
        <v>0</v>
      </c>
      <c r="N710">
        <f t="shared" si="110"/>
        <v>0</v>
      </c>
      <c r="O710">
        <f t="shared" si="113"/>
        <v>8</v>
      </c>
      <c r="P710">
        <f t="shared" si="114"/>
        <v>0</v>
      </c>
      <c r="R710" t="str">
        <f t="shared" si="115"/>
        <v>08</v>
      </c>
    </row>
    <row r="711" spans="1:18" x14ac:dyDescent="0.4">
      <c r="A711" s="1" t="str">
        <f t="shared" si="118"/>
        <v>162</v>
      </c>
      <c r="B711">
        <f t="shared" si="119"/>
        <v>1</v>
      </c>
      <c r="C711">
        <f>VALUE(MID(Hex!$C$2,1+2*HEX2DEC(A711)+B711,1))</f>
        <v>1</v>
      </c>
      <c r="D711" s="1" t="str">
        <f t="shared" si="116"/>
        <v>2C5</v>
      </c>
      <c r="E711">
        <f>HEX2DEC(MID(Hex!$C$8,1+HEX2DEC(Edit!D711)*2,2))</f>
        <v>8</v>
      </c>
      <c r="F711">
        <f t="shared" si="117"/>
        <v>709</v>
      </c>
      <c r="G711" t="str">
        <f>_xlfn.LET(_xlpm.custom,_xlfn.XLOOKUP(F711,Data!A:A,Data!C:C),IF(_xlpm.custom="",_xlfn.XLOOKUP(F711,Data!A:A,Data!B:B),_xlpm.custom))</f>
        <v>Shalour Sable</v>
      </c>
      <c r="H711" t="str">
        <f>_xlfn.XLOOKUP(C711,Data!A:A,Data!E:E)</f>
        <v>Medicine</v>
      </c>
      <c r="J711">
        <f>IF(I711="",C711,_xlfn.XLOOKUP(I711,Data!E:E,Data!A:A,""))</f>
        <v>1</v>
      </c>
      <c r="L711">
        <f t="shared" si="111"/>
        <v>0</v>
      </c>
      <c r="M711">
        <f t="shared" si="112"/>
        <v>0</v>
      </c>
      <c r="N711">
        <f t="shared" si="110"/>
        <v>0</v>
      </c>
      <c r="O711">
        <f t="shared" si="113"/>
        <v>8</v>
      </c>
      <c r="P711">
        <f t="shared" si="114"/>
        <v>0</v>
      </c>
      <c r="R711" t="str">
        <f t="shared" si="115"/>
        <v>08</v>
      </c>
    </row>
    <row r="712" spans="1:18" x14ac:dyDescent="0.4">
      <c r="A712" s="1" t="str">
        <f t="shared" si="118"/>
        <v>163</v>
      </c>
      <c r="B712">
        <f t="shared" si="119"/>
        <v>0</v>
      </c>
      <c r="C712">
        <f>VALUE(MID(Hex!$C$2,1+2*HEX2DEC(A712)+B712,1))</f>
        <v>0</v>
      </c>
      <c r="D712" s="1" t="str">
        <f t="shared" si="116"/>
        <v>2C6</v>
      </c>
      <c r="E712">
        <f>HEX2DEC(MID(Hex!$C$8,1+HEX2DEC(Edit!D712)*2,2))</f>
        <v>0</v>
      </c>
      <c r="F712">
        <f t="shared" si="117"/>
        <v>710</v>
      </c>
      <c r="G712" t="str">
        <f>_xlfn.LET(_xlpm.custom,_xlfn.XLOOKUP(F712,Data!A:A,Data!C:C),IF(_xlpm.custom="",_xlfn.XLOOKUP(F712,Data!A:A,Data!B:B),_xlpm.custom))</f>
        <v>Jaw Fossil</v>
      </c>
      <c r="H712" t="str">
        <f>_xlfn.XLOOKUP(C712,Data!A:A,Data!E:E)</f>
        <v>General</v>
      </c>
      <c r="J712">
        <f>IF(I712="",C712,_xlfn.XLOOKUP(I712,Data!E:E,Data!A:A,""))</f>
        <v>0</v>
      </c>
      <c r="L712">
        <f t="shared" si="111"/>
        <v>0</v>
      </c>
      <c r="M712">
        <f t="shared" si="112"/>
        <v>0</v>
      </c>
      <c r="N712">
        <f t="shared" si="110"/>
        <v>0</v>
      </c>
      <c r="O712">
        <f t="shared" si="113"/>
        <v>0</v>
      </c>
      <c r="P712">
        <f t="shared" si="114"/>
        <v>0</v>
      </c>
      <c r="R712" t="str">
        <f t="shared" si="115"/>
        <v>00</v>
      </c>
    </row>
    <row r="713" spans="1:18" x14ac:dyDescent="0.4">
      <c r="A713" s="1" t="str">
        <f t="shared" si="118"/>
        <v>163</v>
      </c>
      <c r="B713">
        <f t="shared" si="119"/>
        <v>1</v>
      </c>
      <c r="C713">
        <f>VALUE(MID(Hex!$C$2,1+2*HEX2DEC(A713)+B713,1))</f>
        <v>0</v>
      </c>
      <c r="D713" s="1" t="str">
        <f t="shared" si="116"/>
        <v>2C7</v>
      </c>
      <c r="E713">
        <f>HEX2DEC(MID(Hex!$C$8,1+HEX2DEC(Edit!D713)*2,2))</f>
        <v>0</v>
      </c>
      <c r="F713">
        <f t="shared" si="117"/>
        <v>711</v>
      </c>
      <c r="G713" t="str">
        <f>_xlfn.LET(_xlpm.custom,_xlfn.XLOOKUP(F713,Data!A:A,Data!C:C),IF(_xlpm.custom="",_xlfn.XLOOKUP(F713,Data!A:A,Data!B:B),_xlpm.custom))</f>
        <v>Sail Fossil</v>
      </c>
      <c r="H713" t="str">
        <f>_xlfn.XLOOKUP(C713,Data!A:A,Data!E:E)</f>
        <v>General</v>
      </c>
      <c r="J713">
        <f>IF(I713="",C713,_xlfn.XLOOKUP(I713,Data!E:E,Data!A:A,""))</f>
        <v>0</v>
      </c>
      <c r="L713">
        <f t="shared" si="111"/>
        <v>0</v>
      </c>
      <c r="M713">
        <f t="shared" si="112"/>
        <v>0</v>
      </c>
      <c r="N713">
        <f t="shared" si="110"/>
        <v>0</v>
      </c>
      <c r="O713">
        <f t="shared" si="113"/>
        <v>0</v>
      </c>
      <c r="P713">
        <f t="shared" si="114"/>
        <v>0</v>
      </c>
      <c r="R713" t="str">
        <f t="shared" si="115"/>
        <v>00</v>
      </c>
    </row>
    <row r="714" spans="1:18" x14ac:dyDescent="0.4">
      <c r="A714" s="1" t="str">
        <f t="shared" si="118"/>
        <v>164</v>
      </c>
      <c r="B714">
        <f t="shared" si="119"/>
        <v>0</v>
      </c>
      <c r="C714">
        <f>VALUE(MID(Hex!$C$2,1+2*HEX2DEC(A714)+B714,1))</f>
        <v>4</v>
      </c>
      <c r="D714" s="1" t="str">
        <f t="shared" si="116"/>
        <v>2C8</v>
      </c>
      <c r="E714">
        <f>HEX2DEC(MID(Hex!$C$8,1+HEX2DEC(Edit!D714)*2,2))</f>
        <v>0</v>
      </c>
      <c r="F714">
        <f t="shared" si="117"/>
        <v>712</v>
      </c>
      <c r="G714" t="str">
        <f>_xlfn.LET(_xlpm.custom,_xlfn.XLOOKUP(F714,Data!A:A,Data!C:C),IF(_xlpm.custom="",_xlfn.XLOOKUP(F714,Data!A:A,Data!B:B),_xlpm.custom))</f>
        <v>Looker Ticket</v>
      </c>
      <c r="H714" t="str">
        <f>_xlfn.XLOOKUP(C714,Data!A:A,Data!E:E)</f>
        <v>Key</v>
      </c>
      <c r="J714">
        <f>IF(I714="",C714,_xlfn.XLOOKUP(I714,Data!E:E,Data!A:A,""))</f>
        <v>4</v>
      </c>
      <c r="L714">
        <f t="shared" si="111"/>
        <v>0</v>
      </c>
      <c r="M714">
        <f t="shared" si="112"/>
        <v>0</v>
      </c>
      <c r="N714">
        <f t="shared" si="110"/>
        <v>0</v>
      </c>
      <c r="O714">
        <f t="shared" si="113"/>
        <v>0</v>
      </c>
      <c r="P714">
        <f t="shared" si="114"/>
        <v>0</v>
      </c>
      <c r="R714" t="str">
        <f t="shared" si="115"/>
        <v>00</v>
      </c>
    </row>
    <row r="715" spans="1:18" x14ac:dyDescent="0.4">
      <c r="A715" s="1" t="str">
        <f t="shared" si="118"/>
        <v>164</v>
      </c>
      <c r="B715">
        <f t="shared" si="119"/>
        <v>1</v>
      </c>
      <c r="C715">
        <f>VALUE(MID(Hex!$C$2,1+2*HEX2DEC(A715)+B715,1))</f>
        <v>4</v>
      </c>
      <c r="D715" s="1" t="str">
        <f t="shared" si="116"/>
        <v>2C9</v>
      </c>
      <c r="E715">
        <f>HEX2DEC(MID(Hex!$C$8,1+HEX2DEC(Edit!D715)*2,2))</f>
        <v>0</v>
      </c>
      <c r="F715">
        <f t="shared" si="117"/>
        <v>713</v>
      </c>
      <c r="G715" t="str">
        <f>_xlfn.LET(_xlpm.custom,_xlfn.XLOOKUP(F715,Data!A:A,Data!C:C),IF(_xlpm.custom="",_xlfn.XLOOKUP(F715,Data!A:A,Data!B:B),_xlpm.custom))</f>
        <v>Bike</v>
      </c>
      <c r="H715" t="str">
        <f>_xlfn.XLOOKUP(C715,Data!A:A,Data!E:E)</f>
        <v>Key</v>
      </c>
      <c r="J715">
        <f>IF(I715="",C715,_xlfn.XLOOKUP(I715,Data!E:E,Data!A:A,""))</f>
        <v>4</v>
      </c>
      <c r="L715">
        <f t="shared" si="111"/>
        <v>0</v>
      </c>
      <c r="M715">
        <f t="shared" si="112"/>
        <v>0</v>
      </c>
      <c r="N715">
        <f t="shared" si="110"/>
        <v>0</v>
      </c>
      <c r="O715">
        <f t="shared" si="113"/>
        <v>0</v>
      </c>
      <c r="P715">
        <f t="shared" si="114"/>
        <v>0</v>
      </c>
      <c r="R715" t="str">
        <f t="shared" si="115"/>
        <v>00</v>
      </c>
    </row>
    <row r="716" spans="1:18" x14ac:dyDescent="0.4">
      <c r="A716" s="1" t="str">
        <f t="shared" si="118"/>
        <v>165</v>
      </c>
      <c r="B716">
        <f t="shared" si="119"/>
        <v>0</v>
      </c>
      <c r="C716">
        <f>VALUE(MID(Hex!$C$2,1+2*HEX2DEC(A716)+B716,1))</f>
        <v>4</v>
      </c>
      <c r="D716" s="1" t="str">
        <f t="shared" si="116"/>
        <v>2CA</v>
      </c>
      <c r="E716">
        <f>HEX2DEC(MID(Hex!$C$8,1+HEX2DEC(Edit!D716)*2,2))</f>
        <v>0</v>
      </c>
      <c r="F716">
        <f t="shared" si="117"/>
        <v>714</v>
      </c>
      <c r="G716" t="str">
        <f>_xlfn.LET(_xlpm.custom,_xlfn.XLOOKUP(F716,Data!A:A,Data!C:C),IF(_xlpm.custom="",_xlfn.XLOOKUP(F716,Data!A:A,Data!B:B),_xlpm.custom))</f>
        <v>Holo Caster</v>
      </c>
      <c r="H716" t="str">
        <f>_xlfn.XLOOKUP(C716,Data!A:A,Data!E:E)</f>
        <v>Key</v>
      </c>
      <c r="J716">
        <f>IF(I716="",C716,_xlfn.XLOOKUP(I716,Data!E:E,Data!A:A,""))</f>
        <v>4</v>
      </c>
      <c r="L716">
        <f t="shared" si="111"/>
        <v>0</v>
      </c>
      <c r="M716">
        <f t="shared" si="112"/>
        <v>0</v>
      </c>
      <c r="N716">
        <f t="shared" si="110"/>
        <v>0</v>
      </c>
      <c r="O716">
        <f t="shared" si="113"/>
        <v>0</v>
      </c>
      <c r="P716">
        <f t="shared" si="114"/>
        <v>0</v>
      </c>
      <c r="R716" t="str">
        <f t="shared" si="115"/>
        <v>00</v>
      </c>
    </row>
    <row r="717" spans="1:18" x14ac:dyDescent="0.4">
      <c r="A717" s="1" t="str">
        <f t="shared" si="118"/>
        <v>165</v>
      </c>
      <c r="B717">
        <f t="shared" si="119"/>
        <v>1</v>
      </c>
      <c r="C717">
        <f>VALUE(MID(Hex!$C$2,1+2*HEX2DEC(A717)+B717,1))</f>
        <v>0</v>
      </c>
      <c r="D717" s="1" t="str">
        <f t="shared" si="116"/>
        <v>2CB</v>
      </c>
      <c r="E717">
        <f>HEX2DEC(MID(Hex!$C$8,1+HEX2DEC(Edit!D717)*2,2))</f>
        <v>0</v>
      </c>
      <c r="F717">
        <f t="shared" si="117"/>
        <v>715</v>
      </c>
      <c r="G717" t="str">
        <f>_xlfn.LET(_xlpm.custom,_xlfn.XLOOKUP(F717,Data!A:A,Data!C:C),IF(_xlpm.custom="",_xlfn.XLOOKUP(F717,Data!A:A,Data!B:B),_xlpm.custom))</f>
        <v>Fairy Gem</v>
      </c>
      <c r="H717" t="str">
        <f>_xlfn.XLOOKUP(C717,Data!A:A,Data!E:E)</f>
        <v>General</v>
      </c>
      <c r="J717">
        <f>IF(I717="",C717,_xlfn.XLOOKUP(I717,Data!E:E,Data!A:A,""))</f>
        <v>0</v>
      </c>
      <c r="L717">
        <f t="shared" si="111"/>
        <v>0</v>
      </c>
      <c r="M717">
        <f t="shared" si="112"/>
        <v>0</v>
      </c>
      <c r="N717">
        <f t="shared" si="110"/>
        <v>0</v>
      </c>
      <c r="O717">
        <f t="shared" si="113"/>
        <v>0</v>
      </c>
      <c r="P717">
        <f t="shared" si="114"/>
        <v>0</v>
      </c>
      <c r="R717" t="str">
        <f t="shared" si="115"/>
        <v>00</v>
      </c>
    </row>
    <row r="718" spans="1:18" x14ac:dyDescent="0.4">
      <c r="A718" s="1" t="str">
        <f t="shared" si="118"/>
        <v>166</v>
      </c>
      <c r="B718">
        <f t="shared" si="119"/>
        <v>0</v>
      </c>
      <c r="C718">
        <f>VALUE(MID(Hex!$C$2,1+2*HEX2DEC(A718)+B718,1))</f>
        <v>4</v>
      </c>
      <c r="D718" s="1" t="str">
        <f t="shared" si="116"/>
        <v>2CC</v>
      </c>
      <c r="E718">
        <f>HEX2DEC(MID(Hex!$C$8,1+HEX2DEC(Edit!D718)*2,2))</f>
        <v>0</v>
      </c>
      <c r="F718">
        <f t="shared" si="117"/>
        <v>716</v>
      </c>
      <c r="G718" t="str">
        <f>_xlfn.LET(_xlpm.custom,_xlfn.XLOOKUP(F718,Data!A:A,Data!C:C),IF(_xlpm.custom="",_xlfn.XLOOKUP(F718,Data!A:A,Data!B:B),_xlpm.custom))</f>
        <v>Mega Charm</v>
      </c>
      <c r="H718" t="str">
        <f>_xlfn.XLOOKUP(C718,Data!A:A,Data!E:E)</f>
        <v>Key</v>
      </c>
      <c r="J718">
        <f>IF(I718="",C718,_xlfn.XLOOKUP(I718,Data!E:E,Data!A:A,""))</f>
        <v>4</v>
      </c>
      <c r="L718">
        <f t="shared" si="111"/>
        <v>0</v>
      </c>
      <c r="M718">
        <f t="shared" si="112"/>
        <v>0</v>
      </c>
      <c r="N718">
        <f t="shared" si="110"/>
        <v>0</v>
      </c>
      <c r="O718">
        <f t="shared" si="113"/>
        <v>0</v>
      </c>
      <c r="P718">
        <f t="shared" si="114"/>
        <v>0</v>
      </c>
      <c r="R718" t="str">
        <f t="shared" si="115"/>
        <v>00</v>
      </c>
    </row>
    <row r="719" spans="1:18" x14ac:dyDescent="0.4">
      <c r="A719" s="1" t="str">
        <f t="shared" si="118"/>
        <v>166</v>
      </c>
      <c r="B719">
        <f t="shared" si="119"/>
        <v>1</v>
      </c>
      <c r="C719">
        <f>VALUE(MID(Hex!$C$2,1+2*HEX2DEC(A719)+B719,1))</f>
        <v>4</v>
      </c>
      <c r="D719" s="1" t="str">
        <f t="shared" si="116"/>
        <v>2CD</v>
      </c>
      <c r="E719">
        <f>HEX2DEC(MID(Hex!$C$8,1+HEX2DEC(Edit!D719)*2,2))</f>
        <v>0</v>
      </c>
      <c r="F719">
        <f t="shared" si="117"/>
        <v>717</v>
      </c>
      <c r="G719" t="str">
        <f>_xlfn.LET(_xlpm.custom,_xlfn.XLOOKUP(F719,Data!A:A,Data!C:C),IF(_xlpm.custom="",_xlfn.XLOOKUP(F719,Data!A:A,Data!B:B),_xlpm.custom))</f>
        <v>Mega Glove</v>
      </c>
      <c r="H719" t="str">
        <f>_xlfn.XLOOKUP(C719,Data!A:A,Data!E:E)</f>
        <v>Key</v>
      </c>
      <c r="J719">
        <f>IF(I719="",C719,_xlfn.XLOOKUP(I719,Data!E:E,Data!A:A,""))</f>
        <v>4</v>
      </c>
      <c r="L719">
        <f t="shared" si="111"/>
        <v>0</v>
      </c>
      <c r="M719">
        <f t="shared" si="112"/>
        <v>0</v>
      </c>
      <c r="N719">
        <f t="shared" si="110"/>
        <v>0</v>
      </c>
      <c r="O719">
        <f t="shared" si="113"/>
        <v>0</v>
      </c>
      <c r="P719">
        <f t="shared" si="114"/>
        <v>0</v>
      </c>
      <c r="R719" t="str">
        <f t="shared" si="115"/>
        <v>00</v>
      </c>
    </row>
    <row r="720" spans="1:18" x14ac:dyDescent="0.4">
      <c r="A720" s="1" t="str">
        <f t="shared" si="118"/>
        <v>167</v>
      </c>
      <c r="B720">
        <f t="shared" si="119"/>
        <v>0</v>
      </c>
      <c r="C720">
        <f>VALUE(MID(Hex!$C$2,1+2*HEX2DEC(A720)+B720,1))</f>
        <v>4</v>
      </c>
      <c r="D720" s="1" t="str">
        <f t="shared" si="116"/>
        <v>2CE</v>
      </c>
      <c r="E720">
        <f>HEX2DEC(MID(Hex!$C$8,1+HEX2DEC(Edit!D720)*2,2))</f>
        <v>0</v>
      </c>
      <c r="F720">
        <f t="shared" si="117"/>
        <v>718</v>
      </c>
      <c r="G720" t="str">
        <f>_xlfn.LET(_xlpm.custom,_xlfn.XLOOKUP(F720,Data!A:A,Data!C:C),IF(_xlpm.custom="",_xlfn.XLOOKUP(F720,Data!A:A,Data!B:B),_xlpm.custom))</f>
        <v>Mach Bike</v>
      </c>
      <c r="H720" t="str">
        <f>_xlfn.XLOOKUP(C720,Data!A:A,Data!E:E)</f>
        <v>Key</v>
      </c>
      <c r="J720">
        <f>IF(I720="",C720,_xlfn.XLOOKUP(I720,Data!E:E,Data!A:A,""))</f>
        <v>4</v>
      </c>
      <c r="L720">
        <f t="shared" si="111"/>
        <v>0</v>
      </c>
      <c r="M720">
        <f t="shared" si="112"/>
        <v>0</v>
      </c>
      <c r="N720">
        <f t="shared" si="110"/>
        <v>0</v>
      </c>
      <c r="O720">
        <f t="shared" si="113"/>
        <v>0</v>
      </c>
      <c r="P720">
        <f t="shared" si="114"/>
        <v>0</v>
      </c>
      <c r="R720" t="str">
        <f t="shared" si="115"/>
        <v>00</v>
      </c>
    </row>
    <row r="721" spans="1:18" x14ac:dyDescent="0.4">
      <c r="A721" s="1" t="str">
        <f t="shared" si="118"/>
        <v>167</v>
      </c>
      <c r="B721">
        <f t="shared" si="119"/>
        <v>1</v>
      </c>
      <c r="C721">
        <f>VALUE(MID(Hex!$C$2,1+2*HEX2DEC(A721)+B721,1))</f>
        <v>4</v>
      </c>
      <c r="D721" s="1" t="str">
        <f t="shared" si="116"/>
        <v>2CF</v>
      </c>
      <c r="E721">
        <f>HEX2DEC(MID(Hex!$C$8,1+HEX2DEC(Edit!D721)*2,2))</f>
        <v>0</v>
      </c>
      <c r="F721">
        <f t="shared" si="117"/>
        <v>719</v>
      </c>
      <c r="G721" t="str">
        <f>_xlfn.LET(_xlpm.custom,_xlfn.XLOOKUP(F721,Data!A:A,Data!C:C),IF(_xlpm.custom="",_xlfn.XLOOKUP(F721,Data!A:A,Data!B:B),_xlpm.custom))</f>
        <v>Acro Bike</v>
      </c>
      <c r="H721" t="str">
        <f>_xlfn.XLOOKUP(C721,Data!A:A,Data!E:E)</f>
        <v>Key</v>
      </c>
      <c r="J721">
        <f>IF(I721="",C721,_xlfn.XLOOKUP(I721,Data!E:E,Data!A:A,""))</f>
        <v>4</v>
      </c>
      <c r="L721">
        <f t="shared" si="111"/>
        <v>0</v>
      </c>
      <c r="M721">
        <f t="shared" si="112"/>
        <v>0</v>
      </c>
      <c r="N721">
        <f t="shared" si="110"/>
        <v>0</v>
      </c>
      <c r="O721">
        <f t="shared" si="113"/>
        <v>0</v>
      </c>
      <c r="P721">
        <f t="shared" si="114"/>
        <v>0</v>
      </c>
      <c r="R721" t="str">
        <f t="shared" si="115"/>
        <v>00</v>
      </c>
    </row>
    <row r="722" spans="1:18" x14ac:dyDescent="0.4">
      <c r="A722" s="1" t="str">
        <f t="shared" si="118"/>
        <v>168</v>
      </c>
      <c r="B722">
        <f t="shared" si="119"/>
        <v>0</v>
      </c>
      <c r="C722">
        <f>VALUE(MID(Hex!$C$2,1+2*HEX2DEC(A722)+B722,1))</f>
        <v>4</v>
      </c>
      <c r="D722" s="1" t="str">
        <f t="shared" si="116"/>
        <v>2D0</v>
      </c>
      <c r="E722">
        <f>HEX2DEC(MID(Hex!$C$8,1+HEX2DEC(Edit!D722)*2,2))</f>
        <v>0</v>
      </c>
      <c r="F722">
        <f t="shared" si="117"/>
        <v>720</v>
      </c>
      <c r="G722" t="str">
        <f>_xlfn.LET(_xlpm.custom,_xlfn.XLOOKUP(F722,Data!A:A,Data!C:C),IF(_xlpm.custom="",_xlfn.XLOOKUP(F722,Data!A:A,Data!B:B),_xlpm.custom))</f>
        <v>Wailmer Pail</v>
      </c>
      <c r="H722" t="str">
        <f>_xlfn.XLOOKUP(C722,Data!A:A,Data!E:E)</f>
        <v>Key</v>
      </c>
      <c r="J722">
        <f>IF(I722="",C722,_xlfn.XLOOKUP(I722,Data!E:E,Data!A:A,""))</f>
        <v>4</v>
      </c>
      <c r="L722">
        <f t="shared" si="111"/>
        <v>0</v>
      </c>
      <c r="M722">
        <f t="shared" si="112"/>
        <v>0</v>
      </c>
      <c r="N722">
        <f t="shared" si="110"/>
        <v>0</v>
      </c>
      <c r="O722">
        <f t="shared" si="113"/>
        <v>0</v>
      </c>
      <c r="P722">
        <f t="shared" si="114"/>
        <v>0</v>
      </c>
      <c r="R722" t="str">
        <f t="shared" si="115"/>
        <v>00</v>
      </c>
    </row>
    <row r="723" spans="1:18" x14ac:dyDescent="0.4">
      <c r="A723" s="1" t="str">
        <f t="shared" si="118"/>
        <v>168</v>
      </c>
      <c r="B723">
        <f t="shared" si="119"/>
        <v>1</v>
      </c>
      <c r="C723">
        <f>VALUE(MID(Hex!$C$2,1+2*HEX2DEC(A723)+B723,1))</f>
        <v>4</v>
      </c>
      <c r="D723" s="1" t="str">
        <f t="shared" si="116"/>
        <v>2D1</v>
      </c>
      <c r="E723">
        <f>HEX2DEC(MID(Hex!$C$8,1+HEX2DEC(Edit!D723)*2,2))</f>
        <v>0</v>
      </c>
      <c r="F723">
        <f t="shared" si="117"/>
        <v>721</v>
      </c>
      <c r="G723" t="str">
        <f>_xlfn.LET(_xlpm.custom,_xlfn.XLOOKUP(F723,Data!A:A,Data!C:C),IF(_xlpm.custom="",_xlfn.XLOOKUP(F723,Data!A:A,Data!B:B),_xlpm.custom))</f>
        <v>Devon Parts</v>
      </c>
      <c r="H723" t="str">
        <f>_xlfn.XLOOKUP(C723,Data!A:A,Data!E:E)</f>
        <v>Key</v>
      </c>
      <c r="J723">
        <f>IF(I723="",C723,_xlfn.XLOOKUP(I723,Data!E:E,Data!A:A,""))</f>
        <v>4</v>
      </c>
      <c r="L723">
        <f t="shared" si="111"/>
        <v>0</v>
      </c>
      <c r="M723">
        <f t="shared" si="112"/>
        <v>0</v>
      </c>
      <c r="N723">
        <f t="shared" si="110"/>
        <v>0</v>
      </c>
      <c r="O723">
        <f t="shared" si="113"/>
        <v>0</v>
      </c>
      <c r="P723">
        <f t="shared" si="114"/>
        <v>0</v>
      </c>
      <c r="R723" t="str">
        <f t="shared" si="115"/>
        <v>00</v>
      </c>
    </row>
    <row r="724" spans="1:18" x14ac:dyDescent="0.4">
      <c r="A724" s="1" t="str">
        <f t="shared" si="118"/>
        <v>169</v>
      </c>
      <c r="B724">
        <f t="shared" si="119"/>
        <v>0</v>
      </c>
      <c r="C724">
        <f>VALUE(MID(Hex!$C$2,1+2*HEX2DEC(A724)+B724,1))</f>
        <v>4</v>
      </c>
      <c r="D724" s="1" t="str">
        <f t="shared" si="116"/>
        <v>2D2</v>
      </c>
      <c r="E724">
        <f>HEX2DEC(MID(Hex!$C$8,1+HEX2DEC(Edit!D724)*2,2))</f>
        <v>0</v>
      </c>
      <c r="F724">
        <f t="shared" si="117"/>
        <v>722</v>
      </c>
      <c r="G724" t="str">
        <f>_xlfn.LET(_xlpm.custom,_xlfn.XLOOKUP(F724,Data!A:A,Data!C:C),IF(_xlpm.custom="",_xlfn.XLOOKUP(F724,Data!A:A,Data!B:B),_xlpm.custom))</f>
        <v>Soot Sack</v>
      </c>
      <c r="H724" t="str">
        <f>_xlfn.XLOOKUP(C724,Data!A:A,Data!E:E)</f>
        <v>Key</v>
      </c>
      <c r="J724">
        <f>IF(I724="",C724,_xlfn.XLOOKUP(I724,Data!E:E,Data!A:A,""))</f>
        <v>4</v>
      </c>
      <c r="L724">
        <f t="shared" si="111"/>
        <v>0</v>
      </c>
      <c r="M724">
        <f t="shared" si="112"/>
        <v>0</v>
      </c>
      <c r="N724">
        <f t="shared" si="110"/>
        <v>0</v>
      </c>
      <c r="O724">
        <f t="shared" si="113"/>
        <v>0</v>
      </c>
      <c r="P724">
        <f t="shared" si="114"/>
        <v>0</v>
      </c>
      <c r="R724" t="str">
        <f t="shared" si="115"/>
        <v>00</v>
      </c>
    </row>
    <row r="725" spans="1:18" x14ac:dyDescent="0.4">
      <c r="A725" s="1" t="str">
        <f t="shared" si="118"/>
        <v>169</v>
      </c>
      <c r="B725">
        <f t="shared" si="119"/>
        <v>1</v>
      </c>
      <c r="C725">
        <f>VALUE(MID(Hex!$C$2,1+2*HEX2DEC(A725)+B725,1))</f>
        <v>4</v>
      </c>
      <c r="D725" s="1" t="str">
        <f t="shared" si="116"/>
        <v>2D3</v>
      </c>
      <c r="E725">
        <f>HEX2DEC(MID(Hex!$C$8,1+HEX2DEC(Edit!D725)*2,2))</f>
        <v>0</v>
      </c>
      <c r="F725">
        <f t="shared" si="117"/>
        <v>723</v>
      </c>
      <c r="G725" t="str">
        <f>_xlfn.LET(_xlpm.custom,_xlfn.XLOOKUP(F725,Data!A:A,Data!C:C),IF(_xlpm.custom="",_xlfn.XLOOKUP(F725,Data!A:A,Data!B:B),_xlpm.custom))</f>
        <v>Basement Key</v>
      </c>
      <c r="H725" t="str">
        <f>_xlfn.XLOOKUP(C725,Data!A:A,Data!E:E)</f>
        <v>Key</v>
      </c>
      <c r="J725">
        <f>IF(I725="",C725,_xlfn.XLOOKUP(I725,Data!E:E,Data!A:A,""))</f>
        <v>4</v>
      </c>
      <c r="L725">
        <f t="shared" si="111"/>
        <v>0</v>
      </c>
      <c r="M725">
        <f t="shared" si="112"/>
        <v>0</v>
      </c>
      <c r="N725">
        <f t="shared" ref="N725:N788" si="120">_xlfn.BITAND($E725,4)</f>
        <v>0</v>
      </c>
      <c r="O725">
        <f t="shared" si="113"/>
        <v>0</v>
      </c>
      <c r="P725">
        <f t="shared" si="114"/>
        <v>0</v>
      </c>
      <c r="R725" t="str">
        <f t="shared" si="115"/>
        <v>00</v>
      </c>
    </row>
    <row r="726" spans="1:18" x14ac:dyDescent="0.4">
      <c r="A726" s="1" t="str">
        <f t="shared" si="118"/>
        <v>16A</v>
      </c>
      <c r="B726">
        <f t="shared" si="119"/>
        <v>0</v>
      </c>
      <c r="C726">
        <f>VALUE(MID(Hex!$C$2,1+2*HEX2DEC(A726)+B726,1))</f>
        <v>4</v>
      </c>
      <c r="D726" s="1" t="str">
        <f t="shared" si="116"/>
        <v>2D4</v>
      </c>
      <c r="E726">
        <f>HEX2DEC(MID(Hex!$C$8,1+HEX2DEC(Edit!D726)*2,2))</f>
        <v>0</v>
      </c>
      <c r="F726">
        <f t="shared" si="117"/>
        <v>724</v>
      </c>
      <c r="G726" t="str">
        <f>_xlfn.LET(_xlpm.custom,_xlfn.XLOOKUP(F726,Data!A:A,Data!C:C),IF(_xlpm.custom="",_xlfn.XLOOKUP(F726,Data!A:A,Data!B:B),_xlpm.custom))</f>
        <v>Pokéblock Kit</v>
      </c>
      <c r="H726" t="str">
        <f>_xlfn.XLOOKUP(C726,Data!A:A,Data!E:E)</f>
        <v>Key</v>
      </c>
      <c r="J726">
        <f>IF(I726="",C726,_xlfn.XLOOKUP(I726,Data!E:E,Data!A:A,""))</f>
        <v>4</v>
      </c>
      <c r="L726">
        <f t="shared" si="111"/>
        <v>0</v>
      </c>
      <c r="M726">
        <f t="shared" si="112"/>
        <v>0</v>
      </c>
      <c r="N726">
        <f t="shared" si="120"/>
        <v>0</v>
      </c>
      <c r="O726">
        <f t="shared" si="113"/>
        <v>0</v>
      </c>
      <c r="P726">
        <f t="shared" si="114"/>
        <v>0</v>
      </c>
      <c r="R726" t="str">
        <f t="shared" si="115"/>
        <v>00</v>
      </c>
    </row>
    <row r="727" spans="1:18" x14ac:dyDescent="0.4">
      <c r="A727" s="1" t="str">
        <f t="shared" si="118"/>
        <v>16A</v>
      </c>
      <c r="B727">
        <f t="shared" si="119"/>
        <v>1</v>
      </c>
      <c r="C727">
        <f>VALUE(MID(Hex!$C$2,1+2*HEX2DEC(A727)+B727,1))</f>
        <v>4</v>
      </c>
      <c r="D727" s="1" t="str">
        <f t="shared" si="116"/>
        <v>2D5</v>
      </c>
      <c r="E727">
        <f>HEX2DEC(MID(Hex!$C$8,1+HEX2DEC(Edit!D727)*2,2))</f>
        <v>0</v>
      </c>
      <c r="F727">
        <f t="shared" si="117"/>
        <v>725</v>
      </c>
      <c r="G727" t="str">
        <f>_xlfn.LET(_xlpm.custom,_xlfn.XLOOKUP(F727,Data!A:A,Data!C:C),IF(_xlpm.custom="",_xlfn.XLOOKUP(F727,Data!A:A,Data!B:B),_xlpm.custom))</f>
        <v>Letter</v>
      </c>
      <c r="H727" t="str">
        <f>_xlfn.XLOOKUP(C727,Data!A:A,Data!E:E)</f>
        <v>Key</v>
      </c>
      <c r="J727">
        <f>IF(I727="",C727,_xlfn.XLOOKUP(I727,Data!E:E,Data!A:A,""))</f>
        <v>4</v>
      </c>
      <c r="L727">
        <f t="shared" si="111"/>
        <v>0</v>
      </c>
      <c r="M727">
        <f t="shared" si="112"/>
        <v>0</v>
      </c>
      <c r="N727">
        <f t="shared" si="120"/>
        <v>0</v>
      </c>
      <c r="O727">
        <f t="shared" si="113"/>
        <v>0</v>
      </c>
      <c r="P727">
        <f t="shared" si="114"/>
        <v>0</v>
      </c>
      <c r="R727" t="str">
        <f t="shared" si="115"/>
        <v>00</v>
      </c>
    </row>
    <row r="728" spans="1:18" x14ac:dyDescent="0.4">
      <c r="A728" s="1" t="str">
        <f t="shared" si="118"/>
        <v>16B</v>
      </c>
      <c r="B728">
        <f t="shared" si="119"/>
        <v>0</v>
      </c>
      <c r="C728">
        <f>VALUE(MID(Hex!$C$2,1+2*HEX2DEC(A728)+B728,1))</f>
        <v>4</v>
      </c>
      <c r="D728" s="1" t="str">
        <f t="shared" si="116"/>
        <v>2D6</v>
      </c>
      <c r="E728">
        <f>HEX2DEC(MID(Hex!$C$8,1+HEX2DEC(Edit!D728)*2,2))</f>
        <v>0</v>
      </c>
      <c r="F728">
        <f t="shared" si="117"/>
        <v>726</v>
      </c>
      <c r="G728" t="str">
        <f>_xlfn.LET(_xlpm.custom,_xlfn.XLOOKUP(F728,Data!A:A,Data!C:C),IF(_xlpm.custom="",_xlfn.XLOOKUP(F728,Data!A:A,Data!B:B),_xlpm.custom))</f>
        <v>Eon Ticket</v>
      </c>
      <c r="H728" t="str">
        <f>_xlfn.XLOOKUP(C728,Data!A:A,Data!E:E)</f>
        <v>Key</v>
      </c>
      <c r="J728">
        <f>IF(I728="",C728,_xlfn.XLOOKUP(I728,Data!E:E,Data!A:A,""))</f>
        <v>4</v>
      </c>
      <c r="L728">
        <f t="shared" si="111"/>
        <v>0</v>
      </c>
      <c r="M728">
        <f t="shared" si="112"/>
        <v>0</v>
      </c>
      <c r="N728">
        <f t="shared" si="120"/>
        <v>0</v>
      </c>
      <c r="O728">
        <f t="shared" si="113"/>
        <v>0</v>
      </c>
      <c r="P728">
        <f t="shared" si="114"/>
        <v>0</v>
      </c>
      <c r="R728" t="str">
        <f t="shared" si="115"/>
        <v>00</v>
      </c>
    </row>
    <row r="729" spans="1:18" x14ac:dyDescent="0.4">
      <c r="A729" s="1" t="str">
        <f t="shared" si="118"/>
        <v>16B</v>
      </c>
      <c r="B729">
        <f t="shared" si="119"/>
        <v>1</v>
      </c>
      <c r="C729">
        <f>VALUE(MID(Hex!$C$2,1+2*HEX2DEC(A729)+B729,1))</f>
        <v>4</v>
      </c>
      <c r="D729" s="1" t="str">
        <f t="shared" si="116"/>
        <v>2D7</v>
      </c>
      <c r="E729">
        <f>HEX2DEC(MID(Hex!$C$8,1+HEX2DEC(Edit!D729)*2,2))</f>
        <v>0</v>
      </c>
      <c r="F729">
        <f t="shared" si="117"/>
        <v>727</v>
      </c>
      <c r="G729" t="str">
        <f>_xlfn.LET(_xlpm.custom,_xlfn.XLOOKUP(F729,Data!A:A,Data!C:C),IF(_xlpm.custom="",_xlfn.XLOOKUP(F729,Data!A:A,Data!B:B),_xlpm.custom))</f>
        <v>Scanner</v>
      </c>
      <c r="H729" t="str">
        <f>_xlfn.XLOOKUP(C729,Data!A:A,Data!E:E)</f>
        <v>Key</v>
      </c>
      <c r="J729">
        <f>IF(I729="",C729,_xlfn.XLOOKUP(I729,Data!E:E,Data!A:A,""))</f>
        <v>4</v>
      </c>
      <c r="L729">
        <f t="shared" si="111"/>
        <v>0</v>
      </c>
      <c r="M729">
        <f t="shared" si="112"/>
        <v>0</v>
      </c>
      <c r="N729">
        <f t="shared" si="120"/>
        <v>0</v>
      </c>
      <c r="O729">
        <f t="shared" si="113"/>
        <v>0</v>
      </c>
      <c r="P729">
        <f t="shared" si="114"/>
        <v>0</v>
      </c>
      <c r="R729" t="str">
        <f t="shared" si="115"/>
        <v>00</v>
      </c>
    </row>
    <row r="730" spans="1:18" x14ac:dyDescent="0.4">
      <c r="A730" s="1" t="str">
        <f t="shared" si="118"/>
        <v>16C</v>
      </c>
      <c r="B730">
        <f t="shared" si="119"/>
        <v>0</v>
      </c>
      <c r="C730">
        <f>VALUE(MID(Hex!$C$2,1+2*HEX2DEC(A730)+B730,1))</f>
        <v>4</v>
      </c>
      <c r="D730" s="1" t="str">
        <f t="shared" si="116"/>
        <v>2D8</v>
      </c>
      <c r="E730">
        <f>HEX2DEC(MID(Hex!$C$8,1+HEX2DEC(Edit!D730)*2,2))</f>
        <v>0</v>
      </c>
      <c r="F730">
        <f t="shared" si="117"/>
        <v>728</v>
      </c>
      <c r="G730" t="str">
        <f>_xlfn.LET(_xlpm.custom,_xlfn.XLOOKUP(F730,Data!A:A,Data!C:C),IF(_xlpm.custom="",_xlfn.XLOOKUP(F730,Data!A:A,Data!B:B),_xlpm.custom))</f>
        <v>Go-Goggles</v>
      </c>
      <c r="H730" t="str">
        <f>_xlfn.XLOOKUP(C730,Data!A:A,Data!E:E)</f>
        <v>Key</v>
      </c>
      <c r="J730">
        <f>IF(I730="",C730,_xlfn.XLOOKUP(I730,Data!E:E,Data!A:A,""))</f>
        <v>4</v>
      </c>
      <c r="L730">
        <f t="shared" si="111"/>
        <v>0</v>
      </c>
      <c r="M730">
        <f t="shared" si="112"/>
        <v>0</v>
      </c>
      <c r="N730">
        <f t="shared" si="120"/>
        <v>0</v>
      </c>
      <c r="O730">
        <f t="shared" si="113"/>
        <v>0</v>
      </c>
      <c r="P730">
        <f t="shared" si="114"/>
        <v>0</v>
      </c>
      <c r="R730" t="str">
        <f t="shared" si="115"/>
        <v>00</v>
      </c>
    </row>
    <row r="731" spans="1:18" x14ac:dyDescent="0.4">
      <c r="A731" s="1" t="str">
        <f t="shared" si="118"/>
        <v>16C</v>
      </c>
      <c r="B731">
        <f t="shared" si="119"/>
        <v>1</v>
      </c>
      <c r="C731">
        <f>VALUE(MID(Hex!$C$2,1+2*HEX2DEC(A731)+B731,1))</f>
        <v>4</v>
      </c>
      <c r="D731" s="1" t="str">
        <f t="shared" si="116"/>
        <v>2D9</v>
      </c>
      <c r="E731">
        <f>HEX2DEC(MID(Hex!$C$8,1+HEX2DEC(Edit!D731)*2,2))</f>
        <v>0</v>
      </c>
      <c r="F731">
        <f t="shared" si="117"/>
        <v>729</v>
      </c>
      <c r="G731" t="str">
        <f>_xlfn.LET(_xlpm.custom,_xlfn.XLOOKUP(F731,Data!A:A,Data!C:C),IF(_xlpm.custom="",_xlfn.XLOOKUP(F731,Data!A:A,Data!B:B),_xlpm.custom))</f>
        <v>Meteorite</v>
      </c>
      <c r="H731" t="str">
        <f>_xlfn.XLOOKUP(C731,Data!A:A,Data!E:E)</f>
        <v>Key</v>
      </c>
      <c r="J731">
        <f>IF(I731="",C731,_xlfn.XLOOKUP(I731,Data!E:E,Data!A:A,""))</f>
        <v>4</v>
      </c>
      <c r="L731">
        <f t="shared" si="111"/>
        <v>0</v>
      </c>
      <c r="M731">
        <f t="shared" si="112"/>
        <v>0</v>
      </c>
      <c r="N731">
        <f t="shared" si="120"/>
        <v>0</v>
      </c>
      <c r="O731">
        <f t="shared" si="113"/>
        <v>0</v>
      </c>
      <c r="P731">
        <f t="shared" si="114"/>
        <v>0</v>
      </c>
      <c r="R731" t="str">
        <f t="shared" si="115"/>
        <v>00</v>
      </c>
    </row>
    <row r="732" spans="1:18" x14ac:dyDescent="0.4">
      <c r="A732" s="1" t="str">
        <f t="shared" si="118"/>
        <v>16D</v>
      </c>
      <c r="B732">
        <f t="shared" si="119"/>
        <v>0</v>
      </c>
      <c r="C732">
        <f>VALUE(MID(Hex!$C$2,1+2*HEX2DEC(A732)+B732,1))</f>
        <v>4</v>
      </c>
      <c r="D732" s="1" t="str">
        <f t="shared" si="116"/>
        <v>2DA</v>
      </c>
      <c r="E732">
        <f>HEX2DEC(MID(Hex!$C$8,1+HEX2DEC(Edit!D732)*2,2))</f>
        <v>0</v>
      </c>
      <c r="F732">
        <f t="shared" si="117"/>
        <v>730</v>
      </c>
      <c r="G732" t="str">
        <f>_xlfn.LET(_xlpm.custom,_xlfn.XLOOKUP(F732,Data!A:A,Data!C:C),IF(_xlpm.custom="",_xlfn.XLOOKUP(F732,Data!A:A,Data!B:B),_xlpm.custom))</f>
        <v>Key to Room 1</v>
      </c>
      <c r="H732" t="str">
        <f>_xlfn.XLOOKUP(C732,Data!A:A,Data!E:E)</f>
        <v>Key</v>
      </c>
      <c r="J732">
        <f>IF(I732="",C732,_xlfn.XLOOKUP(I732,Data!E:E,Data!A:A,""))</f>
        <v>4</v>
      </c>
      <c r="L732">
        <f t="shared" si="111"/>
        <v>0</v>
      </c>
      <c r="M732">
        <f t="shared" si="112"/>
        <v>0</v>
      </c>
      <c r="N732">
        <f t="shared" si="120"/>
        <v>0</v>
      </c>
      <c r="O732">
        <f t="shared" si="113"/>
        <v>0</v>
      </c>
      <c r="P732">
        <f t="shared" si="114"/>
        <v>0</v>
      </c>
      <c r="R732" t="str">
        <f t="shared" si="115"/>
        <v>00</v>
      </c>
    </row>
    <row r="733" spans="1:18" x14ac:dyDescent="0.4">
      <c r="A733" s="1" t="str">
        <f t="shared" si="118"/>
        <v>16D</v>
      </c>
      <c r="B733">
        <f t="shared" si="119"/>
        <v>1</v>
      </c>
      <c r="C733">
        <f>VALUE(MID(Hex!$C$2,1+2*HEX2DEC(A733)+B733,1))</f>
        <v>4</v>
      </c>
      <c r="D733" s="1" t="str">
        <f t="shared" si="116"/>
        <v>2DB</v>
      </c>
      <c r="E733">
        <f>HEX2DEC(MID(Hex!$C$8,1+HEX2DEC(Edit!D733)*2,2))</f>
        <v>0</v>
      </c>
      <c r="F733">
        <f t="shared" si="117"/>
        <v>731</v>
      </c>
      <c r="G733" t="str">
        <f>_xlfn.LET(_xlpm.custom,_xlfn.XLOOKUP(F733,Data!A:A,Data!C:C),IF(_xlpm.custom="",_xlfn.XLOOKUP(F733,Data!A:A,Data!B:B),_xlpm.custom))</f>
        <v>Key to Room 2</v>
      </c>
      <c r="H733" t="str">
        <f>_xlfn.XLOOKUP(C733,Data!A:A,Data!E:E)</f>
        <v>Key</v>
      </c>
      <c r="J733">
        <f>IF(I733="",C733,_xlfn.XLOOKUP(I733,Data!E:E,Data!A:A,""))</f>
        <v>4</v>
      </c>
      <c r="L733">
        <f t="shared" si="111"/>
        <v>0</v>
      </c>
      <c r="M733">
        <f t="shared" si="112"/>
        <v>0</v>
      </c>
      <c r="N733">
        <f t="shared" si="120"/>
        <v>0</v>
      </c>
      <c r="O733">
        <f t="shared" si="113"/>
        <v>0</v>
      </c>
      <c r="P733">
        <f t="shared" si="114"/>
        <v>0</v>
      </c>
      <c r="R733" t="str">
        <f t="shared" si="115"/>
        <v>00</v>
      </c>
    </row>
    <row r="734" spans="1:18" x14ac:dyDescent="0.4">
      <c r="A734" s="1" t="str">
        <f t="shared" si="118"/>
        <v>16E</v>
      </c>
      <c r="B734">
        <f t="shared" si="119"/>
        <v>0</v>
      </c>
      <c r="C734">
        <f>VALUE(MID(Hex!$C$2,1+2*HEX2DEC(A734)+B734,1))</f>
        <v>4</v>
      </c>
      <c r="D734" s="1" t="str">
        <f t="shared" si="116"/>
        <v>2DC</v>
      </c>
      <c r="E734">
        <f>HEX2DEC(MID(Hex!$C$8,1+HEX2DEC(Edit!D734)*2,2))</f>
        <v>0</v>
      </c>
      <c r="F734">
        <f t="shared" si="117"/>
        <v>732</v>
      </c>
      <c r="G734" t="str">
        <f>_xlfn.LET(_xlpm.custom,_xlfn.XLOOKUP(F734,Data!A:A,Data!C:C),IF(_xlpm.custom="",_xlfn.XLOOKUP(F734,Data!A:A,Data!B:B),_xlpm.custom))</f>
        <v>Key to Room 4</v>
      </c>
      <c r="H734" t="str">
        <f>_xlfn.XLOOKUP(C734,Data!A:A,Data!E:E)</f>
        <v>Key</v>
      </c>
      <c r="J734">
        <f>IF(I734="",C734,_xlfn.XLOOKUP(I734,Data!E:E,Data!A:A,""))</f>
        <v>4</v>
      </c>
      <c r="L734">
        <f t="shared" si="111"/>
        <v>0</v>
      </c>
      <c r="M734">
        <f t="shared" si="112"/>
        <v>0</v>
      </c>
      <c r="N734">
        <f t="shared" si="120"/>
        <v>0</v>
      </c>
      <c r="O734">
        <f t="shared" si="113"/>
        <v>0</v>
      </c>
      <c r="P734">
        <f t="shared" si="114"/>
        <v>0</v>
      </c>
      <c r="R734" t="str">
        <f t="shared" si="115"/>
        <v>00</v>
      </c>
    </row>
    <row r="735" spans="1:18" x14ac:dyDescent="0.4">
      <c r="A735" s="1" t="str">
        <f t="shared" si="118"/>
        <v>16E</v>
      </c>
      <c r="B735">
        <f t="shared" si="119"/>
        <v>1</v>
      </c>
      <c r="C735">
        <f>VALUE(MID(Hex!$C$2,1+2*HEX2DEC(A735)+B735,1))</f>
        <v>4</v>
      </c>
      <c r="D735" s="1" t="str">
        <f t="shared" si="116"/>
        <v>2DD</v>
      </c>
      <c r="E735">
        <f>HEX2DEC(MID(Hex!$C$8,1+HEX2DEC(Edit!D735)*2,2))</f>
        <v>0</v>
      </c>
      <c r="F735">
        <f t="shared" si="117"/>
        <v>733</v>
      </c>
      <c r="G735" t="str">
        <f>_xlfn.LET(_xlpm.custom,_xlfn.XLOOKUP(F735,Data!A:A,Data!C:C),IF(_xlpm.custom="",_xlfn.XLOOKUP(F735,Data!A:A,Data!B:B),_xlpm.custom))</f>
        <v>Key to Room 6</v>
      </c>
      <c r="H735" t="str">
        <f>_xlfn.XLOOKUP(C735,Data!A:A,Data!E:E)</f>
        <v>Key</v>
      </c>
      <c r="J735">
        <f>IF(I735="",C735,_xlfn.XLOOKUP(I735,Data!E:E,Data!A:A,""))</f>
        <v>4</v>
      </c>
      <c r="L735">
        <f t="shared" si="111"/>
        <v>0</v>
      </c>
      <c r="M735">
        <f t="shared" si="112"/>
        <v>0</v>
      </c>
      <c r="N735">
        <f t="shared" si="120"/>
        <v>0</v>
      </c>
      <c r="O735">
        <f t="shared" si="113"/>
        <v>0</v>
      </c>
      <c r="P735">
        <f t="shared" si="114"/>
        <v>0</v>
      </c>
      <c r="R735" t="str">
        <f t="shared" si="115"/>
        <v>00</v>
      </c>
    </row>
    <row r="736" spans="1:18" x14ac:dyDescent="0.4">
      <c r="A736" s="1" t="str">
        <f t="shared" si="118"/>
        <v>16F</v>
      </c>
      <c r="B736">
        <f t="shared" si="119"/>
        <v>0</v>
      </c>
      <c r="C736">
        <f>VALUE(MID(Hex!$C$2,1+2*HEX2DEC(A736)+B736,1))</f>
        <v>4</v>
      </c>
      <c r="D736" s="1" t="str">
        <f t="shared" si="116"/>
        <v>2DE</v>
      </c>
      <c r="E736">
        <f>HEX2DEC(MID(Hex!$C$8,1+HEX2DEC(Edit!D736)*2,2))</f>
        <v>0</v>
      </c>
      <c r="F736">
        <f t="shared" si="117"/>
        <v>734</v>
      </c>
      <c r="G736" t="str">
        <f>_xlfn.LET(_xlpm.custom,_xlfn.XLOOKUP(F736,Data!A:A,Data!C:C),IF(_xlpm.custom="",_xlfn.XLOOKUP(F736,Data!A:A,Data!B:B),_xlpm.custom))</f>
        <v>Storage Key</v>
      </c>
      <c r="H736" t="str">
        <f>_xlfn.XLOOKUP(C736,Data!A:A,Data!E:E)</f>
        <v>Key</v>
      </c>
      <c r="J736">
        <f>IF(I736="",C736,_xlfn.XLOOKUP(I736,Data!E:E,Data!A:A,""))</f>
        <v>4</v>
      </c>
      <c r="L736">
        <f t="shared" si="111"/>
        <v>0</v>
      </c>
      <c r="M736">
        <f t="shared" si="112"/>
        <v>0</v>
      </c>
      <c r="N736">
        <f t="shared" si="120"/>
        <v>0</v>
      </c>
      <c r="O736">
        <f t="shared" si="113"/>
        <v>0</v>
      </c>
      <c r="P736">
        <f t="shared" si="114"/>
        <v>0</v>
      </c>
      <c r="R736" t="str">
        <f t="shared" si="115"/>
        <v>00</v>
      </c>
    </row>
    <row r="737" spans="1:18" x14ac:dyDescent="0.4">
      <c r="A737" s="1" t="str">
        <f t="shared" si="118"/>
        <v>16F</v>
      </c>
      <c r="B737">
        <f t="shared" si="119"/>
        <v>1</v>
      </c>
      <c r="C737">
        <f>VALUE(MID(Hex!$C$2,1+2*HEX2DEC(A737)+B737,1))</f>
        <v>4</v>
      </c>
      <c r="D737" s="1" t="str">
        <f t="shared" si="116"/>
        <v>2DF</v>
      </c>
      <c r="E737">
        <f>HEX2DEC(MID(Hex!$C$8,1+HEX2DEC(Edit!D737)*2,2))</f>
        <v>0</v>
      </c>
      <c r="F737">
        <f t="shared" si="117"/>
        <v>735</v>
      </c>
      <c r="G737" t="str">
        <f>_xlfn.LET(_xlpm.custom,_xlfn.XLOOKUP(F737,Data!A:A,Data!C:C),IF(_xlpm.custom="",_xlfn.XLOOKUP(F737,Data!A:A,Data!B:B),_xlpm.custom))</f>
        <v>Devon Scope</v>
      </c>
      <c r="H737" t="str">
        <f>_xlfn.XLOOKUP(C737,Data!A:A,Data!E:E)</f>
        <v>Key</v>
      </c>
      <c r="J737">
        <f>IF(I737="",C737,_xlfn.XLOOKUP(I737,Data!E:E,Data!A:A,""))</f>
        <v>4</v>
      </c>
      <c r="L737">
        <f t="shared" si="111"/>
        <v>0</v>
      </c>
      <c r="M737">
        <f t="shared" si="112"/>
        <v>0</v>
      </c>
      <c r="N737">
        <f t="shared" si="120"/>
        <v>0</v>
      </c>
      <c r="O737">
        <f t="shared" si="113"/>
        <v>0</v>
      </c>
      <c r="P737">
        <f t="shared" si="114"/>
        <v>0</v>
      </c>
      <c r="R737" t="str">
        <f t="shared" si="115"/>
        <v>00</v>
      </c>
    </row>
    <row r="738" spans="1:18" x14ac:dyDescent="0.4">
      <c r="A738" s="1" t="str">
        <f t="shared" si="118"/>
        <v>170</v>
      </c>
      <c r="B738">
        <f t="shared" si="119"/>
        <v>0</v>
      </c>
      <c r="C738">
        <f>VALUE(MID(Hex!$C$2,1+2*HEX2DEC(A738)+B738,1))</f>
        <v>4</v>
      </c>
      <c r="D738" s="1" t="str">
        <f t="shared" si="116"/>
        <v>2E0</v>
      </c>
      <c r="E738">
        <f>HEX2DEC(MID(Hex!$C$8,1+HEX2DEC(Edit!D738)*2,2))</f>
        <v>0</v>
      </c>
      <c r="F738">
        <f t="shared" si="117"/>
        <v>736</v>
      </c>
      <c r="G738" t="str">
        <f>_xlfn.LET(_xlpm.custom,_xlfn.XLOOKUP(F738,Data!A:A,Data!C:C),IF(_xlpm.custom="",_xlfn.XLOOKUP(F738,Data!A:A,Data!B:B),_xlpm.custom))</f>
        <v>S.S. Ticket</v>
      </c>
      <c r="H738" t="str">
        <f>_xlfn.XLOOKUP(C738,Data!A:A,Data!E:E)</f>
        <v>Key</v>
      </c>
      <c r="J738">
        <f>IF(I738="",C738,_xlfn.XLOOKUP(I738,Data!E:E,Data!A:A,""))</f>
        <v>4</v>
      </c>
      <c r="L738">
        <f t="shared" si="111"/>
        <v>0</v>
      </c>
      <c r="M738">
        <f t="shared" si="112"/>
        <v>0</v>
      </c>
      <c r="N738">
        <f t="shared" si="120"/>
        <v>0</v>
      </c>
      <c r="O738">
        <f t="shared" si="113"/>
        <v>0</v>
      </c>
      <c r="P738">
        <f t="shared" si="114"/>
        <v>0</v>
      </c>
      <c r="R738" t="str">
        <f t="shared" si="115"/>
        <v>00</v>
      </c>
    </row>
    <row r="739" spans="1:18" x14ac:dyDescent="0.4">
      <c r="A739" s="1" t="str">
        <f t="shared" si="118"/>
        <v>170</v>
      </c>
      <c r="B739">
        <f t="shared" si="119"/>
        <v>1</v>
      </c>
      <c r="C739">
        <f>VALUE(MID(Hex!$C$2,1+2*HEX2DEC(A739)+B739,1))</f>
        <v>2</v>
      </c>
      <c r="D739" s="1" t="str">
        <f t="shared" si="116"/>
        <v>2E1</v>
      </c>
      <c r="E739">
        <f>HEX2DEC(MID(Hex!$C$8,1+HEX2DEC(Edit!D739)*2,2))</f>
        <v>0</v>
      </c>
      <c r="F739">
        <f t="shared" si="117"/>
        <v>737</v>
      </c>
      <c r="G739" t="str">
        <f>_xlfn.LET(_xlpm.custom,_xlfn.XLOOKUP(F739,Data!A:A,Data!C:C),IF(_xlpm.custom="",_xlfn.XLOOKUP(F739,Data!A:A,Data!B:B),_xlpm.custom))</f>
        <v>TM107</v>
      </c>
      <c r="H739" t="str">
        <f>_xlfn.XLOOKUP(C739,Data!A:A,Data!E:E)</f>
        <v>TM/HM</v>
      </c>
      <c r="J739">
        <f>IF(I739="",C739,_xlfn.XLOOKUP(I739,Data!E:E,Data!A:A,""))</f>
        <v>2</v>
      </c>
      <c r="L739">
        <f t="shared" si="111"/>
        <v>0</v>
      </c>
      <c r="M739">
        <f t="shared" si="112"/>
        <v>0</v>
      </c>
      <c r="N739">
        <f t="shared" si="120"/>
        <v>0</v>
      </c>
      <c r="O739">
        <f t="shared" si="113"/>
        <v>0</v>
      </c>
      <c r="P739">
        <f t="shared" si="114"/>
        <v>0</v>
      </c>
      <c r="R739" t="str">
        <f t="shared" si="115"/>
        <v>00</v>
      </c>
    </row>
    <row r="740" spans="1:18" x14ac:dyDescent="0.4">
      <c r="A740" s="1" t="str">
        <f t="shared" si="118"/>
        <v>171</v>
      </c>
      <c r="B740">
        <f t="shared" si="119"/>
        <v>0</v>
      </c>
      <c r="C740">
        <f>VALUE(MID(Hex!$C$2,1+2*HEX2DEC(A740)+B740,1))</f>
        <v>4</v>
      </c>
      <c r="D740" s="1" t="str">
        <f t="shared" si="116"/>
        <v>2E2</v>
      </c>
      <c r="E740">
        <f>HEX2DEC(MID(Hex!$C$8,1+HEX2DEC(Edit!D740)*2,2))</f>
        <v>0</v>
      </c>
      <c r="F740">
        <f t="shared" si="117"/>
        <v>738</v>
      </c>
      <c r="G740" t="str">
        <f>_xlfn.LET(_xlpm.custom,_xlfn.XLOOKUP(F740,Data!A:A,Data!C:C),IF(_xlpm.custom="",_xlfn.XLOOKUP(F740,Data!A:A,Data!B:B),_xlpm.custom))</f>
        <v>Devon Scuba Gear</v>
      </c>
      <c r="H740" t="str">
        <f>_xlfn.XLOOKUP(C740,Data!A:A,Data!E:E)</f>
        <v>Key</v>
      </c>
      <c r="J740">
        <f>IF(I740="",C740,_xlfn.XLOOKUP(I740,Data!E:E,Data!A:A,""))</f>
        <v>4</v>
      </c>
      <c r="L740">
        <f t="shared" si="111"/>
        <v>0</v>
      </c>
      <c r="M740">
        <f t="shared" si="112"/>
        <v>0</v>
      </c>
      <c r="N740">
        <f t="shared" si="120"/>
        <v>0</v>
      </c>
      <c r="O740">
        <f t="shared" si="113"/>
        <v>0</v>
      </c>
      <c r="P740">
        <f t="shared" si="114"/>
        <v>0</v>
      </c>
      <c r="R740" t="str">
        <f t="shared" si="115"/>
        <v>00</v>
      </c>
    </row>
    <row r="741" spans="1:18" x14ac:dyDescent="0.4">
      <c r="A741" s="1" t="str">
        <f t="shared" si="118"/>
        <v>171</v>
      </c>
      <c r="B741">
        <f t="shared" si="119"/>
        <v>1</v>
      </c>
      <c r="C741">
        <f>VALUE(MID(Hex!$C$2,1+2*HEX2DEC(A741)+B741,1))</f>
        <v>4</v>
      </c>
      <c r="D741" s="1" t="str">
        <f t="shared" si="116"/>
        <v>2E3</v>
      </c>
      <c r="E741">
        <f>HEX2DEC(MID(Hex!$C$8,1+HEX2DEC(Edit!D741)*2,2))</f>
        <v>0</v>
      </c>
      <c r="F741">
        <f t="shared" si="117"/>
        <v>739</v>
      </c>
      <c r="G741" t="str">
        <f>_xlfn.LET(_xlpm.custom,_xlfn.XLOOKUP(F741,Data!A:A,Data!C:C),IF(_xlpm.custom="",_xlfn.XLOOKUP(F741,Data!A:A,Data!B:B),_xlpm.custom))</f>
        <v>Contest Costume</v>
      </c>
      <c r="H741" t="str">
        <f>_xlfn.XLOOKUP(C741,Data!A:A,Data!E:E)</f>
        <v>Key</v>
      </c>
      <c r="J741">
        <f>IF(I741="",C741,_xlfn.XLOOKUP(I741,Data!E:E,Data!A:A,""))</f>
        <v>4</v>
      </c>
      <c r="L741">
        <f t="shared" si="111"/>
        <v>0</v>
      </c>
      <c r="M741">
        <f t="shared" si="112"/>
        <v>0</v>
      </c>
      <c r="N741">
        <f t="shared" si="120"/>
        <v>0</v>
      </c>
      <c r="O741">
        <f t="shared" si="113"/>
        <v>0</v>
      </c>
      <c r="P741">
        <f t="shared" si="114"/>
        <v>0</v>
      </c>
      <c r="R741" t="str">
        <f t="shared" si="115"/>
        <v>00</v>
      </c>
    </row>
    <row r="742" spans="1:18" x14ac:dyDescent="0.4">
      <c r="A742" s="1" t="str">
        <f t="shared" si="118"/>
        <v>172</v>
      </c>
      <c r="B742">
        <f t="shared" si="119"/>
        <v>0</v>
      </c>
      <c r="C742">
        <f>VALUE(MID(Hex!$C$2,1+2*HEX2DEC(A742)+B742,1))</f>
        <v>4</v>
      </c>
      <c r="D742" s="1" t="str">
        <f t="shared" si="116"/>
        <v>2E4</v>
      </c>
      <c r="E742">
        <f>HEX2DEC(MID(Hex!$C$8,1+HEX2DEC(Edit!D742)*2,2))</f>
        <v>0</v>
      </c>
      <c r="F742">
        <f t="shared" si="117"/>
        <v>740</v>
      </c>
      <c r="G742" t="str">
        <f>_xlfn.LET(_xlpm.custom,_xlfn.XLOOKUP(F742,Data!A:A,Data!C:C),IF(_xlpm.custom="",_xlfn.XLOOKUP(F742,Data!A:A,Data!B:B),_xlpm.custom))</f>
        <v>Contest Costume</v>
      </c>
      <c r="H742" t="str">
        <f>_xlfn.XLOOKUP(C742,Data!A:A,Data!E:E)</f>
        <v>Key</v>
      </c>
      <c r="J742">
        <f>IF(I742="",C742,_xlfn.XLOOKUP(I742,Data!E:E,Data!A:A,""))</f>
        <v>4</v>
      </c>
      <c r="L742">
        <f t="shared" si="111"/>
        <v>0</v>
      </c>
      <c r="M742">
        <f t="shared" si="112"/>
        <v>0</v>
      </c>
      <c r="N742">
        <f t="shared" si="120"/>
        <v>0</v>
      </c>
      <c r="O742">
        <f t="shared" si="113"/>
        <v>0</v>
      </c>
      <c r="P742">
        <f t="shared" si="114"/>
        <v>0</v>
      </c>
      <c r="R742" t="str">
        <f t="shared" si="115"/>
        <v>00</v>
      </c>
    </row>
    <row r="743" spans="1:18" x14ac:dyDescent="0.4">
      <c r="A743" s="1" t="str">
        <f t="shared" si="118"/>
        <v>172</v>
      </c>
      <c r="B743">
        <f t="shared" si="119"/>
        <v>1</v>
      </c>
      <c r="C743">
        <f>VALUE(MID(Hex!$C$2,1+2*HEX2DEC(A743)+B743,1))</f>
        <v>4</v>
      </c>
      <c r="D743" s="1" t="str">
        <f t="shared" si="116"/>
        <v>2E5</v>
      </c>
      <c r="E743">
        <f>HEX2DEC(MID(Hex!$C$8,1+HEX2DEC(Edit!D743)*2,2))</f>
        <v>0</v>
      </c>
      <c r="F743">
        <f t="shared" si="117"/>
        <v>741</v>
      </c>
      <c r="G743" t="str">
        <f>_xlfn.LET(_xlpm.custom,_xlfn.XLOOKUP(F743,Data!A:A,Data!C:C),IF(_xlpm.custom="",_xlfn.XLOOKUP(F743,Data!A:A,Data!B:B),_xlpm.custom))</f>
        <v>Magma Suit</v>
      </c>
      <c r="H743" t="str">
        <f>_xlfn.XLOOKUP(C743,Data!A:A,Data!E:E)</f>
        <v>Key</v>
      </c>
      <c r="J743">
        <f>IF(I743="",C743,_xlfn.XLOOKUP(I743,Data!E:E,Data!A:A,""))</f>
        <v>4</v>
      </c>
      <c r="L743">
        <f t="shared" si="111"/>
        <v>0</v>
      </c>
      <c r="M743">
        <f t="shared" si="112"/>
        <v>0</v>
      </c>
      <c r="N743">
        <f t="shared" si="120"/>
        <v>0</v>
      </c>
      <c r="O743">
        <f t="shared" si="113"/>
        <v>0</v>
      </c>
      <c r="P743">
        <f t="shared" si="114"/>
        <v>0</v>
      </c>
      <c r="R743" t="str">
        <f t="shared" si="115"/>
        <v>00</v>
      </c>
    </row>
    <row r="744" spans="1:18" x14ac:dyDescent="0.4">
      <c r="A744" s="1" t="str">
        <f t="shared" si="118"/>
        <v>173</v>
      </c>
      <c r="B744">
        <f t="shared" si="119"/>
        <v>0</v>
      </c>
      <c r="C744">
        <f>VALUE(MID(Hex!$C$2,1+2*HEX2DEC(A744)+B744,1))</f>
        <v>4</v>
      </c>
      <c r="D744" s="1" t="str">
        <f t="shared" si="116"/>
        <v>2E6</v>
      </c>
      <c r="E744">
        <f>HEX2DEC(MID(Hex!$C$8,1+HEX2DEC(Edit!D744)*2,2))</f>
        <v>0</v>
      </c>
      <c r="F744">
        <f t="shared" si="117"/>
        <v>742</v>
      </c>
      <c r="G744" t="str">
        <f>_xlfn.LET(_xlpm.custom,_xlfn.XLOOKUP(F744,Data!A:A,Data!C:C),IF(_xlpm.custom="",_xlfn.XLOOKUP(F744,Data!A:A,Data!B:B),_xlpm.custom))</f>
        <v>Aqua Suit</v>
      </c>
      <c r="H744" t="str">
        <f>_xlfn.XLOOKUP(C744,Data!A:A,Data!E:E)</f>
        <v>Key</v>
      </c>
      <c r="J744">
        <f>IF(I744="",C744,_xlfn.XLOOKUP(I744,Data!E:E,Data!A:A,""))</f>
        <v>4</v>
      </c>
      <c r="L744">
        <f t="shared" si="111"/>
        <v>0</v>
      </c>
      <c r="M744">
        <f t="shared" si="112"/>
        <v>0</v>
      </c>
      <c r="N744">
        <f t="shared" si="120"/>
        <v>0</v>
      </c>
      <c r="O744">
        <f t="shared" si="113"/>
        <v>0</v>
      </c>
      <c r="P744">
        <f t="shared" si="114"/>
        <v>0</v>
      </c>
      <c r="R744" t="str">
        <f t="shared" si="115"/>
        <v>00</v>
      </c>
    </row>
    <row r="745" spans="1:18" x14ac:dyDescent="0.4">
      <c r="A745" s="1" t="str">
        <f t="shared" si="118"/>
        <v>173</v>
      </c>
      <c r="B745">
        <f t="shared" si="119"/>
        <v>1</v>
      </c>
      <c r="C745">
        <f>VALUE(MID(Hex!$C$2,1+2*HEX2DEC(A745)+B745,1))</f>
        <v>4</v>
      </c>
      <c r="D745" s="1" t="str">
        <f t="shared" si="116"/>
        <v>2E7</v>
      </c>
      <c r="E745">
        <f>HEX2DEC(MID(Hex!$C$8,1+HEX2DEC(Edit!D745)*2,2))</f>
        <v>0</v>
      </c>
      <c r="F745">
        <f t="shared" si="117"/>
        <v>743</v>
      </c>
      <c r="G745" t="str">
        <f>_xlfn.LET(_xlpm.custom,_xlfn.XLOOKUP(F745,Data!A:A,Data!C:C),IF(_xlpm.custom="",_xlfn.XLOOKUP(F745,Data!A:A,Data!B:B),_xlpm.custom))</f>
        <v>Pair of Tickets</v>
      </c>
      <c r="H745" t="str">
        <f>_xlfn.XLOOKUP(C745,Data!A:A,Data!E:E)</f>
        <v>Key</v>
      </c>
      <c r="J745">
        <f>IF(I745="",C745,_xlfn.XLOOKUP(I745,Data!E:E,Data!A:A,""))</f>
        <v>4</v>
      </c>
      <c r="L745">
        <f t="shared" si="111"/>
        <v>0</v>
      </c>
      <c r="M745">
        <f t="shared" si="112"/>
        <v>0</v>
      </c>
      <c r="N745">
        <f t="shared" si="120"/>
        <v>0</v>
      </c>
      <c r="O745">
        <f t="shared" si="113"/>
        <v>0</v>
      </c>
      <c r="P745">
        <f t="shared" si="114"/>
        <v>0</v>
      </c>
      <c r="R745" t="str">
        <f t="shared" si="115"/>
        <v>00</v>
      </c>
    </row>
    <row r="746" spans="1:18" x14ac:dyDescent="0.4">
      <c r="A746" s="1" t="str">
        <f t="shared" si="118"/>
        <v>174</v>
      </c>
      <c r="B746">
        <f t="shared" si="119"/>
        <v>0</v>
      </c>
      <c r="C746">
        <f>VALUE(MID(Hex!$C$2,1+2*HEX2DEC(A746)+B746,1))</f>
        <v>4</v>
      </c>
      <c r="D746" s="1" t="str">
        <f t="shared" si="116"/>
        <v>2E8</v>
      </c>
      <c r="E746">
        <f>HEX2DEC(MID(Hex!$C$8,1+HEX2DEC(Edit!D746)*2,2))</f>
        <v>0</v>
      </c>
      <c r="F746">
        <f t="shared" si="117"/>
        <v>744</v>
      </c>
      <c r="G746" t="str">
        <f>_xlfn.LET(_xlpm.custom,_xlfn.XLOOKUP(F746,Data!A:A,Data!C:C),IF(_xlpm.custom="",_xlfn.XLOOKUP(F746,Data!A:A,Data!B:B),_xlpm.custom))</f>
        <v>Mega Bracelet</v>
      </c>
      <c r="H746" t="str">
        <f>_xlfn.XLOOKUP(C746,Data!A:A,Data!E:E)</f>
        <v>Key</v>
      </c>
      <c r="J746">
        <f>IF(I746="",C746,_xlfn.XLOOKUP(I746,Data!E:E,Data!A:A,""))</f>
        <v>4</v>
      </c>
      <c r="L746">
        <f t="shared" si="111"/>
        <v>0</v>
      </c>
      <c r="M746">
        <f t="shared" si="112"/>
        <v>0</v>
      </c>
      <c r="N746">
        <f t="shared" si="120"/>
        <v>0</v>
      </c>
      <c r="O746">
        <f t="shared" si="113"/>
        <v>0</v>
      </c>
      <c r="P746">
        <f t="shared" si="114"/>
        <v>0</v>
      </c>
      <c r="R746" t="str">
        <f t="shared" si="115"/>
        <v>00</v>
      </c>
    </row>
    <row r="747" spans="1:18" x14ac:dyDescent="0.4">
      <c r="A747" s="1" t="str">
        <f t="shared" si="118"/>
        <v>174</v>
      </c>
      <c r="B747">
        <f t="shared" si="119"/>
        <v>1</v>
      </c>
      <c r="C747">
        <f>VALUE(MID(Hex!$C$2,1+2*HEX2DEC(A747)+B747,1))</f>
        <v>4</v>
      </c>
      <c r="D747" s="1" t="str">
        <f t="shared" si="116"/>
        <v>2E9</v>
      </c>
      <c r="E747">
        <f>HEX2DEC(MID(Hex!$C$8,1+HEX2DEC(Edit!D747)*2,2))</f>
        <v>0</v>
      </c>
      <c r="F747">
        <f t="shared" si="117"/>
        <v>745</v>
      </c>
      <c r="G747" t="str">
        <f>_xlfn.LET(_xlpm.custom,_xlfn.XLOOKUP(F747,Data!A:A,Data!C:C),IF(_xlpm.custom="",_xlfn.XLOOKUP(F747,Data!A:A,Data!B:B),_xlpm.custom))</f>
        <v>Mega Pendant</v>
      </c>
      <c r="H747" t="str">
        <f>_xlfn.XLOOKUP(C747,Data!A:A,Data!E:E)</f>
        <v>Key</v>
      </c>
      <c r="J747">
        <f>IF(I747="",C747,_xlfn.XLOOKUP(I747,Data!E:E,Data!A:A,""))</f>
        <v>4</v>
      </c>
      <c r="L747">
        <f t="shared" si="111"/>
        <v>0</v>
      </c>
      <c r="M747">
        <f t="shared" si="112"/>
        <v>0</v>
      </c>
      <c r="N747">
        <f t="shared" si="120"/>
        <v>0</v>
      </c>
      <c r="O747">
        <f t="shared" si="113"/>
        <v>0</v>
      </c>
      <c r="P747">
        <f t="shared" si="114"/>
        <v>0</v>
      </c>
      <c r="R747" t="str">
        <f t="shared" si="115"/>
        <v>00</v>
      </c>
    </row>
    <row r="748" spans="1:18" x14ac:dyDescent="0.4">
      <c r="A748" s="1" t="str">
        <f t="shared" si="118"/>
        <v>175</v>
      </c>
      <c r="B748">
        <f t="shared" si="119"/>
        <v>0</v>
      </c>
      <c r="C748">
        <f>VALUE(MID(Hex!$C$2,1+2*HEX2DEC(A748)+B748,1))</f>
        <v>4</v>
      </c>
      <c r="D748" s="1" t="str">
        <f t="shared" si="116"/>
        <v>2EA</v>
      </c>
      <c r="E748">
        <f>HEX2DEC(MID(Hex!$C$8,1+HEX2DEC(Edit!D748)*2,2))</f>
        <v>0</v>
      </c>
      <c r="F748">
        <f t="shared" si="117"/>
        <v>746</v>
      </c>
      <c r="G748" t="str">
        <f>_xlfn.LET(_xlpm.custom,_xlfn.XLOOKUP(F748,Data!A:A,Data!C:C),IF(_xlpm.custom="",_xlfn.XLOOKUP(F748,Data!A:A,Data!B:B),_xlpm.custom))</f>
        <v>Mega Glasses</v>
      </c>
      <c r="H748" t="str">
        <f>_xlfn.XLOOKUP(C748,Data!A:A,Data!E:E)</f>
        <v>Key</v>
      </c>
      <c r="J748">
        <f>IF(I748="",C748,_xlfn.XLOOKUP(I748,Data!E:E,Data!A:A,""))</f>
        <v>4</v>
      </c>
      <c r="L748">
        <f t="shared" si="111"/>
        <v>0</v>
      </c>
      <c r="M748">
        <f t="shared" si="112"/>
        <v>0</v>
      </c>
      <c r="N748">
        <f t="shared" si="120"/>
        <v>0</v>
      </c>
      <c r="O748">
        <f t="shared" si="113"/>
        <v>0</v>
      </c>
      <c r="P748">
        <f t="shared" si="114"/>
        <v>0</v>
      </c>
      <c r="R748" t="str">
        <f t="shared" si="115"/>
        <v>00</v>
      </c>
    </row>
    <row r="749" spans="1:18" x14ac:dyDescent="0.4">
      <c r="A749" s="1" t="str">
        <f t="shared" si="118"/>
        <v>175</v>
      </c>
      <c r="B749">
        <f t="shared" si="119"/>
        <v>1</v>
      </c>
      <c r="C749">
        <f>VALUE(MID(Hex!$C$2,1+2*HEX2DEC(A749)+B749,1))</f>
        <v>4</v>
      </c>
      <c r="D749" s="1" t="str">
        <f t="shared" si="116"/>
        <v>2EB</v>
      </c>
      <c r="E749">
        <f>HEX2DEC(MID(Hex!$C$8,1+HEX2DEC(Edit!D749)*2,2))</f>
        <v>0</v>
      </c>
      <c r="F749">
        <f t="shared" si="117"/>
        <v>747</v>
      </c>
      <c r="G749" t="str">
        <f>_xlfn.LET(_xlpm.custom,_xlfn.XLOOKUP(F749,Data!A:A,Data!C:C),IF(_xlpm.custom="",_xlfn.XLOOKUP(F749,Data!A:A,Data!B:B),_xlpm.custom))</f>
        <v>Mega Anchor</v>
      </c>
      <c r="H749" t="str">
        <f>_xlfn.XLOOKUP(C749,Data!A:A,Data!E:E)</f>
        <v>Key</v>
      </c>
      <c r="J749">
        <f>IF(I749="",C749,_xlfn.XLOOKUP(I749,Data!E:E,Data!A:A,""))</f>
        <v>4</v>
      </c>
      <c r="L749">
        <f t="shared" si="111"/>
        <v>0</v>
      </c>
      <c r="M749">
        <f t="shared" si="112"/>
        <v>0</v>
      </c>
      <c r="N749">
        <f t="shared" si="120"/>
        <v>0</v>
      </c>
      <c r="O749">
        <f t="shared" si="113"/>
        <v>0</v>
      </c>
      <c r="P749">
        <f t="shared" si="114"/>
        <v>0</v>
      </c>
      <c r="R749" t="str">
        <f t="shared" si="115"/>
        <v>00</v>
      </c>
    </row>
    <row r="750" spans="1:18" x14ac:dyDescent="0.4">
      <c r="A750" s="1" t="str">
        <f t="shared" si="118"/>
        <v>176</v>
      </c>
      <c r="B750">
        <f t="shared" si="119"/>
        <v>0</v>
      </c>
      <c r="C750">
        <f>VALUE(MID(Hex!$C$2,1+2*HEX2DEC(A750)+B750,1))</f>
        <v>4</v>
      </c>
      <c r="D750" s="1" t="str">
        <f t="shared" si="116"/>
        <v>2EC</v>
      </c>
      <c r="E750">
        <f>HEX2DEC(MID(Hex!$C$8,1+HEX2DEC(Edit!D750)*2,2))</f>
        <v>0</v>
      </c>
      <c r="F750">
        <f t="shared" si="117"/>
        <v>748</v>
      </c>
      <c r="G750" t="str">
        <f>_xlfn.LET(_xlpm.custom,_xlfn.XLOOKUP(F750,Data!A:A,Data!C:C),IF(_xlpm.custom="",_xlfn.XLOOKUP(F750,Data!A:A,Data!B:B),_xlpm.custom))</f>
        <v>Mega Stickpin</v>
      </c>
      <c r="H750" t="str">
        <f>_xlfn.XLOOKUP(C750,Data!A:A,Data!E:E)</f>
        <v>Key</v>
      </c>
      <c r="J750">
        <f>IF(I750="",C750,_xlfn.XLOOKUP(I750,Data!E:E,Data!A:A,""))</f>
        <v>4</v>
      </c>
      <c r="L750">
        <f t="shared" si="111"/>
        <v>0</v>
      </c>
      <c r="M750">
        <f t="shared" si="112"/>
        <v>0</v>
      </c>
      <c r="N750">
        <f t="shared" si="120"/>
        <v>0</v>
      </c>
      <c r="O750">
        <f t="shared" si="113"/>
        <v>0</v>
      </c>
      <c r="P750">
        <f t="shared" si="114"/>
        <v>0</v>
      </c>
      <c r="R750" t="str">
        <f t="shared" si="115"/>
        <v>00</v>
      </c>
    </row>
    <row r="751" spans="1:18" x14ac:dyDescent="0.4">
      <c r="A751" s="1" t="str">
        <f t="shared" si="118"/>
        <v>176</v>
      </c>
      <c r="B751">
        <f t="shared" si="119"/>
        <v>1</v>
      </c>
      <c r="C751">
        <f>VALUE(MID(Hex!$C$2,1+2*HEX2DEC(A751)+B751,1))</f>
        <v>4</v>
      </c>
      <c r="D751" s="1" t="str">
        <f t="shared" si="116"/>
        <v>2ED</v>
      </c>
      <c r="E751">
        <f>HEX2DEC(MID(Hex!$C$8,1+HEX2DEC(Edit!D751)*2,2))</f>
        <v>0</v>
      </c>
      <c r="F751">
        <f t="shared" si="117"/>
        <v>749</v>
      </c>
      <c r="G751" t="str">
        <f>_xlfn.LET(_xlpm.custom,_xlfn.XLOOKUP(F751,Data!A:A,Data!C:C),IF(_xlpm.custom="",_xlfn.XLOOKUP(F751,Data!A:A,Data!B:B),_xlpm.custom))</f>
        <v>Mega Tiara</v>
      </c>
      <c r="H751" t="str">
        <f>_xlfn.XLOOKUP(C751,Data!A:A,Data!E:E)</f>
        <v>Key</v>
      </c>
      <c r="J751">
        <f>IF(I751="",C751,_xlfn.XLOOKUP(I751,Data!E:E,Data!A:A,""))</f>
        <v>4</v>
      </c>
      <c r="L751">
        <f t="shared" si="111"/>
        <v>0</v>
      </c>
      <c r="M751">
        <f t="shared" si="112"/>
        <v>0</v>
      </c>
      <c r="N751">
        <f t="shared" si="120"/>
        <v>0</v>
      </c>
      <c r="O751">
        <f t="shared" si="113"/>
        <v>0</v>
      </c>
      <c r="P751">
        <f t="shared" si="114"/>
        <v>0</v>
      </c>
      <c r="R751" t="str">
        <f t="shared" si="115"/>
        <v>00</v>
      </c>
    </row>
    <row r="752" spans="1:18" x14ac:dyDescent="0.4">
      <c r="A752" s="1" t="str">
        <f t="shared" si="118"/>
        <v>177</v>
      </c>
      <c r="B752">
        <f t="shared" si="119"/>
        <v>0</v>
      </c>
      <c r="C752">
        <f>VALUE(MID(Hex!$C$2,1+2*HEX2DEC(A752)+B752,1))</f>
        <v>4</v>
      </c>
      <c r="D752" s="1" t="str">
        <f t="shared" si="116"/>
        <v>2EE</v>
      </c>
      <c r="E752">
        <f>HEX2DEC(MID(Hex!$C$8,1+HEX2DEC(Edit!D752)*2,2))</f>
        <v>0</v>
      </c>
      <c r="F752">
        <f t="shared" si="117"/>
        <v>750</v>
      </c>
      <c r="G752" t="str">
        <f>_xlfn.LET(_xlpm.custom,_xlfn.XLOOKUP(F752,Data!A:A,Data!C:C),IF(_xlpm.custom="",_xlfn.XLOOKUP(F752,Data!A:A,Data!B:B),_xlpm.custom))</f>
        <v>Mega Anklet</v>
      </c>
      <c r="H752" t="str">
        <f>_xlfn.XLOOKUP(C752,Data!A:A,Data!E:E)</f>
        <v>Key</v>
      </c>
      <c r="J752">
        <f>IF(I752="",C752,_xlfn.XLOOKUP(I752,Data!E:E,Data!A:A,""))</f>
        <v>4</v>
      </c>
      <c r="L752">
        <f t="shared" si="111"/>
        <v>0</v>
      </c>
      <c r="M752">
        <f t="shared" si="112"/>
        <v>0</v>
      </c>
      <c r="N752">
        <f t="shared" si="120"/>
        <v>0</v>
      </c>
      <c r="O752">
        <f t="shared" si="113"/>
        <v>0</v>
      </c>
      <c r="P752">
        <f t="shared" si="114"/>
        <v>0</v>
      </c>
      <c r="R752" t="str">
        <f t="shared" si="115"/>
        <v>00</v>
      </c>
    </row>
    <row r="753" spans="1:18" x14ac:dyDescent="0.4">
      <c r="A753" s="1" t="str">
        <f t="shared" si="118"/>
        <v>177</v>
      </c>
      <c r="B753">
        <f t="shared" si="119"/>
        <v>1</v>
      </c>
      <c r="C753">
        <f>VALUE(MID(Hex!$C$2,1+2*HEX2DEC(A753)+B753,1))</f>
        <v>4</v>
      </c>
      <c r="D753" s="1" t="str">
        <f t="shared" si="116"/>
        <v>2EF</v>
      </c>
      <c r="E753">
        <f>HEX2DEC(MID(Hex!$C$8,1+HEX2DEC(Edit!D753)*2,2))</f>
        <v>0</v>
      </c>
      <c r="F753">
        <f t="shared" si="117"/>
        <v>751</v>
      </c>
      <c r="G753" t="str">
        <f>_xlfn.LET(_xlpm.custom,_xlfn.XLOOKUP(F753,Data!A:A,Data!C:C),IF(_xlpm.custom="",_xlfn.XLOOKUP(F753,Data!A:A,Data!B:B),_xlpm.custom))</f>
        <v>Meteorite</v>
      </c>
      <c r="H753" t="str">
        <f>_xlfn.XLOOKUP(C753,Data!A:A,Data!E:E)</f>
        <v>Key</v>
      </c>
      <c r="J753">
        <f>IF(I753="",C753,_xlfn.XLOOKUP(I753,Data!E:E,Data!A:A,""))</f>
        <v>4</v>
      </c>
      <c r="L753">
        <f t="shared" si="111"/>
        <v>0</v>
      </c>
      <c r="M753">
        <f t="shared" si="112"/>
        <v>0</v>
      </c>
      <c r="N753">
        <f t="shared" si="120"/>
        <v>0</v>
      </c>
      <c r="O753">
        <f t="shared" si="113"/>
        <v>0</v>
      </c>
      <c r="P753">
        <f t="shared" si="114"/>
        <v>0</v>
      </c>
      <c r="R753" t="str">
        <f t="shared" si="115"/>
        <v>00</v>
      </c>
    </row>
    <row r="754" spans="1:18" x14ac:dyDescent="0.4">
      <c r="A754" s="1" t="str">
        <f t="shared" si="118"/>
        <v>178</v>
      </c>
      <c r="B754">
        <f t="shared" si="119"/>
        <v>0</v>
      </c>
      <c r="C754">
        <f>VALUE(MID(Hex!$C$2,1+2*HEX2DEC(A754)+B754,1))</f>
        <v>0</v>
      </c>
      <c r="D754" s="1" t="str">
        <f t="shared" si="116"/>
        <v>2F0</v>
      </c>
      <c r="E754">
        <f>HEX2DEC(MID(Hex!$C$8,1+HEX2DEC(Edit!D754)*2,2))</f>
        <v>0</v>
      </c>
      <c r="F754">
        <f t="shared" si="117"/>
        <v>752</v>
      </c>
      <c r="G754" t="str">
        <f>_xlfn.LET(_xlpm.custom,_xlfn.XLOOKUP(F754,Data!A:A,Data!C:C),IF(_xlpm.custom="",_xlfn.XLOOKUP(F754,Data!A:A,Data!B:B),_xlpm.custom))</f>
        <v>Swampertite</v>
      </c>
      <c r="H754" t="str">
        <f>_xlfn.XLOOKUP(C754,Data!A:A,Data!E:E)</f>
        <v>General</v>
      </c>
      <c r="J754">
        <f>IF(I754="",C754,_xlfn.XLOOKUP(I754,Data!E:E,Data!A:A,""))</f>
        <v>0</v>
      </c>
      <c r="L754">
        <f t="shared" si="111"/>
        <v>0</v>
      </c>
      <c r="M754">
        <f t="shared" si="112"/>
        <v>0</v>
      </c>
      <c r="N754">
        <f t="shared" si="120"/>
        <v>0</v>
      </c>
      <c r="O754">
        <f t="shared" si="113"/>
        <v>0</v>
      </c>
      <c r="P754">
        <f t="shared" si="114"/>
        <v>0</v>
      </c>
      <c r="R754" t="str">
        <f t="shared" si="115"/>
        <v>00</v>
      </c>
    </row>
    <row r="755" spans="1:18" x14ac:dyDescent="0.4">
      <c r="A755" s="1" t="str">
        <f t="shared" si="118"/>
        <v>178</v>
      </c>
      <c r="B755">
        <f t="shared" si="119"/>
        <v>1</v>
      </c>
      <c r="C755">
        <f>VALUE(MID(Hex!$C$2,1+2*HEX2DEC(A755)+B755,1))</f>
        <v>0</v>
      </c>
      <c r="D755" s="1" t="str">
        <f t="shared" si="116"/>
        <v>2F1</v>
      </c>
      <c r="E755">
        <f>HEX2DEC(MID(Hex!$C$8,1+HEX2DEC(Edit!D755)*2,2))</f>
        <v>0</v>
      </c>
      <c r="F755">
        <f t="shared" si="117"/>
        <v>753</v>
      </c>
      <c r="G755" t="str">
        <f>_xlfn.LET(_xlpm.custom,_xlfn.XLOOKUP(F755,Data!A:A,Data!C:C),IF(_xlpm.custom="",_xlfn.XLOOKUP(F755,Data!A:A,Data!B:B),_xlpm.custom))</f>
        <v>Sceptilite</v>
      </c>
      <c r="H755" t="str">
        <f>_xlfn.XLOOKUP(C755,Data!A:A,Data!E:E)</f>
        <v>General</v>
      </c>
      <c r="J755">
        <f>IF(I755="",C755,_xlfn.XLOOKUP(I755,Data!E:E,Data!A:A,""))</f>
        <v>0</v>
      </c>
      <c r="L755">
        <f t="shared" si="111"/>
        <v>0</v>
      </c>
      <c r="M755">
        <f t="shared" si="112"/>
        <v>0</v>
      </c>
      <c r="N755">
        <f t="shared" si="120"/>
        <v>0</v>
      </c>
      <c r="O755">
        <f t="shared" si="113"/>
        <v>0</v>
      </c>
      <c r="P755">
        <f t="shared" si="114"/>
        <v>0</v>
      </c>
      <c r="R755" t="str">
        <f t="shared" si="115"/>
        <v>00</v>
      </c>
    </row>
    <row r="756" spans="1:18" x14ac:dyDescent="0.4">
      <c r="A756" s="1" t="str">
        <f t="shared" si="118"/>
        <v>179</v>
      </c>
      <c r="B756">
        <f t="shared" si="119"/>
        <v>0</v>
      </c>
      <c r="C756">
        <f>VALUE(MID(Hex!$C$2,1+2*HEX2DEC(A756)+B756,1))</f>
        <v>0</v>
      </c>
      <c r="D756" s="1" t="str">
        <f t="shared" si="116"/>
        <v>2F2</v>
      </c>
      <c r="E756">
        <f>HEX2DEC(MID(Hex!$C$8,1+HEX2DEC(Edit!D756)*2,2))</f>
        <v>0</v>
      </c>
      <c r="F756">
        <f t="shared" si="117"/>
        <v>754</v>
      </c>
      <c r="G756" t="str">
        <f>_xlfn.LET(_xlpm.custom,_xlfn.XLOOKUP(F756,Data!A:A,Data!C:C),IF(_xlpm.custom="",_xlfn.XLOOKUP(F756,Data!A:A,Data!B:B),_xlpm.custom))</f>
        <v>Sablenite</v>
      </c>
      <c r="H756" t="str">
        <f>_xlfn.XLOOKUP(C756,Data!A:A,Data!E:E)</f>
        <v>General</v>
      </c>
      <c r="J756">
        <f>IF(I756="",C756,_xlfn.XLOOKUP(I756,Data!E:E,Data!A:A,""))</f>
        <v>0</v>
      </c>
      <c r="L756">
        <f t="shared" si="111"/>
        <v>0</v>
      </c>
      <c r="M756">
        <f t="shared" si="112"/>
        <v>0</v>
      </c>
      <c r="N756">
        <f t="shared" si="120"/>
        <v>0</v>
      </c>
      <c r="O756">
        <f t="shared" si="113"/>
        <v>0</v>
      </c>
      <c r="P756">
        <f t="shared" si="114"/>
        <v>0</v>
      </c>
      <c r="R756" t="str">
        <f t="shared" si="115"/>
        <v>00</v>
      </c>
    </row>
    <row r="757" spans="1:18" x14ac:dyDescent="0.4">
      <c r="A757" s="1" t="str">
        <f t="shared" si="118"/>
        <v>179</v>
      </c>
      <c r="B757">
        <f t="shared" si="119"/>
        <v>1</v>
      </c>
      <c r="C757">
        <f>VALUE(MID(Hex!$C$2,1+2*HEX2DEC(A757)+B757,1))</f>
        <v>0</v>
      </c>
      <c r="D757" s="1" t="str">
        <f t="shared" si="116"/>
        <v>2F3</v>
      </c>
      <c r="E757">
        <f>HEX2DEC(MID(Hex!$C$8,1+HEX2DEC(Edit!D757)*2,2))</f>
        <v>0</v>
      </c>
      <c r="F757">
        <f t="shared" si="117"/>
        <v>755</v>
      </c>
      <c r="G757" t="str">
        <f>_xlfn.LET(_xlpm.custom,_xlfn.XLOOKUP(F757,Data!A:A,Data!C:C),IF(_xlpm.custom="",_xlfn.XLOOKUP(F757,Data!A:A,Data!B:B),_xlpm.custom))</f>
        <v>Altarianite</v>
      </c>
      <c r="H757" t="str">
        <f>_xlfn.XLOOKUP(C757,Data!A:A,Data!E:E)</f>
        <v>General</v>
      </c>
      <c r="J757">
        <f>IF(I757="",C757,_xlfn.XLOOKUP(I757,Data!E:E,Data!A:A,""))</f>
        <v>0</v>
      </c>
      <c r="L757">
        <f t="shared" si="111"/>
        <v>0</v>
      </c>
      <c r="M757">
        <f t="shared" si="112"/>
        <v>0</v>
      </c>
      <c r="N757">
        <f t="shared" si="120"/>
        <v>0</v>
      </c>
      <c r="O757">
        <f t="shared" si="113"/>
        <v>0</v>
      </c>
      <c r="P757">
        <f t="shared" si="114"/>
        <v>0</v>
      </c>
      <c r="R757" t="str">
        <f t="shared" si="115"/>
        <v>00</v>
      </c>
    </row>
    <row r="758" spans="1:18" x14ac:dyDescent="0.4">
      <c r="A758" s="1" t="str">
        <f t="shared" si="118"/>
        <v>17A</v>
      </c>
      <c r="B758">
        <f t="shared" si="119"/>
        <v>0</v>
      </c>
      <c r="C758">
        <f>VALUE(MID(Hex!$C$2,1+2*HEX2DEC(A758)+B758,1))</f>
        <v>0</v>
      </c>
      <c r="D758" s="1" t="str">
        <f t="shared" si="116"/>
        <v>2F4</v>
      </c>
      <c r="E758">
        <f>HEX2DEC(MID(Hex!$C$8,1+HEX2DEC(Edit!D758)*2,2))</f>
        <v>0</v>
      </c>
      <c r="F758">
        <f t="shared" si="117"/>
        <v>756</v>
      </c>
      <c r="G758" t="str">
        <f>_xlfn.LET(_xlpm.custom,_xlfn.XLOOKUP(F758,Data!A:A,Data!C:C),IF(_xlpm.custom="",_xlfn.XLOOKUP(F758,Data!A:A,Data!B:B),_xlpm.custom))</f>
        <v>Galladite</v>
      </c>
      <c r="H758" t="str">
        <f>_xlfn.XLOOKUP(C758,Data!A:A,Data!E:E)</f>
        <v>General</v>
      </c>
      <c r="J758">
        <f>IF(I758="",C758,_xlfn.XLOOKUP(I758,Data!E:E,Data!A:A,""))</f>
        <v>0</v>
      </c>
      <c r="L758">
        <f t="shared" si="111"/>
        <v>0</v>
      </c>
      <c r="M758">
        <f t="shared" si="112"/>
        <v>0</v>
      </c>
      <c r="N758">
        <f t="shared" si="120"/>
        <v>0</v>
      </c>
      <c r="O758">
        <f t="shared" si="113"/>
        <v>0</v>
      </c>
      <c r="P758">
        <f t="shared" si="114"/>
        <v>0</v>
      </c>
      <c r="R758" t="str">
        <f t="shared" si="115"/>
        <v>00</v>
      </c>
    </row>
    <row r="759" spans="1:18" x14ac:dyDescent="0.4">
      <c r="A759" s="1" t="str">
        <f t="shared" si="118"/>
        <v>17A</v>
      </c>
      <c r="B759">
        <f t="shared" si="119"/>
        <v>1</v>
      </c>
      <c r="C759">
        <f>VALUE(MID(Hex!$C$2,1+2*HEX2DEC(A759)+B759,1))</f>
        <v>0</v>
      </c>
      <c r="D759" s="1" t="str">
        <f t="shared" si="116"/>
        <v>2F5</v>
      </c>
      <c r="E759">
        <f>HEX2DEC(MID(Hex!$C$8,1+HEX2DEC(Edit!D759)*2,2))</f>
        <v>0</v>
      </c>
      <c r="F759">
        <f t="shared" si="117"/>
        <v>757</v>
      </c>
      <c r="G759" t="str">
        <f>_xlfn.LET(_xlpm.custom,_xlfn.XLOOKUP(F759,Data!A:A,Data!C:C),IF(_xlpm.custom="",_xlfn.XLOOKUP(F759,Data!A:A,Data!B:B),_xlpm.custom))</f>
        <v>Audinite</v>
      </c>
      <c r="H759" t="str">
        <f>_xlfn.XLOOKUP(C759,Data!A:A,Data!E:E)</f>
        <v>General</v>
      </c>
      <c r="J759">
        <f>IF(I759="",C759,_xlfn.XLOOKUP(I759,Data!E:E,Data!A:A,""))</f>
        <v>0</v>
      </c>
      <c r="L759">
        <f t="shared" si="111"/>
        <v>0</v>
      </c>
      <c r="M759">
        <f t="shared" si="112"/>
        <v>0</v>
      </c>
      <c r="N759">
        <f t="shared" si="120"/>
        <v>0</v>
      </c>
      <c r="O759">
        <f t="shared" si="113"/>
        <v>0</v>
      </c>
      <c r="P759">
        <f t="shared" si="114"/>
        <v>0</v>
      </c>
      <c r="R759" t="str">
        <f t="shared" si="115"/>
        <v>00</v>
      </c>
    </row>
    <row r="760" spans="1:18" x14ac:dyDescent="0.4">
      <c r="A760" s="1" t="str">
        <f t="shared" si="118"/>
        <v>17B</v>
      </c>
      <c r="B760">
        <f t="shared" si="119"/>
        <v>0</v>
      </c>
      <c r="C760">
        <f>VALUE(MID(Hex!$C$2,1+2*HEX2DEC(A760)+B760,1))</f>
        <v>0</v>
      </c>
      <c r="D760" s="1" t="str">
        <f t="shared" si="116"/>
        <v>2F6</v>
      </c>
      <c r="E760">
        <f>HEX2DEC(MID(Hex!$C$8,1+HEX2DEC(Edit!D760)*2,2))</f>
        <v>0</v>
      </c>
      <c r="F760">
        <f t="shared" si="117"/>
        <v>758</v>
      </c>
      <c r="G760" t="str">
        <f>_xlfn.LET(_xlpm.custom,_xlfn.XLOOKUP(F760,Data!A:A,Data!C:C),IF(_xlpm.custom="",_xlfn.XLOOKUP(F760,Data!A:A,Data!B:B),_xlpm.custom))</f>
        <v>Metagrossite</v>
      </c>
      <c r="H760" t="str">
        <f>_xlfn.XLOOKUP(C760,Data!A:A,Data!E:E)</f>
        <v>General</v>
      </c>
      <c r="J760">
        <f>IF(I760="",C760,_xlfn.XLOOKUP(I760,Data!E:E,Data!A:A,""))</f>
        <v>0</v>
      </c>
      <c r="L760">
        <f t="shared" si="111"/>
        <v>0</v>
      </c>
      <c r="M760">
        <f t="shared" si="112"/>
        <v>0</v>
      </c>
      <c r="N760">
        <f t="shared" si="120"/>
        <v>0</v>
      </c>
      <c r="O760">
        <f t="shared" si="113"/>
        <v>0</v>
      </c>
      <c r="P760">
        <f t="shared" si="114"/>
        <v>0</v>
      </c>
      <c r="R760" t="str">
        <f t="shared" si="115"/>
        <v>00</v>
      </c>
    </row>
    <row r="761" spans="1:18" x14ac:dyDescent="0.4">
      <c r="A761" s="1" t="str">
        <f t="shared" si="118"/>
        <v>17B</v>
      </c>
      <c r="B761">
        <f t="shared" si="119"/>
        <v>1</v>
      </c>
      <c r="C761">
        <f>VALUE(MID(Hex!$C$2,1+2*HEX2DEC(A761)+B761,1))</f>
        <v>0</v>
      </c>
      <c r="D761" s="1" t="str">
        <f t="shared" si="116"/>
        <v>2F7</v>
      </c>
      <c r="E761">
        <f>HEX2DEC(MID(Hex!$C$8,1+HEX2DEC(Edit!D761)*2,2))</f>
        <v>0</v>
      </c>
      <c r="F761">
        <f t="shared" si="117"/>
        <v>759</v>
      </c>
      <c r="G761" t="str">
        <f>_xlfn.LET(_xlpm.custom,_xlfn.XLOOKUP(F761,Data!A:A,Data!C:C),IF(_xlpm.custom="",_xlfn.XLOOKUP(F761,Data!A:A,Data!B:B),_xlpm.custom))</f>
        <v>Sharpedonite</v>
      </c>
      <c r="H761" t="str">
        <f>_xlfn.XLOOKUP(C761,Data!A:A,Data!E:E)</f>
        <v>General</v>
      </c>
      <c r="J761">
        <f>IF(I761="",C761,_xlfn.XLOOKUP(I761,Data!E:E,Data!A:A,""))</f>
        <v>0</v>
      </c>
      <c r="L761">
        <f t="shared" si="111"/>
        <v>0</v>
      </c>
      <c r="M761">
        <f t="shared" si="112"/>
        <v>0</v>
      </c>
      <c r="N761">
        <f t="shared" si="120"/>
        <v>0</v>
      </c>
      <c r="O761">
        <f t="shared" si="113"/>
        <v>0</v>
      </c>
      <c r="P761">
        <f t="shared" si="114"/>
        <v>0</v>
      </c>
      <c r="R761" t="str">
        <f t="shared" si="115"/>
        <v>00</v>
      </c>
    </row>
    <row r="762" spans="1:18" x14ac:dyDescent="0.4">
      <c r="A762" s="1" t="str">
        <f t="shared" si="118"/>
        <v>17C</v>
      </c>
      <c r="B762">
        <f t="shared" si="119"/>
        <v>0</v>
      </c>
      <c r="C762">
        <f>VALUE(MID(Hex!$C$2,1+2*HEX2DEC(A762)+B762,1))</f>
        <v>0</v>
      </c>
      <c r="D762" s="1" t="str">
        <f t="shared" si="116"/>
        <v>2F8</v>
      </c>
      <c r="E762">
        <f>HEX2DEC(MID(Hex!$C$8,1+HEX2DEC(Edit!D762)*2,2))</f>
        <v>0</v>
      </c>
      <c r="F762">
        <f t="shared" si="117"/>
        <v>760</v>
      </c>
      <c r="G762" t="str">
        <f>_xlfn.LET(_xlpm.custom,_xlfn.XLOOKUP(F762,Data!A:A,Data!C:C),IF(_xlpm.custom="",_xlfn.XLOOKUP(F762,Data!A:A,Data!B:B),_xlpm.custom))</f>
        <v>Slowbronite</v>
      </c>
      <c r="H762" t="str">
        <f>_xlfn.XLOOKUP(C762,Data!A:A,Data!E:E)</f>
        <v>General</v>
      </c>
      <c r="J762">
        <f>IF(I762="",C762,_xlfn.XLOOKUP(I762,Data!E:E,Data!A:A,""))</f>
        <v>0</v>
      </c>
      <c r="L762">
        <f t="shared" si="111"/>
        <v>0</v>
      </c>
      <c r="M762">
        <f t="shared" si="112"/>
        <v>0</v>
      </c>
      <c r="N762">
        <f t="shared" si="120"/>
        <v>0</v>
      </c>
      <c r="O762">
        <f t="shared" si="113"/>
        <v>0</v>
      </c>
      <c r="P762">
        <f t="shared" si="114"/>
        <v>0</v>
      </c>
      <c r="R762" t="str">
        <f t="shared" si="115"/>
        <v>00</v>
      </c>
    </row>
    <row r="763" spans="1:18" x14ac:dyDescent="0.4">
      <c r="A763" s="1" t="str">
        <f t="shared" si="118"/>
        <v>17C</v>
      </c>
      <c r="B763">
        <f t="shared" si="119"/>
        <v>1</v>
      </c>
      <c r="C763">
        <f>VALUE(MID(Hex!$C$2,1+2*HEX2DEC(A763)+B763,1))</f>
        <v>0</v>
      </c>
      <c r="D763" s="1" t="str">
        <f t="shared" si="116"/>
        <v>2F9</v>
      </c>
      <c r="E763">
        <f>HEX2DEC(MID(Hex!$C$8,1+HEX2DEC(Edit!D763)*2,2))</f>
        <v>0</v>
      </c>
      <c r="F763">
        <f t="shared" si="117"/>
        <v>761</v>
      </c>
      <c r="G763" t="str">
        <f>_xlfn.LET(_xlpm.custom,_xlfn.XLOOKUP(F763,Data!A:A,Data!C:C),IF(_xlpm.custom="",_xlfn.XLOOKUP(F763,Data!A:A,Data!B:B),_xlpm.custom))</f>
        <v>Steelixite</v>
      </c>
      <c r="H763" t="str">
        <f>_xlfn.XLOOKUP(C763,Data!A:A,Data!E:E)</f>
        <v>General</v>
      </c>
      <c r="J763">
        <f>IF(I763="",C763,_xlfn.XLOOKUP(I763,Data!E:E,Data!A:A,""))</f>
        <v>0</v>
      </c>
      <c r="L763">
        <f t="shared" si="111"/>
        <v>0</v>
      </c>
      <c r="M763">
        <f t="shared" si="112"/>
        <v>0</v>
      </c>
      <c r="N763">
        <f t="shared" si="120"/>
        <v>0</v>
      </c>
      <c r="O763">
        <f t="shared" si="113"/>
        <v>0</v>
      </c>
      <c r="P763">
        <f t="shared" si="114"/>
        <v>0</v>
      </c>
      <c r="R763" t="str">
        <f t="shared" si="115"/>
        <v>00</v>
      </c>
    </row>
    <row r="764" spans="1:18" x14ac:dyDescent="0.4">
      <c r="A764" s="1" t="str">
        <f t="shared" si="118"/>
        <v>17D</v>
      </c>
      <c r="B764">
        <f t="shared" si="119"/>
        <v>0</v>
      </c>
      <c r="C764">
        <f>VALUE(MID(Hex!$C$2,1+2*HEX2DEC(A764)+B764,1))</f>
        <v>0</v>
      </c>
      <c r="D764" s="1" t="str">
        <f t="shared" si="116"/>
        <v>2FA</v>
      </c>
      <c r="E764">
        <f>HEX2DEC(MID(Hex!$C$8,1+HEX2DEC(Edit!D764)*2,2))</f>
        <v>0</v>
      </c>
      <c r="F764">
        <f t="shared" si="117"/>
        <v>762</v>
      </c>
      <c r="G764" t="str">
        <f>_xlfn.LET(_xlpm.custom,_xlfn.XLOOKUP(F764,Data!A:A,Data!C:C),IF(_xlpm.custom="",_xlfn.XLOOKUP(F764,Data!A:A,Data!B:B),_xlpm.custom))</f>
        <v>Pidgeotite</v>
      </c>
      <c r="H764" t="str">
        <f>_xlfn.XLOOKUP(C764,Data!A:A,Data!E:E)</f>
        <v>General</v>
      </c>
      <c r="J764">
        <f>IF(I764="",C764,_xlfn.XLOOKUP(I764,Data!E:E,Data!A:A,""))</f>
        <v>0</v>
      </c>
      <c r="L764">
        <f t="shared" si="111"/>
        <v>0</v>
      </c>
      <c r="M764">
        <f t="shared" si="112"/>
        <v>0</v>
      </c>
      <c r="N764">
        <f t="shared" si="120"/>
        <v>0</v>
      </c>
      <c r="O764">
        <f t="shared" si="113"/>
        <v>0</v>
      </c>
      <c r="P764">
        <f t="shared" si="114"/>
        <v>0</v>
      </c>
      <c r="R764" t="str">
        <f t="shared" si="115"/>
        <v>00</v>
      </c>
    </row>
    <row r="765" spans="1:18" x14ac:dyDescent="0.4">
      <c r="A765" s="1" t="str">
        <f t="shared" si="118"/>
        <v>17D</v>
      </c>
      <c r="B765">
        <f t="shared" si="119"/>
        <v>1</v>
      </c>
      <c r="C765">
        <f>VALUE(MID(Hex!$C$2,1+2*HEX2DEC(A765)+B765,1))</f>
        <v>0</v>
      </c>
      <c r="D765" s="1" t="str">
        <f t="shared" si="116"/>
        <v>2FB</v>
      </c>
      <c r="E765">
        <f>HEX2DEC(MID(Hex!$C$8,1+HEX2DEC(Edit!D765)*2,2))</f>
        <v>0</v>
      </c>
      <c r="F765">
        <f t="shared" si="117"/>
        <v>763</v>
      </c>
      <c r="G765" t="str">
        <f>_xlfn.LET(_xlpm.custom,_xlfn.XLOOKUP(F765,Data!A:A,Data!C:C),IF(_xlpm.custom="",_xlfn.XLOOKUP(F765,Data!A:A,Data!B:B),_xlpm.custom))</f>
        <v>Glalitite</v>
      </c>
      <c r="H765" t="str">
        <f>_xlfn.XLOOKUP(C765,Data!A:A,Data!E:E)</f>
        <v>General</v>
      </c>
      <c r="J765">
        <f>IF(I765="",C765,_xlfn.XLOOKUP(I765,Data!E:E,Data!A:A,""))</f>
        <v>0</v>
      </c>
      <c r="L765">
        <f t="shared" si="111"/>
        <v>0</v>
      </c>
      <c r="M765">
        <f t="shared" si="112"/>
        <v>0</v>
      </c>
      <c r="N765">
        <f t="shared" si="120"/>
        <v>0</v>
      </c>
      <c r="O765">
        <f t="shared" si="113"/>
        <v>0</v>
      </c>
      <c r="P765">
        <f t="shared" si="114"/>
        <v>0</v>
      </c>
      <c r="R765" t="str">
        <f t="shared" si="115"/>
        <v>00</v>
      </c>
    </row>
    <row r="766" spans="1:18" x14ac:dyDescent="0.4">
      <c r="A766" s="1" t="str">
        <f t="shared" si="118"/>
        <v>17E</v>
      </c>
      <c r="B766">
        <f t="shared" si="119"/>
        <v>0</v>
      </c>
      <c r="C766">
        <f>VALUE(MID(Hex!$C$2,1+2*HEX2DEC(A766)+B766,1))</f>
        <v>0</v>
      </c>
      <c r="D766" s="1" t="str">
        <f t="shared" si="116"/>
        <v>2FC</v>
      </c>
      <c r="E766">
        <f>HEX2DEC(MID(Hex!$C$8,1+HEX2DEC(Edit!D766)*2,2))</f>
        <v>0</v>
      </c>
      <c r="F766">
        <f t="shared" si="117"/>
        <v>764</v>
      </c>
      <c r="G766" t="str">
        <f>_xlfn.LET(_xlpm.custom,_xlfn.XLOOKUP(F766,Data!A:A,Data!C:C),IF(_xlpm.custom="",_xlfn.XLOOKUP(F766,Data!A:A,Data!B:B),_xlpm.custom))</f>
        <v>Diancite</v>
      </c>
      <c r="H766" t="str">
        <f>_xlfn.XLOOKUP(C766,Data!A:A,Data!E:E)</f>
        <v>General</v>
      </c>
      <c r="J766">
        <f>IF(I766="",C766,_xlfn.XLOOKUP(I766,Data!E:E,Data!A:A,""))</f>
        <v>0</v>
      </c>
      <c r="L766">
        <f t="shared" si="111"/>
        <v>0</v>
      </c>
      <c r="M766">
        <f t="shared" si="112"/>
        <v>0</v>
      </c>
      <c r="N766">
        <f t="shared" si="120"/>
        <v>0</v>
      </c>
      <c r="O766">
        <f t="shared" si="113"/>
        <v>0</v>
      </c>
      <c r="P766">
        <f t="shared" si="114"/>
        <v>0</v>
      </c>
      <c r="R766" t="str">
        <f t="shared" si="115"/>
        <v>00</v>
      </c>
    </row>
    <row r="767" spans="1:18" x14ac:dyDescent="0.4">
      <c r="A767" s="1" t="str">
        <f t="shared" si="118"/>
        <v>17E</v>
      </c>
      <c r="B767">
        <f t="shared" si="119"/>
        <v>1</v>
      </c>
      <c r="C767">
        <f>VALUE(MID(Hex!$C$2,1+2*HEX2DEC(A767)+B767,1))</f>
        <v>4</v>
      </c>
      <c r="D767" s="1" t="str">
        <f t="shared" si="116"/>
        <v>2FD</v>
      </c>
      <c r="E767">
        <f>HEX2DEC(MID(Hex!$C$8,1+HEX2DEC(Edit!D767)*2,2))</f>
        <v>0</v>
      </c>
      <c r="F767">
        <f t="shared" si="117"/>
        <v>765</v>
      </c>
      <c r="G767" t="str">
        <f>_xlfn.LET(_xlpm.custom,_xlfn.XLOOKUP(F767,Data!A:A,Data!C:C),IF(_xlpm.custom="",_xlfn.XLOOKUP(F767,Data!A:A,Data!B:B),_xlpm.custom))</f>
        <v>Prison Bottle</v>
      </c>
      <c r="H767" t="str">
        <f>_xlfn.XLOOKUP(C767,Data!A:A,Data!E:E)</f>
        <v>Key</v>
      </c>
      <c r="J767">
        <f>IF(I767="",C767,_xlfn.XLOOKUP(I767,Data!E:E,Data!A:A,""))</f>
        <v>4</v>
      </c>
      <c r="L767">
        <f t="shared" si="111"/>
        <v>0</v>
      </c>
      <c r="M767">
        <f t="shared" si="112"/>
        <v>0</v>
      </c>
      <c r="N767">
        <f t="shared" si="120"/>
        <v>0</v>
      </c>
      <c r="O767">
        <f t="shared" si="113"/>
        <v>0</v>
      </c>
      <c r="P767">
        <f t="shared" si="114"/>
        <v>0</v>
      </c>
      <c r="R767" t="str">
        <f t="shared" si="115"/>
        <v>00</v>
      </c>
    </row>
    <row r="768" spans="1:18" x14ac:dyDescent="0.4">
      <c r="A768" s="1" t="str">
        <f t="shared" si="118"/>
        <v>17F</v>
      </c>
      <c r="B768">
        <f t="shared" si="119"/>
        <v>0</v>
      </c>
      <c r="C768">
        <f>VALUE(MID(Hex!$C$2,1+2*HEX2DEC(A768)+B768,1))</f>
        <v>4</v>
      </c>
      <c r="D768" s="1" t="str">
        <f t="shared" si="116"/>
        <v>2FE</v>
      </c>
      <c r="E768">
        <f>HEX2DEC(MID(Hex!$C$8,1+HEX2DEC(Edit!D768)*2,2))</f>
        <v>0</v>
      </c>
      <c r="F768">
        <f t="shared" si="117"/>
        <v>766</v>
      </c>
      <c r="G768" t="str">
        <f>_xlfn.LET(_xlpm.custom,_xlfn.XLOOKUP(F768,Data!A:A,Data!C:C),IF(_xlpm.custom="",_xlfn.XLOOKUP(F768,Data!A:A,Data!B:B),_xlpm.custom))</f>
        <v>Mega Cuff</v>
      </c>
      <c r="H768" t="str">
        <f>_xlfn.XLOOKUP(C768,Data!A:A,Data!E:E)</f>
        <v>Key</v>
      </c>
      <c r="J768">
        <f>IF(I768="",C768,_xlfn.XLOOKUP(I768,Data!E:E,Data!A:A,""))</f>
        <v>4</v>
      </c>
      <c r="L768">
        <f t="shared" si="111"/>
        <v>0</v>
      </c>
      <c r="M768">
        <f t="shared" si="112"/>
        <v>0</v>
      </c>
      <c r="N768">
        <f t="shared" si="120"/>
        <v>0</v>
      </c>
      <c r="O768">
        <f t="shared" si="113"/>
        <v>0</v>
      </c>
      <c r="P768">
        <f t="shared" si="114"/>
        <v>0</v>
      </c>
      <c r="R768" t="str">
        <f t="shared" si="115"/>
        <v>00</v>
      </c>
    </row>
    <row r="769" spans="1:18" x14ac:dyDescent="0.4">
      <c r="A769" s="1" t="str">
        <f t="shared" si="118"/>
        <v>17F</v>
      </c>
      <c r="B769">
        <f t="shared" si="119"/>
        <v>1</v>
      </c>
      <c r="C769">
        <f>VALUE(MID(Hex!$C$2,1+2*HEX2DEC(A769)+B769,1))</f>
        <v>0</v>
      </c>
      <c r="D769" s="1" t="str">
        <f t="shared" si="116"/>
        <v>2FF</v>
      </c>
      <c r="E769">
        <f>HEX2DEC(MID(Hex!$C$8,1+HEX2DEC(Edit!D769)*2,2))</f>
        <v>0</v>
      </c>
      <c r="F769">
        <f t="shared" si="117"/>
        <v>767</v>
      </c>
      <c r="G769" t="str">
        <f>_xlfn.LET(_xlpm.custom,_xlfn.XLOOKUP(F769,Data!A:A,Data!C:C),IF(_xlpm.custom="",_xlfn.XLOOKUP(F769,Data!A:A,Data!B:B),_xlpm.custom))</f>
        <v>Cameruptite</v>
      </c>
      <c r="H769" t="str">
        <f>_xlfn.XLOOKUP(C769,Data!A:A,Data!E:E)</f>
        <v>General</v>
      </c>
      <c r="J769">
        <f>IF(I769="",C769,_xlfn.XLOOKUP(I769,Data!E:E,Data!A:A,""))</f>
        <v>0</v>
      </c>
      <c r="L769">
        <f t="shared" si="111"/>
        <v>0</v>
      </c>
      <c r="M769">
        <f t="shared" si="112"/>
        <v>0</v>
      </c>
      <c r="N769">
        <f t="shared" si="120"/>
        <v>0</v>
      </c>
      <c r="O769">
        <f t="shared" si="113"/>
        <v>0</v>
      </c>
      <c r="P769">
        <f t="shared" si="114"/>
        <v>0</v>
      </c>
      <c r="R769" t="str">
        <f t="shared" si="115"/>
        <v>00</v>
      </c>
    </row>
    <row r="770" spans="1:18" x14ac:dyDescent="0.4">
      <c r="A770" s="1" t="str">
        <f t="shared" si="118"/>
        <v>180</v>
      </c>
      <c r="B770">
        <f t="shared" si="119"/>
        <v>0</v>
      </c>
      <c r="C770">
        <f>VALUE(MID(Hex!$C$2,1+2*HEX2DEC(A770)+B770,1))</f>
        <v>0</v>
      </c>
      <c r="D770" s="1" t="str">
        <f t="shared" si="116"/>
        <v>300</v>
      </c>
      <c r="E770">
        <f>HEX2DEC(MID(Hex!$C$8,1+HEX2DEC(Edit!D770)*2,2))</f>
        <v>0</v>
      </c>
      <c r="F770">
        <f t="shared" si="117"/>
        <v>768</v>
      </c>
      <c r="G770" t="str">
        <f>_xlfn.LET(_xlpm.custom,_xlfn.XLOOKUP(F770,Data!A:A,Data!C:C),IF(_xlpm.custom="",_xlfn.XLOOKUP(F770,Data!A:A,Data!B:B),_xlpm.custom))</f>
        <v>Lopunnite</v>
      </c>
      <c r="H770" t="str">
        <f>_xlfn.XLOOKUP(C770,Data!A:A,Data!E:E)</f>
        <v>General</v>
      </c>
      <c r="J770">
        <f>IF(I770="",C770,_xlfn.XLOOKUP(I770,Data!E:E,Data!A:A,""))</f>
        <v>0</v>
      </c>
      <c r="L770">
        <f t="shared" si="111"/>
        <v>0</v>
      </c>
      <c r="M770">
        <f t="shared" si="112"/>
        <v>0</v>
      </c>
      <c r="N770">
        <f t="shared" si="120"/>
        <v>0</v>
      </c>
      <c r="O770">
        <f t="shared" si="113"/>
        <v>0</v>
      </c>
      <c r="P770">
        <f t="shared" si="114"/>
        <v>0</v>
      </c>
      <c r="R770" t="str">
        <f t="shared" si="115"/>
        <v>00</v>
      </c>
    </row>
    <row r="771" spans="1:18" x14ac:dyDescent="0.4">
      <c r="A771" s="1" t="str">
        <f t="shared" si="118"/>
        <v>180</v>
      </c>
      <c r="B771">
        <f t="shared" si="119"/>
        <v>1</v>
      </c>
      <c r="C771">
        <f>VALUE(MID(Hex!$C$2,1+2*HEX2DEC(A771)+B771,1))</f>
        <v>0</v>
      </c>
      <c r="D771" s="1" t="str">
        <f t="shared" si="116"/>
        <v>301</v>
      </c>
      <c r="E771">
        <f>HEX2DEC(MID(Hex!$C$8,1+HEX2DEC(Edit!D771)*2,2))</f>
        <v>0</v>
      </c>
      <c r="F771">
        <f t="shared" si="117"/>
        <v>769</v>
      </c>
      <c r="G771" t="str">
        <f>_xlfn.LET(_xlpm.custom,_xlfn.XLOOKUP(F771,Data!A:A,Data!C:C),IF(_xlpm.custom="",_xlfn.XLOOKUP(F771,Data!A:A,Data!B:B),_xlpm.custom))</f>
        <v>Salamencite</v>
      </c>
      <c r="H771" t="str">
        <f>_xlfn.XLOOKUP(C771,Data!A:A,Data!E:E)</f>
        <v>General</v>
      </c>
      <c r="J771">
        <f>IF(I771="",C771,_xlfn.XLOOKUP(I771,Data!E:E,Data!A:A,""))</f>
        <v>0</v>
      </c>
      <c r="L771">
        <f t="shared" ref="L771:L834" si="121">_xlfn.BITAND(E771,1)</f>
        <v>0</v>
      </c>
      <c r="M771">
        <f t="shared" ref="M771:M834" si="122">_xlfn.BITAND($E771,2)</f>
        <v>0</v>
      </c>
      <c r="N771">
        <f t="shared" si="120"/>
        <v>0</v>
      </c>
      <c r="O771">
        <f t="shared" ref="O771:O834" si="123">_xlfn.BITAND($E771,8)</f>
        <v>0</v>
      </c>
      <c r="P771">
        <f t="shared" ref="P771:P834" si="124">_xlfn.BITAND($E771,16)</f>
        <v>0</v>
      </c>
      <c r="R771" t="str">
        <f t="shared" ref="R771:R834" si="125">DEC2HEX(SUM(L771:P771),2)</f>
        <v>00</v>
      </c>
    </row>
    <row r="772" spans="1:18" x14ac:dyDescent="0.4">
      <c r="A772" s="1" t="str">
        <f t="shared" si="118"/>
        <v>181</v>
      </c>
      <c r="B772">
        <f t="shared" si="119"/>
        <v>0</v>
      </c>
      <c r="C772">
        <f>VALUE(MID(Hex!$C$2,1+2*HEX2DEC(A772)+B772,1))</f>
        <v>0</v>
      </c>
      <c r="D772" s="1" t="str">
        <f t="shared" ref="D772:D835" si="126">DEC2HEX(1+HEX2DEC(D771),3)</f>
        <v>302</v>
      </c>
      <c r="E772">
        <f>HEX2DEC(MID(Hex!$C$8,1+HEX2DEC(Edit!D772)*2,2))</f>
        <v>0</v>
      </c>
      <c r="F772">
        <f t="shared" ref="F772:F835" si="127">F771+1</f>
        <v>770</v>
      </c>
      <c r="G772" t="str">
        <f>_xlfn.LET(_xlpm.custom,_xlfn.XLOOKUP(F772,Data!A:A,Data!C:C),IF(_xlpm.custom="",_xlfn.XLOOKUP(F772,Data!A:A,Data!B:B),_xlpm.custom))</f>
        <v>Beedrillite</v>
      </c>
      <c r="H772" t="str">
        <f>_xlfn.XLOOKUP(C772,Data!A:A,Data!E:E)</f>
        <v>General</v>
      </c>
      <c r="J772">
        <f>IF(I772="",C772,_xlfn.XLOOKUP(I772,Data!E:E,Data!A:A,""))</f>
        <v>0</v>
      </c>
      <c r="L772">
        <f t="shared" si="121"/>
        <v>0</v>
      </c>
      <c r="M772">
        <f t="shared" si="122"/>
        <v>0</v>
      </c>
      <c r="N772">
        <f t="shared" si="120"/>
        <v>0</v>
      </c>
      <c r="O772">
        <f t="shared" si="123"/>
        <v>0</v>
      </c>
      <c r="P772">
        <f t="shared" si="124"/>
        <v>0</v>
      </c>
      <c r="R772" t="str">
        <f t="shared" si="125"/>
        <v>00</v>
      </c>
    </row>
    <row r="773" spans="1:18" x14ac:dyDescent="0.4">
      <c r="A773" s="1" t="str">
        <f t="shared" ref="A773:A836" si="128">DEC2HEX(1+HEX2DEC(A771),3)</f>
        <v>181</v>
      </c>
      <c r="B773">
        <f t="shared" ref="B773:B836" si="129">B771</f>
        <v>1</v>
      </c>
      <c r="C773">
        <f>VALUE(MID(Hex!$C$2,1+2*HEX2DEC(A773)+B773,1))</f>
        <v>4</v>
      </c>
      <c r="D773" s="1" t="str">
        <f t="shared" si="126"/>
        <v>303</v>
      </c>
      <c r="E773">
        <f>HEX2DEC(MID(Hex!$C$8,1+HEX2DEC(Edit!D773)*2,2))</f>
        <v>0</v>
      </c>
      <c r="F773">
        <f t="shared" si="127"/>
        <v>771</v>
      </c>
      <c r="G773" t="str">
        <f>_xlfn.LET(_xlpm.custom,_xlfn.XLOOKUP(F773,Data!A:A,Data!C:C),IF(_xlpm.custom="",_xlfn.XLOOKUP(F773,Data!A:A,Data!B:B),_xlpm.custom))</f>
        <v>Meteorite</v>
      </c>
      <c r="H773" t="str">
        <f>_xlfn.XLOOKUP(C773,Data!A:A,Data!E:E)</f>
        <v>Key</v>
      </c>
      <c r="J773">
        <f>IF(I773="",C773,_xlfn.XLOOKUP(I773,Data!E:E,Data!A:A,""))</f>
        <v>4</v>
      </c>
      <c r="L773">
        <f t="shared" si="121"/>
        <v>0</v>
      </c>
      <c r="M773">
        <f t="shared" si="122"/>
        <v>0</v>
      </c>
      <c r="N773">
        <f t="shared" si="120"/>
        <v>0</v>
      </c>
      <c r="O773">
        <f t="shared" si="123"/>
        <v>0</v>
      </c>
      <c r="P773">
        <f t="shared" si="124"/>
        <v>0</v>
      </c>
      <c r="R773" t="str">
        <f t="shared" si="125"/>
        <v>00</v>
      </c>
    </row>
    <row r="774" spans="1:18" x14ac:dyDescent="0.4">
      <c r="A774" s="1" t="str">
        <f t="shared" si="128"/>
        <v>182</v>
      </c>
      <c r="B774">
        <f t="shared" si="129"/>
        <v>0</v>
      </c>
      <c r="C774">
        <f>VALUE(MID(Hex!$C$2,1+2*HEX2DEC(A774)+B774,1))</f>
        <v>0</v>
      </c>
      <c r="D774" s="1" t="str">
        <f t="shared" si="126"/>
        <v>304</v>
      </c>
      <c r="E774">
        <f>HEX2DEC(MID(Hex!$C$8,1+HEX2DEC(Edit!D774)*2,2))</f>
        <v>0</v>
      </c>
      <c r="F774">
        <f t="shared" si="127"/>
        <v>772</v>
      </c>
      <c r="G774" t="str">
        <f>_xlfn.LET(_xlpm.custom,_xlfn.XLOOKUP(F774,Data!A:A,Data!C:C),IF(_xlpm.custom="",_xlfn.XLOOKUP(F774,Data!A:A,Data!B:B),_xlpm.custom))</f>
        <v>Imbued Meteorite</v>
      </c>
      <c r="H774" t="str">
        <f>_xlfn.XLOOKUP(C774,Data!A:A,Data!E:E)</f>
        <v>General</v>
      </c>
      <c r="J774">
        <f>IF(I774="",C774,_xlfn.XLOOKUP(I774,Data!E:E,Data!A:A,""))</f>
        <v>0</v>
      </c>
      <c r="L774">
        <f t="shared" si="121"/>
        <v>0</v>
      </c>
      <c r="M774">
        <f t="shared" si="122"/>
        <v>0</v>
      </c>
      <c r="N774">
        <f t="shared" si="120"/>
        <v>0</v>
      </c>
      <c r="O774">
        <f t="shared" si="123"/>
        <v>0</v>
      </c>
      <c r="P774">
        <f t="shared" si="124"/>
        <v>0</v>
      </c>
      <c r="R774" t="str">
        <f t="shared" si="125"/>
        <v>00</v>
      </c>
    </row>
    <row r="775" spans="1:18" x14ac:dyDescent="0.4">
      <c r="A775" s="1" t="str">
        <f t="shared" si="128"/>
        <v>182</v>
      </c>
      <c r="B775">
        <f t="shared" si="129"/>
        <v>1</v>
      </c>
      <c r="C775">
        <f>VALUE(MID(Hex!$C$2,1+2*HEX2DEC(A775)+B775,1))</f>
        <v>4</v>
      </c>
      <c r="D775" s="1" t="str">
        <f t="shared" si="126"/>
        <v>305</v>
      </c>
      <c r="E775">
        <f>HEX2DEC(MID(Hex!$C$8,1+HEX2DEC(Edit!D775)*2,2))</f>
        <v>0</v>
      </c>
      <c r="F775">
        <f t="shared" si="127"/>
        <v>773</v>
      </c>
      <c r="G775" t="str">
        <f>_xlfn.LET(_xlpm.custom,_xlfn.XLOOKUP(F775,Data!A:A,Data!C:C),IF(_xlpm.custom="",_xlfn.XLOOKUP(F775,Data!A:A,Data!B:B),_xlpm.custom))</f>
        <v>Key Stone</v>
      </c>
      <c r="H775" t="str">
        <f>_xlfn.XLOOKUP(C775,Data!A:A,Data!E:E)</f>
        <v>Key</v>
      </c>
      <c r="J775">
        <f>IF(I775="",C775,_xlfn.XLOOKUP(I775,Data!E:E,Data!A:A,""))</f>
        <v>4</v>
      </c>
      <c r="L775">
        <f t="shared" si="121"/>
        <v>0</v>
      </c>
      <c r="M775">
        <f t="shared" si="122"/>
        <v>0</v>
      </c>
      <c r="N775">
        <f t="shared" si="120"/>
        <v>0</v>
      </c>
      <c r="O775">
        <f t="shared" si="123"/>
        <v>0</v>
      </c>
      <c r="P775">
        <f t="shared" si="124"/>
        <v>0</v>
      </c>
      <c r="R775" t="str">
        <f t="shared" si="125"/>
        <v>00</v>
      </c>
    </row>
    <row r="776" spans="1:18" x14ac:dyDescent="0.4">
      <c r="A776" s="1" t="str">
        <f t="shared" si="128"/>
        <v>183</v>
      </c>
      <c r="B776">
        <f t="shared" si="129"/>
        <v>0</v>
      </c>
      <c r="C776">
        <f>VALUE(MID(Hex!$C$2,1+2*HEX2DEC(A776)+B776,1))</f>
        <v>4</v>
      </c>
      <c r="D776" s="1" t="str">
        <f t="shared" si="126"/>
        <v>306</v>
      </c>
      <c r="E776">
        <f>HEX2DEC(MID(Hex!$C$8,1+HEX2DEC(Edit!D776)*2,2))</f>
        <v>0</v>
      </c>
      <c r="F776">
        <f t="shared" si="127"/>
        <v>774</v>
      </c>
      <c r="G776" t="str">
        <f>_xlfn.LET(_xlpm.custom,_xlfn.XLOOKUP(F776,Data!A:A,Data!C:C),IF(_xlpm.custom="",_xlfn.XLOOKUP(F776,Data!A:A,Data!B:B),_xlpm.custom))</f>
        <v>Meteorite Shard</v>
      </c>
      <c r="H776" t="str">
        <f>_xlfn.XLOOKUP(C776,Data!A:A,Data!E:E)</f>
        <v>Key</v>
      </c>
      <c r="J776">
        <f>IF(I776="",C776,_xlfn.XLOOKUP(I776,Data!E:E,Data!A:A,""))</f>
        <v>4</v>
      </c>
      <c r="L776">
        <f t="shared" si="121"/>
        <v>0</v>
      </c>
      <c r="M776">
        <f t="shared" si="122"/>
        <v>0</v>
      </c>
      <c r="N776">
        <f t="shared" si="120"/>
        <v>0</v>
      </c>
      <c r="O776">
        <f t="shared" si="123"/>
        <v>0</v>
      </c>
      <c r="P776">
        <f t="shared" si="124"/>
        <v>0</v>
      </c>
      <c r="R776" t="str">
        <f t="shared" si="125"/>
        <v>00</v>
      </c>
    </row>
    <row r="777" spans="1:18" x14ac:dyDescent="0.4">
      <c r="A777" s="1" t="str">
        <f t="shared" si="128"/>
        <v>183</v>
      </c>
      <c r="B777">
        <f t="shared" si="129"/>
        <v>1</v>
      </c>
      <c r="C777">
        <f>VALUE(MID(Hex!$C$2,1+2*HEX2DEC(A777)+B777,1))</f>
        <v>4</v>
      </c>
      <c r="D777" s="1" t="str">
        <f t="shared" si="126"/>
        <v>307</v>
      </c>
      <c r="E777">
        <f>HEX2DEC(MID(Hex!$C$8,1+HEX2DEC(Edit!D777)*2,2))</f>
        <v>0</v>
      </c>
      <c r="F777">
        <f t="shared" si="127"/>
        <v>775</v>
      </c>
      <c r="G777" t="str">
        <f>_xlfn.LET(_xlpm.custom,_xlfn.XLOOKUP(F777,Data!A:A,Data!C:C),IF(_xlpm.custom="",_xlfn.XLOOKUP(F777,Data!A:A,Data!B:B),_xlpm.custom))</f>
        <v>Eon Flute</v>
      </c>
      <c r="H777" t="str">
        <f>_xlfn.XLOOKUP(C777,Data!A:A,Data!E:E)</f>
        <v>Key</v>
      </c>
      <c r="J777">
        <f>IF(I777="",C777,_xlfn.XLOOKUP(I777,Data!E:E,Data!A:A,""))</f>
        <v>4</v>
      </c>
      <c r="L777">
        <f t="shared" si="121"/>
        <v>0</v>
      </c>
      <c r="M777">
        <f t="shared" si="122"/>
        <v>0</v>
      </c>
      <c r="N777">
        <f t="shared" si="120"/>
        <v>0</v>
      </c>
      <c r="O777">
        <f t="shared" si="123"/>
        <v>0</v>
      </c>
      <c r="P777">
        <f t="shared" si="124"/>
        <v>0</v>
      </c>
      <c r="R777" t="str">
        <f t="shared" si="125"/>
        <v>00</v>
      </c>
    </row>
    <row r="778" spans="1:18" x14ac:dyDescent="0.4">
      <c r="A778" s="1" t="str">
        <f t="shared" si="128"/>
        <v>184</v>
      </c>
      <c r="B778">
        <f t="shared" si="129"/>
        <v>0</v>
      </c>
      <c r="C778">
        <f>VALUE(MID(Hex!$C$2,1+2*HEX2DEC(A778)+B778,1))</f>
        <v>7</v>
      </c>
      <c r="D778" s="1" t="str">
        <f t="shared" si="126"/>
        <v>308</v>
      </c>
      <c r="E778">
        <f>HEX2DEC(MID(Hex!$C$8,1+HEX2DEC(Edit!D778)*2,2))</f>
        <v>0</v>
      </c>
      <c r="F778">
        <f t="shared" si="127"/>
        <v>776</v>
      </c>
      <c r="G778" t="str">
        <f>_xlfn.LET(_xlpm.custom,_xlfn.XLOOKUP(F778,Data!A:A,Data!C:C),IF(_xlpm.custom="",_xlfn.XLOOKUP(F778,Data!A:A,Data!B:B),_xlpm.custom))</f>
        <v>Normalium Z</v>
      </c>
      <c r="H778" t="str">
        <f>_xlfn.XLOOKUP(C778,Data!A:A,Data!E:E)</f>
        <v>Z-Crystal (Hold Version)</v>
      </c>
      <c r="J778">
        <f>IF(I778="",C778,_xlfn.XLOOKUP(I778,Data!E:E,Data!A:A,""))</f>
        <v>7</v>
      </c>
      <c r="L778">
        <f t="shared" si="121"/>
        <v>0</v>
      </c>
      <c r="M778">
        <f t="shared" si="122"/>
        <v>0</v>
      </c>
      <c r="N778">
        <f t="shared" si="120"/>
        <v>0</v>
      </c>
      <c r="O778">
        <f t="shared" si="123"/>
        <v>0</v>
      </c>
      <c r="P778">
        <f t="shared" si="124"/>
        <v>0</v>
      </c>
      <c r="R778" t="str">
        <f t="shared" si="125"/>
        <v>00</v>
      </c>
    </row>
    <row r="779" spans="1:18" x14ac:dyDescent="0.4">
      <c r="A779" s="1" t="str">
        <f t="shared" si="128"/>
        <v>184</v>
      </c>
      <c r="B779">
        <f t="shared" si="129"/>
        <v>1</v>
      </c>
      <c r="C779">
        <f>VALUE(MID(Hex!$C$2,1+2*HEX2DEC(A779)+B779,1))</f>
        <v>7</v>
      </c>
      <c r="D779" s="1" t="str">
        <f t="shared" si="126"/>
        <v>309</v>
      </c>
      <c r="E779">
        <f>HEX2DEC(MID(Hex!$C$8,1+HEX2DEC(Edit!D779)*2,2))</f>
        <v>0</v>
      </c>
      <c r="F779">
        <f t="shared" si="127"/>
        <v>777</v>
      </c>
      <c r="G779" t="str">
        <f>_xlfn.LET(_xlpm.custom,_xlfn.XLOOKUP(F779,Data!A:A,Data!C:C),IF(_xlpm.custom="",_xlfn.XLOOKUP(F779,Data!A:A,Data!B:B),_xlpm.custom))</f>
        <v>Firium Z</v>
      </c>
      <c r="H779" t="str">
        <f>_xlfn.XLOOKUP(C779,Data!A:A,Data!E:E)</f>
        <v>Z-Crystal (Hold Version)</v>
      </c>
      <c r="J779">
        <f>IF(I779="",C779,_xlfn.XLOOKUP(I779,Data!E:E,Data!A:A,""))</f>
        <v>7</v>
      </c>
      <c r="L779">
        <f t="shared" si="121"/>
        <v>0</v>
      </c>
      <c r="M779">
        <f t="shared" si="122"/>
        <v>0</v>
      </c>
      <c r="N779">
        <f t="shared" si="120"/>
        <v>0</v>
      </c>
      <c r="O779">
        <f t="shared" si="123"/>
        <v>0</v>
      </c>
      <c r="P779">
        <f t="shared" si="124"/>
        <v>0</v>
      </c>
      <c r="R779" t="str">
        <f t="shared" si="125"/>
        <v>00</v>
      </c>
    </row>
    <row r="780" spans="1:18" x14ac:dyDescent="0.4">
      <c r="A780" s="1" t="str">
        <f t="shared" si="128"/>
        <v>185</v>
      </c>
      <c r="B780">
        <f t="shared" si="129"/>
        <v>0</v>
      </c>
      <c r="C780">
        <f>VALUE(MID(Hex!$C$2,1+2*HEX2DEC(A780)+B780,1))</f>
        <v>7</v>
      </c>
      <c r="D780" s="1" t="str">
        <f t="shared" si="126"/>
        <v>30A</v>
      </c>
      <c r="E780">
        <f>HEX2DEC(MID(Hex!$C$8,1+HEX2DEC(Edit!D780)*2,2))</f>
        <v>0</v>
      </c>
      <c r="F780">
        <f t="shared" si="127"/>
        <v>778</v>
      </c>
      <c r="G780" t="str">
        <f>_xlfn.LET(_xlpm.custom,_xlfn.XLOOKUP(F780,Data!A:A,Data!C:C),IF(_xlpm.custom="",_xlfn.XLOOKUP(F780,Data!A:A,Data!B:B),_xlpm.custom))</f>
        <v>Waterium Z</v>
      </c>
      <c r="H780" t="str">
        <f>_xlfn.XLOOKUP(C780,Data!A:A,Data!E:E)</f>
        <v>Z-Crystal (Hold Version)</v>
      </c>
      <c r="J780">
        <f>IF(I780="",C780,_xlfn.XLOOKUP(I780,Data!E:E,Data!A:A,""))</f>
        <v>7</v>
      </c>
      <c r="L780">
        <f t="shared" si="121"/>
        <v>0</v>
      </c>
      <c r="M780">
        <f t="shared" si="122"/>
        <v>0</v>
      </c>
      <c r="N780">
        <f t="shared" si="120"/>
        <v>0</v>
      </c>
      <c r="O780">
        <f t="shared" si="123"/>
        <v>0</v>
      </c>
      <c r="P780">
        <f t="shared" si="124"/>
        <v>0</v>
      </c>
      <c r="R780" t="str">
        <f t="shared" si="125"/>
        <v>00</v>
      </c>
    </row>
    <row r="781" spans="1:18" x14ac:dyDescent="0.4">
      <c r="A781" s="1" t="str">
        <f t="shared" si="128"/>
        <v>185</v>
      </c>
      <c r="B781">
        <f t="shared" si="129"/>
        <v>1</v>
      </c>
      <c r="C781">
        <f>VALUE(MID(Hex!$C$2,1+2*HEX2DEC(A781)+B781,1))</f>
        <v>7</v>
      </c>
      <c r="D781" s="1" t="str">
        <f t="shared" si="126"/>
        <v>30B</v>
      </c>
      <c r="E781">
        <f>HEX2DEC(MID(Hex!$C$8,1+HEX2DEC(Edit!D781)*2,2))</f>
        <v>0</v>
      </c>
      <c r="F781">
        <f t="shared" si="127"/>
        <v>779</v>
      </c>
      <c r="G781" t="str">
        <f>_xlfn.LET(_xlpm.custom,_xlfn.XLOOKUP(F781,Data!A:A,Data!C:C),IF(_xlpm.custom="",_xlfn.XLOOKUP(F781,Data!A:A,Data!B:B),_xlpm.custom))</f>
        <v>Electrium Z</v>
      </c>
      <c r="H781" t="str">
        <f>_xlfn.XLOOKUP(C781,Data!A:A,Data!E:E)</f>
        <v>Z-Crystal (Hold Version)</v>
      </c>
      <c r="J781">
        <f>IF(I781="",C781,_xlfn.XLOOKUP(I781,Data!E:E,Data!A:A,""))</f>
        <v>7</v>
      </c>
      <c r="L781">
        <f t="shared" si="121"/>
        <v>0</v>
      </c>
      <c r="M781">
        <f t="shared" si="122"/>
        <v>0</v>
      </c>
      <c r="N781">
        <f t="shared" si="120"/>
        <v>0</v>
      </c>
      <c r="O781">
        <f t="shared" si="123"/>
        <v>0</v>
      </c>
      <c r="P781">
        <f t="shared" si="124"/>
        <v>0</v>
      </c>
      <c r="R781" t="str">
        <f t="shared" si="125"/>
        <v>00</v>
      </c>
    </row>
    <row r="782" spans="1:18" x14ac:dyDescent="0.4">
      <c r="A782" s="1" t="str">
        <f t="shared" si="128"/>
        <v>186</v>
      </c>
      <c r="B782">
        <f t="shared" si="129"/>
        <v>0</v>
      </c>
      <c r="C782">
        <f>VALUE(MID(Hex!$C$2,1+2*HEX2DEC(A782)+B782,1))</f>
        <v>7</v>
      </c>
      <c r="D782" s="1" t="str">
        <f t="shared" si="126"/>
        <v>30C</v>
      </c>
      <c r="E782">
        <f>HEX2DEC(MID(Hex!$C$8,1+HEX2DEC(Edit!D782)*2,2))</f>
        <v>0</v>
      </c>
      <c r="F782">
        <f t="shared" si="127"/>
        <v>780</v>
      </c>
      <c r="G782" t="str">
        <f>_xlfn.LET(_xlpm.custom,_xlfn.XLOOKUP(F782,Data!A:A,Data!C:C),IF(_xlpm.custom="",_xlfn.XLOOKUP(F782,Data!A:A,Data!B:B),_xlpm.custom))</f>
        <v>Grassium Z</v>
      </c>
      <c r="H782" t="str">
        <f>_xlfn.XLOOKUP(C782,Data!A:A,Data!E:E)</f>
        <v>Z-Crystal (Hold Version)</v>
      </c>
      <c r="J782">
        <f>IF(I782="",C782,_xlfn.XLOOKUP(I782,Data!E:E,Data!A:A,""))</f>
        <v>7</v>
      </c>
      <c r="L782">
        <f t="shared" si="121"/>
        <v>0</v>
      </c>
      <c r="M782">
        <f t="shared" si="122"/>
        <v>0</v>
      </c>
      <c r="N782">
        <f t="shared" si="120"/>
        <v>0</v>
      </c>
      <c r="O782">
        <f t="shared" si="123"/>
        <v>0</v>
      </c>
      <c r="P782">
        <f t="shared" si="124"/>
        <v>0</v>
      </c>
      <c r="R782" t="str">
        <f t="shared" si="125"/>
        <v>00</v>
      </c>
    </row>
    <row r="783" spans="1:18" x14ac:dyDescent="0.4">
      <c r="A783" s="1" t="str">
        <f t="shared" si="128"/>
        <v>186</v>
      </c>
      <c r="B783">
        <f t="shared" si="129"/>
        <v>1</v>
      </c>
      <c r="C783">
        <f>VALUE(MID(Hex!$C$2,1+2*HEX2DEC(A783)+B783,1))</f>
        <v>7</v>
      </c>
      <c r="D783" s="1" t="str">
        <f t="shared" si="126"/>
        <v>30D</v>
      </c>
      <c r="E783">
        <f>HEX2DEC(MID(Hex!$C$8,1+HEX2DEC(Edit!D783)*2,2))</f>
        <v>0</v>
      </c>
      <c r="F783">
        <f t="shared" si="127"/>
        <v>781</v>
      </c>
      <c r="G783" t="str">
        <f>_xlfn.LET(_xlpm.custom,_xlfn.XLOOKUP(F783,Data!A:A,Data!C:C),IF(_xlpm.custom="",_xlfn.XLOOKUP(F783,Data!A:A,Data!B:B),_xlpm.custom))</f>
        <v>Icium Z</v>
      </c>
      <c r="H783" t="str">
        <f>_xlfn.XLOOKUP(C783,Data!A:A,Data!E:E)</f>
        <v>Z-Crystal (Hold Version)</v>
      </c>
      <c r="J783">
        <f>IF(I783="",C783,_xlfn.XLOOKUP(I783,Data!E:E,Data!A:A,""))</f>
        <v>7</v>
      </c>
      <c r="L783">
        <f t="shared" si="121"/>
        <v>0</v>
      </c>
      <c r="M783">
        <f t="shared" si="122"/>
        <v>0</v>
      </c>
      <c r="N783">
        <f t="shared" si="120"/>
        <v>0</v>
      </c>
      <c r="O783">
        <f t="shared" si="123"/>
        <v>0</v>
      </c>
      <c r="P783">
        <f t="shared" si="124"/>
        <v>0</v>
      </c>
      <c r="R783" t="str">
        <f t="shared" si="125"/>
        <v>00</v>
      </c>
    </row>
    <row r="784" spans="1:18" x14ac:dyDescent="0.4">
      <c r="A784" s="1" t="str">
        <f t="shared" si="128"/>
        <v>187</v>
      </c>
      <c r="B784">
        <f t="shared" si="129"/>
        <v>0</v>
      </c>
      <c r="C784">
        <f>VALUE(MID(Hex!$C$2,1+2*HEX2DEC(A784)+B784,1))</f>
        <v>7</v>
      </c>
      <c r="D784" s="1" t="str">
        <f t="shared" si="126"/>
        <v>30E</v>
      </c>
      <c r="E784">
        <f>HEX2DEC(MID(Hex!$C$8,1+HEX2DEC(Edit!D784)*2,2))</f>
        <v>0</v>
      </c>
      <c r="F784">
        <f t="shared" si="127"/>
        <v>782</v>
      </c>
      <c r="G784" t="str">
        <f>_xlfn.LET(_xlpm.custom,_xlfn.XLOOKUP(F784,Data!A:A,Data!C:C),IF(_xlpm.custom="",_xlfn.XLOOKUP(F784,Data!A:A,Data!B:B),_xlpm.custom))</f>
        <v>Fightinium Z</v>
      </c>
      <c r="H784" t="str">
        <f>_xlfn.XLOOKUP(C784,Data!A:A,Data!E:E)</f>
        <v>Z-Crystal (Hold Version)</v>
      </c>
      <c r="J784">
        <f>IF(I784="",C784,_xlfn.XLOOKUP(I784,Data!E:E,Data!A:A,""))</f>
        <v>7</v>
      </c>
      <c r="L784">
        <f t="shared" si="121"/>
        <v>0</v>
      </c>
      <c r="M784">
        <f t="shared" si="122"/>
        <v>0</v>
      </c>
      <c r="N784">
        <f t="shared" si="120"/>
        <v>0</v>
      </c>
      <c r="O784">
        <f t="shared" si="123"/>
        <v>0</v>
      </c>
      <c r="P784">
        <f t="shared" si="124"/>
        <v>0</v>
      </c>
      <c r="R784" t="str">
        <f t="shared" si="125"/>
        <v>00</v>
      </c>
    </row>
    <row r="785" spans="1:18" x14ac:dyDescent="0.4">
      <c r="A785" s="1" t="str">
        <f t="shared" si="128"/>
        <v>187</v>
      </c>
      <c r="B785">
        <f t="shared" si="129"/>
        <v>1</v>
      </c>
      <c r="C785">
        <f>VALUE(MID(Hex!$C$2,1+2*HEX2DEC(A785)+B785,1))</f>
        <v>7</v>
      </c>
      <c r="D785" s="1" t="str">
        <f t="shared" si="126"/>
        <v>30F</v>
      </c>
      <c r="E785">
        <f>HEX2DEC(MID(Hex!$C$8,1+HEX2DEC(Edit!D785)*2,2))</f>
        <v>0</v>
      </c>
      <c r="F785">
        <f t="shared" si="127"/>
        <v>783</v>
      </c>
      <c r="G785" t="str">
        <f>_xlfn.LET(_xlpm.custom,_xlfn.XLOOKUP(F785,Data!A:A,Data!C:C),IF(_xlpm.custom="",_xlfn.XLOOKUP(F785,Data!A:A,Data!B:B),_xlpm.custom))</f>
        <v>Poisonium Z</v>
      </c>
      <c r="H785" t="str">
        <f>_xlfn.XLOOKUP(C785,Data!A:A,Data!E:E)</f>
        <v>Z-Crystal (Hold Version)</v>
      </c>
      <c r="J785">
        <f>IF(I785="",C785,_xlfn.XLOOKUP(I785,Data!E:E,Data!A:A,""))</f>
        <v>7</v>
      </c>
      <c r="L785">
        <f t="shared" si="121"/>
        <v>0</v>
      </c>
      <c r="M785">
        <f t="shared" si="122"/>
        <v>0</v>
      </c>
      <c r="N785">
        <f t="shared" si="120"/>
        <v>0</v>
      </c>
      <c r="O785">
        <f t="shared" si="123"/>
        <v>0</v>
      </c>
      <c r="P785">
        <f t="shared" si="124"/>
        <v>0</v>
      </c>
      <c r="R785" t="str">
        <f t="shared" si="125"/>
        <v>00</v>
      </c>
    </row>
    <row r="786" spans="1:18" x14ac:dyDescent="0.4">
      <c r="A786" s="1" t="str">
        <f t="shared" si="128"/>
        <v>188</v>
      </c>
      <c r="B786">
        <f t="shared" si="129"/>
        <v>0</v>
      </c>
      <c r="C786">
        <f>VALUE(MID(Hex!$C$2,1+2*HEX2DEC(A786)+B786,1))</f>
        <v>7</v>
      </c>
      <c r="D786" s="1" t="str">
        <f t="shared" si="126"/>
        <v>310</v>
      </c>
      <c r="E786">
        <f>HEX2DEC(MID(Hex!$C$8,1+HEX2DEC(Edit!D786)*2,2))</f>
        <v>0</v>
      </c>
      <c r="F786">
        <f t="shared" si="127"/>
        <v>784</v>
      </c>
      <c r="G786" t="str">
        <f>_xlfn.LET(_xlpm.custom,_xlfn.XLOOKUP(F786,Data!A:A,Data!C:C),IF(_xlpm.custom="",_xlfn.XLOOKUP(F786,Data!A:A,Data!B:B),_xlpm.custom))</f>
        <v>Groundium Z</v>
      </c>
      <c r="H786" t="str">
        <f>_xlfn.XLOOKUP(C786,Data!A:A,Data!E:E)</f>
        <v>Z-Crystal (Hold Version)</v>
      </c>
      <c r="J786">
        <f>IF(I786="",C786,_xlfn.XLOOKUP(I786,Data!E:E,Data!A:A,""))</f>
        <v>7</v>
      </c>
      <c r="L786">
        <f t="shared" si="121"/>
        <v>0</v>
      </c>
      <c r="M786">
        <f t="shared" si="122"/>
        <v>0</v>
      </c>
      <c r="N786">
        <f t="shared" si="120"/>
        <v>0</v>
      </c>
      <c r="O786">
        <f t="shared" si="123"/>
        <v>0</v>
      </c>
      <c r="P786">
        <f t="shared" si="124"/>
        <v>0</v>
      </c>
      <c r="R786" t="str">
        <f t="shared" si="125"/>
        <v>00</v>
      </c>
    </row>
    <row r="787" spans="1:18" x14ac:dyDescent="0.4">
      <c r="A787" s="1" t="str">
        <f t="shared" si="128"/>
        <v>188</v>
      </c>
      <c r="B787">
        <f t="shared" si="129"/>
        <v>1</v>
      </c>
      <c r="C787">
        <f>VALUE(MID(Hex!$C$2,1+2*HEX2DEC(A787)+B787,1))</f>
        <v>7</v>
      </c>
      <c r="D787" s="1" t="str">
        <f t="shared" si="126"/>
        <v>311</v>
      </c>
      <c r="E787">
        <f>HEX2DEC(MID(Hex!$C$8,1+HEX2DEC(Edit!D787)*2,2))</f>
        <v>0</v>
      </c>
      <c r="F787">
        <f t="shared" si="127"/>
        <v>785</v>
      </c>
      <c r="G787" t="str">
        <f>_xlfn.LET(_xlpm.custom,_xlfn.XLOOKUP(F787,Data!A:A,Data!C:C),IF(_xlpm.custom="",_xlfn.XLOOKUP(F787,Data!A:A,Data!B:B),_xlpm.custom))</f>
        <v>Flyinium Z</v>
      </c>
      <c r="H787" t="str">
        <f>_xlfn.XLOOKUP(C787,Data!A:A,Data!E:E)</f>
        <v>Z-Crystal (Hold Version)</v>
      </c>
      <c r="J787">
        <f>IF(I787="",C787,_xlfn.XLOOKUP(I787,Data!E:E,Data!A:A,""))</f>
        <v>7</v>
      </c>
      <c r="L787">
        <f t="shared" si="121"/>
        <v>0</v>
      </c>
      <c r="M787">
        <f t="shared" si="122"/>
        <v>0</v>
      </c>
      <c r="N787">
        <f t="shared" si="120"/>
        <v>0</v>
      </c>
      <c r="O787">
        <f t="shared" si="123"/>
        <v>0</v>
      </c>
      <c r="P787">
        <f t="shared" si="124"/>
        <v>0</v>
      </c>
      <c r="R787" t="str">
        <f t="shared" si="125"/>
        <v>00</v>
      </c>
    </row>
    <row r="788" spans="1:18" x14ac:dyDescent="0.4">
      <c r="A788" s="1" t="str">
        <f t="shared" si="128"/>
        <v>189</v>
      </c>
      <c r="B788">
        <f t="shared" si="129"/>
        <v>0</v>
      </c>
      <c r="C788">
        <f>VALUE(MID(Hex!$C$2,1+2*HEX2DEC(A788)+B788,1))</f>
        <v>7</v>
      </c>
      <c r="D788" s="1" t="str">
        <f t="shared" si="126"/>
        <v>312</v>
      </c>
      <c r="E788">
        <f>HEX2DEC(MID(Hex!$C$8,1+HEX2DEC(Edit!D788)*2,2))</f>
        <v>0</v>
      </c>
      <c r="F788">
        <f t="shared" si="127"/>
        <v>786</v>
      </c>
      <c r="G788" t="str">
        <f>_xlfn.LET(_xlpm.custom,_xlfn.XLOOKUP(F788,Data!A:A,Data!C:C),IF(_xlpm.custom="",_xlfn.XLOOKUP(F788,Data!A:A,Data!B:B),_xlpm.custom))</f>
        <v>Psychium Z</v>
      </c>
      <c r="H788" t="str">
        <f>_xlfn.XLOOKUP(C788,Data!A:A,Data!E:E)</f>
        <v>Z-Crystal (Hold Version)</v>
      </c>
      <c r="J788">
        <f>IF(I788="",C788,_xlfn.XLOOKUP(I788,Data!E:E,Data!A:A,""))</f>
        <v>7</v>
      </c>
      <c r="L788">
        <f t="shared" si="121"/>
        <v>0</v>
      </c>
      <c r="M788">
        <f t="shared" si="122"/>
        <v>0</v>
      </c>
      <c r="N788">
        <f t="shared" si="120"/>
        <v>0</v>
      </c>
      <c r="O788">
        <f t="shared" si="123"/>
        <v>0</v>
      </c>
      <c r="P788">
        <f t="shared" si="124"/>
        <v>0</v>
      </c>
      <c r="R788" t="str">
        <f t="shared" si="125"/>
        <v>00</v>
      </c>
    </row>
    <row r="789" spans="1:18" x14ac:dyDescent="0.4">
      <c r="A789" s="1" t="str">
        <f t="shared" si="128"/>
        <v>189</v>
      </c>
      <c r="B789">
        <f t="shared" si="129"/>
        <v>1</v>
      </c>
      <c r="C789">
        <f>VALUE(MID(Hex!$C$2,1+2*HEX2DEC(A789)+B789,1))</f>
        <v>7</v>
      </c>
      <c r="D789" s="1" t="str">
        <f t="shared" si="126"/>
        <v>313</v>
      </c>
      <c r="E789">
        <f>HEX2DEC(MID(Hex!$C$8,1+HEX2DEC(Edit!D789)*2,2))</f>
        <v>0</v>
      </c>
      <c r="F789">
        <f t="shared" si="127"/>
        <v>787</v>
      </c>
      <c r="G789" t="str">
        <f>_xlfn.LET(_xlpm.custom,_xlfn.XLOOKUP(F789,Data!A:A,Data!C:C),IF(_xlpm.custom="",_xlfn.XLOOKUP(F789,Data!A:A,Data!B:B),_xlpm.custom))</f>
        <v>Buginium Z</v>
      </c>
      <c r="H789" t="str">
        <f>_xlfn.XLOOKUP(C789,Data!A:A,Data!E:E)</f>
        <v>Z-Crystal (Hold Version)</v>
      </c>
      <c r="J789">
        <f>IF(I789="",C789,_xlfn.XLOOKUP(I789,Data!E:E,Data!A:A,""))</f>
        <v>7</v>
      </c>
      <c r="L789">
        <f t="shared" si="121"/>
        <v>0</v>
      </c>
      <c r="M789">
        <f t="shared" si="122"/>
        <v>0</v>
      </c>
      <c r="N789">
        <f t="shared" ref="N789:N852" si="130">_xlfn.BITAND($E789,4)</f>
        <v>0</v>
      </c>
      <c r="O789">
        <f t="shared" si="123"/>
        <v>0</v>
      </c>
      <c r="P789">
        <f t="shared" si="124"/>
        <v>0</v>
      </c>
      <c r="R789" t="str">
        <f t="shared" si="125"/>
        <v>00</v>
      </c>
    </row>
    <row r="790" spans="1:18" x14ac:dyDescent="0.4">
      <c r="A790" s="1" t="str">
        <f t="shared" si="128"/>
        <v>18A</v>
      </c>
      <c r="B790">
        <f t="shared" si="129"/>
        <v>0</v>
      </c>
      <c r="C790">
        <f>VALUE(MID(Hex!$C$2,1+2*HEX2DEC(A790)+B790,1))</f>
        <v>7</v>
      </c>
      <c r="D790" s="1" t="str">
        <f t="shared" si="126"/>
        <v>314</v>
      </c>
      <c r="E790">
        <f>HEX2DEC(MID(Hex!$C$8,1+HEX2DEC(Edit!D790)*2,2))</f>
        <v>0</v>
      </c>
      <c r="F790">
        <f t="shared" si="127"/>
        <v>788</v>
      </c>
      <c r="G790" t="str">
        <f>_xlfn.LET(_xlpm.custom,_xlfn.XLOOKUP(F790,Data!A:A,Data!C:C),IF(_xlpm.custom="",_xlfn.XLOOKUP(F790,Data!A:A,Data!B:B),_xlpm.custom))</f>
        <v>Rockium Z</v>
      </c>
      <c r="H790" t="str">
        <f>_xlfn.XLOOKUP(C790,Data!A:A,Data!E:E)</f>
        <v>Z-Crystal (Hold Version)</v>
      </c>
      <c r="J790">
        <f>IF(I790="",C790,_xlfn.XLOOKUP(I790,Data!E:E,Data!A:A,""))</f>
        <v>7</v>
      </c>
      <c r="L790">
        <f t="shared" si="121"/>
        <v>0</v>
      </c>
      <c r="M790">
        <f t="shared" si="122"/>
        <v>0</v>
      </c>
      <c r="N790">
        <f t="shared" si="130"/>
        <v>0</v>
      </c>
      <c r="O790">
        <f t="shared" si="123"/>
        <v>0</v>
      </c>
      <c r="P790">
        <f t="shared" si="124"/>
        <v>0</v>
      </c>
      <c r="R790" t="str">
        <f t="shared" si="125"/>
        <v>00</v>
      </c>
    </row>
    <row r="791" spans="1:18" x14ac:dyDescent="0.4">
      <c r="A791" s="1" t="str">
        <f t="shared" si="128"/>
        <v>18A</v>
      </c>
      <c r="B791">
        <f t="shared" si="129"/>
        <v>1</v>
      </c>
      <c r="C791">
        <f>VALUE(MID(Hex!$C$2,1+2*HEX2DEC(A791)+B791,1))</f>
        <v>7</v>
      </c>
      <c r="D791" s="1" t="str">
        <f t="shared" si="126"/>
        <v>315</v>
      </c>
      <c r="E791">
        <f>HEX2DEC(MID(Hex!$C$8,1+HEX2DEC(Edit!D791)*2,2))</f>
        <v>0</v>
      </c>
      <c r="F791">
        <f t="shared" si="127"/>
        <v>789</v>
      </c>
      <c r="G791" t="str">
        <f>_xlfn.LET(_xlpm.custom,_xlfn.XLOOKUP(F791,Data!A:A,Data!C:C),IF(_xlpm.custom="",_xlfn.XLOOKUP(F791,Data!A:A,Data!B:B),_xlpm.custom))</f>
        <v>Ghostium Z</v>
      </c>
      <c r="H791" t="str">
        <f>_xlfn.XLOOKUP(C791,Data!A:A,Data!E:E)</f>
        <v>Z-Crystal (Hold Version)</v>
      </c>
      <c r="J791">
        <f>IF(I791="",C791,_xlfn.XLOOKUP(I791,Data!E:E,Data!A:A,""))</f>
        <v>7</v>
      </c>
      <c r="L791">
        <f t="shared" si="121"/>
        <v>0</v>
      </c>
      <c r="M791">
        <f t="shared" si="122"/>
        <v>0</v>
      </c>
      <c r="N791">
        <f t="shared" si="130"/>
        <v>0</v>
      </c>
      <c r="O791">
        <f t="shared" si="123"/>
        <v>0</v>
      </c>
      <c r="P791">
        <f t="shared" si="124"/>
        <v>0</v>
      </c>
      <c r="R791" t="str">
        <f t="shared" si="125"/>
        <v>00</v>
      </c>
    </row>
    <row r="792" spans="1:18" x14ac:dyDescent="0.4">
      <c r="A792" s="1" t="str">
        <f t="shared" si="128"/>
        <v>18B</v>
      </c>
      <c r="B792">
        <f t="shared" si="129"/>
        <v>0</v>
      </c>
      <c r="C792">
        <f>VALUE(MID(Hex!$C$2,1+2*HEX2DEC(A792)+B792,1))</f>
        <v>7</v>
      </c>
      <c r="D792" s="1" t="str">
        <f t="shared" si="126"/>
        <v>316</v>
      </c>
      <c r="E792">
        <f>HEX2DEC(MID(Hex!$C$8,1+HEX2DEC(Edit!D792)*2,2))</f>
        <v>0</v>
      </c>
      <c r="F792">
        <f t="shared" si="127"/>
        <v>790</v>
      </c>
      <c r="G792" t="str">
        <f>_xlfn.LET(_xlpm.custom,_xlfn.XLOOKUP(F792,Data!A:A,Data!C:C),IF(_xlpm.custom="",_xlfn.XLOOKUP(F792,Data!A:A,Data!B:B),_xlpm.custom))</f>
        <v>Dragonium Z</v>
      </c>
      <c r="H792" t="str">
        <f>_xlfn.XLOOKUP(C792,Data!A:A,Data!E:E)</f>
        <v>Z-Crystal (Hold Version)</v>
      </c>
      <c r="J792">
        <f>IF(I792="",C792,_xlfn.XLOOKUP(I792,Data!E:E,Data!A:A,""))</f>
        <v>7</v>
      </c>
      <c r="L792">
        <f t="shared" si="121"/>
        <v>0</v>
      </c>
      <c r="M792">
        <f t="shared" si="122"/>
        <v>0</v>
      </c>
      <c r="N792">
        <f t="shared" si="130"/>
        <v>0</v>
      </c>
      <c r="O792">
        <f t="shared" si="123"/>
        <v>0</v>
      </c>
      <c r="P792">
        <f t="shared" si="124"/>
        <v>0</v>
      </c>
      <c r="R792" t="str">
        <f t="shared" si="125"/>
        <v>00</v>
      </c>
    </row>
    <row r="793" spans="1:18" x14ac:dyDescent="0.4">
      <c r="A793" s="1" t="str">
        <f t="shared" si="128"/>
        <v>18B</v>
      </c>
      <c r="B793">
        <f t="shared" si="129"/>
        <v>1</v>
      </c>
      <c r="C793">
        <f>VALUE(MID(Hex!$C$2,1+2*HEX2DEC(A793)+B793,1))</f>
        <v>7</v>
      </c>
      <c r="D793" s="1" t="str">
        <f t="shared" si="126"/>
        <v>317</v>
      </c>
      <c r="E793">
        <f>HEX2DEC(MID(Hex!$C$8,1+HEX2DEC(Edit!D793)*2,2))</f>
        <v>0</v>
      </c>
      <c r="F793">
        <f t="shared" si="127"/>
        <v>791</v>
      </c>
      <c r="G793" t="str">
        <f>_xlfn.LET(_xlpm.custom,_xlfn.XLOOKUP(F793,Data!A:A,Data!C:C),IF(_xlpm.custom="",_xlfn.XLOOKUP(F793,Data!A:A,Data!B:B),_xlpm.custom))</f>
        <v>Darkinium Z</v>
      </c>
      <c r="H793" t="str">
        <f>_xlfn.XLOOKUP(C793,Data!A:A,Data!E:E)</f>
        <v>Z-Crystal (Hold Version)</v>
      </c>
      <c r="J793">
        <f>IF(I793="",C793,_xlfn.XLOOKUP(I793,Data!E:E,Data!A:A,""))</f>
        <v>7</v>
      </c>
      <c r="L793">
        <f t="shared" si="121"/>
        <v>0</v>
      </c>
      <c r="M793">
        <f t="shared" si="122"/>
        <v>0</v>
      </c>
      <c r="N793">
        <f t="shared" si="130"/>
        <v>0</v>
      </c>
      <c r="O793">
        <f t="shared" si="123"/>
        <v>0</v>
      </c>
      <c r="P793">
        <f t="shared" si="124"/>
        <v>0</v>
      </c>
      <c r="R793" t="str">
        <f t="shared" si="125"/>
        <v>00</v>
      </c>
    </row>
    <row r="794" spans="1:18" x14ac:dyDescent="0.4">
      <c r="A794" s="1" t="str">
        <f t="shared" si="128"/>
        <v>18C</v>
      </c>
      <c r="B794">
        <f t="shared" si="129"/>
        <v>0</v>
      </c>
      <c r="C794">
        <f>VALUE(MID(Hex!$C$2,1+2*HEX2DEC(A794)+B794,1))</f>
        <v>7</v>
      </c>
      <c r="D794" s="1" t="str">
        <f t="shared" si="126"/>
        <v>318</v>
      </c>
      <c r="E794">
        <f>HEX2DEC(MID(Hex!$C$8,1+HEX2DEC(Edit!D794)*2,2))</f>
        <v>0</v>
      </c>
      <c r="F794">
        <f t="shared" si="127"/>
        <v>792</v>
      </c>
      <c r="G794" t="str">
        <f>_xlfn.LET(_xlpm.custom,_xlfn.XLOOKUP(F794,Data!A:A,Data!C:C),IF(_xlpm.custom="",_xlfn.XLOOKUP(F794,Data!A:A,Data!B:B),_xlpm.custom))</f>
        <v>Steelium Z</v>
      </c>
      <c r="H794" t="str">
        <f>_xlfn.XLOOKUP(C794,Data!A:A,Data!E:E)</f>
        <v>Z-Crystal (Hold Version)</v>
      </c>
      <c r="J794">
        <f>IF(I794="",C794,_xlfn.XLOOKUP(I794,Data!E:E,Data!A:A,""))</f>
        <v>7</v>
      </c>
      <c r="L794">
        <f t="shared" si="121"/>
        <v>0</v>
      </c>
      <c r="M794">
        <f t="shared" si="122"/>
        <v>0</v>
      </c>
      <c r="N794">
        <f t="shared" si="130"/>
        <v>0</v>
      </c>
      <c r="O794">
        <f t="shared" si="123"/>
        <v>0</v>
      </c>
      <c r="P794">
        <f t="shared" si="124"/>
        <v>0</v>
      </c>
      <c r="R794" t="str">
        <f t="shared" si="125"/>
        <v>00</v>
      </c>
    </row>
    <row r="795" spans="1:18" x14ac:dyDescent="0.4">
      <c r="A795" s="1" t="str">
        <f t="shared" si="128"/>
        <v>18C</v>
      </c>
      <c r="B795">
        <f t="shared" si="129"/>
        <v>1</v>
      </c>
      <c r="C795">
        <f>VALUE(MID(Hex!$C$2,1+2*HEX2DEC(A795)+B795,1))</f>
        <v>7</v>
      </c>
      <c r="D795" s="1" t="str">
        <f t="shared" si="126"/>
        <v>319</v>
      </c>
      <c r="E795">
        <f>HEX2DEC(MID(Hex!$C$8,1+HEX2DEC(Edit!D795)*2,2))</f>
        <v>0</v>
      </c>
      <c r="F795">
        <f t="shared" si="127"/>
        <v>793</v>
      </c>
      <c r="G795" t="str">
        <f>_xlfn.LET(_xlpm.custom,_xlfn.XLOOKUP(F795,Data!A:A,Data!C:C),IF(_xlpm.custom="",_xlfn.XLOOKUP(F795,Data!A:A,Data!B:B),_xlpm.custom))</f>
        <v>Fairium Z</v>
      </c>
      <c r="H795" t="str">
        <f>_xlfn.XLOOKUP(C795,Data!A:A,Data!E:E)</f>
        <v>Z-Crystal (Hold Version)</v>
      </c>
      <c r="J795">
        <f>IF(I795="",C795,_xlfn.XLOOKUP(I795,Data!E:E,Data!A:A,""))</f>
        <v>7</v>
      </c>
      <c r="L795">
        <f t="shared" si="121"/>
        <v>0</v>
      </c>
      <c r="M795">
        <f t="shared" si="122"/>
        <v>0</v>
      </c>
      <c r="N795">
        <f t="shared" si="130"/>
        <v>0</v>
      </c>
      <c r="O795">
        <f t="shared" si="123"/>
        <v>0</v>
      </c>
      <c r="P795">
        <f t="shared" si="124"/>
        <v>0</v>
      </c>
      <c r="R795" t="str">
        <f t="shared" si="125"/>
        <v>00</v>
      </c>
    </row>
    <row r="796" spans="1:18" x14ac:dyDescent="0.4">
      <c r="A796" s="1" t="str">
        <f t="shared" si="128"/>
        <v>18D</v>
      </c>
      <c r="B796">
        <f t="shared" si="129"/>
        <v>0</v>
      </c>
      <c r="C796">
        <f>VALUE(MID(Hex!$C$2,1+2*HEX2DEC(A796)+B796,1))</f>
        <v>7</v>
      </c>
      <c r="D796" s="1" t="str">
        <f t="shared" si="126"/>
        <v>31A</v>
      </c>
      <c r="E796">
        <f>HEX2DEC(MID(Hex!$C$8,1+HEX2DEC(Edit!D796)*2,2))</f>
        <v>0</v>
      </c>
      <c r="F796">
        <f t="shared" si="127"/>
        <v>794</v>
      </c>
      <c r="G796" t="str">
        <f>_xlfn.LET(_xlpm.custom,_xlfn.XLOOKUP(F796,Data!A:A,Data!C:C),IF(_xlpm.custom="",_xlfn.XLOOKUP(F796,Data!A:A,Data!B:B),_xlpm.custom))</f>
        <v>Pikanium Z</v>
      </c>
      <c r="H796" t="str">
        <f>_xlfn.XLOOKUP(C796,Data!A:A,Data!E:E)</f>
        <v>Z-Crystal (Hold Version)</v>
      </c>
      <c r="J796">
        <f>IF(I796="",C796,_xlfn.XLOOKUP(I796,Data!E:E,Data!A:A,""))</f>
        <v>7</v>
      </c>
      <c r="L796">
        <f t="shared" si="121"/>
        <v>0</v>
      </c>
      <c r="M796">
        <f t="shared" si="122"/>
        <v>0</v>
      </c>
      <c r="N796">
        <f t="shared" si="130"/>
        <v>0</v>
      </c>
      <c r="O796">
        <f t="shared" si="123"/>
        <v>0</v>
      </c>
      <c r="P796">
        <f t="shared" si="124"/>
        <v>0</v>
      </c>
      <c r="R796" t="str">
        <f t="shared" si="125"/>
        <v>00</v>
      </c>
    </row>
    <row r="797" spans="1:18" x14ac:dyDescent="0.4">
      <c r="A797" s="1" t="str">
        <f t="shared" si="128"/>
        <v>18D</v>
      </c>
      <c r="B797">
        <f t="shared" si="129"/>
        <v>1</v>
      </c>
      <c r="C797">
        <f>VALUE(MID(Hex!$C$2,1+2*HEX2DEC(A797)+B797,1))</f>
        <v>0</v>
      </c>
      <c r="D797" s="1" t="str">
        <f t="shared" si="126"/>
        <v>31B</v>
      </c>
      <c r="E797">
        <f>HEX2DEC(MID(Hex!$C$8,1+HEX2DEC(Edit!D797)*2,2))</f>
        <v>0</v>
      </c>
      <c r="F797">
        <f t="shared" si="127"/>
        <v>795</v>
      </c>
      <c r="G797" t="str">
        <f>_xlfn.LET(_xlpm.custom,_xlfn.XLOOKUP(F797,Data!A:A,Data!C:C),IF(_xlpm.custom="",_xlfn.XLOOKUP(F797,Data!A:A,Data!B:B),_xlpm.custom))</f>
        <v>Bottle Cap</v>
      </c>
      <c r="H797" t="str">
        <f>_xlfn.XLOOKUP(C797,Data!A:A,Data!E:E)</f>
        <v>General</v>
      </c>
      <c r="J797">
        <f>IF(I797="",C797,_xlfn.XLOOKUP(I797,Data!E:E,Data!A:A,""))</f>
        <v>0</v>
      </c>
      <c r="L797">
        <f t="shared" si="121"/>
        <v>0</v>
      </c>
      <c r="M797">
        <f t="shared" si="122"/>
        <v>0</v>
      </c>
      <c r="N797">
        <f t="shared" si="130"/>
        <v>0</v>
      </c>
      <c r="O797">
        <f t="shared" si="123"/>
        <v>0</v>
      </c>
      <c r="P797">
        <f t="shared" si="124"/>
        <v>0</v>
      </c>
      <c r="R797" t="str">
        <f t="shared" si="125"/>
        <v>00</v>
      </c>
    </row>
    <row r="798" spans="1:18" x14ac:dyDescent="0.4">
      <c r="A798" s="1" t="str">
        <f t="shared" si="128"/>
        <v>18E</v>
      </c>
      <c r="B798">
        <f t="shared" si="129"/>
        <v>0</v>
      </c>
      <c r="C798">
        <f>VALUE(MID(Hex!$C$2,1+2*HEX2DEC(A798)+B798,1))</f>
        <v>0</v>
      </c>
      <c r="D798" s="1" t="str">
        <f t="shared" si="126"/>
        <v>31C</v>
      </c>
      <c r="E798">
        <f>HEX2DEC(MID(Hex!$C$8,1+HEX2DEC(Edit!D798)*2,2))</f>
        <v>0</v>
      </c>
      <c r="F798">
        <f t="shared" si="127"/>
        <v>796</v>
      </c>
      <c r="G798" t="str">
        <f>_xlfn.LET(_xlpm.custom,_xlfn.XLOOKUP(F798,Data!A:A,Data!C:C),IF(_xlpm.custom="",_xlfn.XLOOKUP(F798,Data!A:A,Data!B:B),_xlpm.custom))</f>
        <v>Gold Bottle Cap</v>
      </c>
      <c r="H798" t="str">
        <f>_xlfn.XLOOKUP(C798,Data!A:A,Data!E:E)</f>
        <v>General</v>
      </c>
      <c r="J798">
        <f>IF(I798="",C798,_xlfn.XLOOKUP(I798,Data!E:E,Data!A:A,""))</f>
        <v>0</v>
      </c>
      <c r="L798">
        <f t="shared" si="121"/>
        <v>0</v>
      </c>
      <c r="M798">
        <f t="shared" si="122"/>
        <v>0</v>
      </c>
      <c r="N798">
        <f t="shared" si="130"/>
        <v>0</v>
      </c>
      <c r="O798">
        <f t="shared" si="123"/>
        <v>0</v>
      </c>
      <c r="P798">
        <f t="shared" si="124"/>
        <v>0</v>
      </c>
      <c r="R798" t="str">
        <f t="shared" si="125"/>
        <v>00</v>
      </c>
    </row>
    <row r="799" spans="1:18" x14ac:dyDescent="0.4">
      <c r="A799" s="1" t="str">
        <f t="shared" si="128"/>
        <v>18E</v>
      </c>
      <c r="B799">
        <f t="shared" si="129"/>
        <v>1</v>
      </c>
      <c r="C799">
        <f>VALUE(MID(Hex!$C$2,1+2*HEX2DEC(A799)+B799,1))</f>
        <v>4</v>
      </c>
      <c r="D799" s="1" t="str">
        <f t="shared" si="126"/>
        <v>31D</v>
      </c>
      <c r="E799">
        <f>HEX2DEC(MID(Hex!$C$8,1+HEX2DEC(Edit!D799)*2,2))</f>
        <v>0</v>
      </c>
      <c r="F799">
        <f t="shared" si="127"/>
        <v>797</v>
      </c>
      <c r="G799" t="str">
        <f>_xlfn.LET(_xlpm.custom,_xlfn.XLOOKUP(F799,Data!A:A,Data!C:C),IF(_xlpm.custom="",_xlfn.XLOOKUP(F799,Data!A:A,Data!B:B),_xlpm.custom))</f>
        <v>Z-Ring</v>
      </c>
      <c r="H799" t="str">
        <f>_xlfn.XLOOKUP(C799,Data!A:A,Data!E:E)</f>
        <v>Key</v>
      </c>
      <c r="J799">
        <f>IF(I799="",C799,_xlfn.XLOOKUP(I799,Data!E:E,Data!A:A,""))</f>
        <v>4</v>
      </c>
      <c r="L799">
        <f t="shared" si="121"/>
        <v>0</v>
      </c>
      <c r="M799">
        <f t="shared" si="122"/>
        <v>0</v>
      </c>
      <c r="N799">
        <f t="shared" si="130"/>
        <v>0</v>
      </c>
      <c r="O799">
        <f t="shared" si="123"/>
        <v>0</v>
      </c>
      <c r="P799">
        <f t="shared" si="124"/>
        <v>0</v>
      </c>
      <c r="R799" t="str">
        <f t="shared" si="125"/>
        <v>00</v>
      </c>
    </row>
    <row r="800" spans="1:18" x14ac:dyDescent="0.4">
      <c r="A800" s="1" t="str">
        <f t="shared" si="128"/>
        <v>18F</v>
      </c>
      <c r="B800">
        <f t="shared" si="129"/>
        <v>0</v>
      </c>
      <c r="C800">
        <f>VALUE(MID(Hex!$C$2,1+2*HEX2DEC(A800)+B800,1))</f>
        <v>7</v>
      </c>
      <c r="D800" s="1" t="str">
        <f t="shared" si="126"/>
        <v>31E</v>
      </c>
      <c r="E800">
        <f>HEX2DEC(MID(Hex!$C$8,1+HEX2DEC(Edit!D800)*2,2))</f>
        <v>0</v>
      </c>
      <c r="F800">
        <f t="shared" si="127"/>
        <v>798</v>
      </c>
      <c r="G800" t="str">
        <f>_xlfn.LET(_xlpm.custom,_xlfn.XLOOKUP(F800,Data!A:A,Data!C:C),IF(_xlpm.custom="",_xlfn.XLOOKUP(F800,Data!A:A,Data!B:B),_xlpm.custom))</f>
        <v>Decidium Z</v>
      </c>
      <c r="H800" t="str">
        <f>_xlfn.XLOOKUP(C800,Data!A:A,Data!E:E)</f>
        <v>Z-Crystal (Hold Version)</v>
      </c>
      <c r="J800">
        <f>IF(I800="",C800,_xlfn.XLOOKUP(I800,Data!E:E,Data!A:A,""))</f>
        <v>7</v>
      </c>
      <c r="L800">
        <f t="shared" si="121"/>
        <v>0</v>
      </c>
      <c r="M800">
        <f t="shared" si="122"/>
        <v>0</v>
      </c>
      <c r="N800">
        <f t="shared" si="130"/>
        <v>0</v>
      </c>
      <c r="O800">
        <f t="shared" si="123"/>
        <v>0</v>
      </c>
      <c r="P800">
        <f t="shared" si="124"/>
        <v>0</v>
      </c>
      <c r="R800" t="str">
        <f t="shared" si="125"/>
        <v>00</v>
      </c>
    </row>
    <row r="801" spans="1:18" x14ac:dyDescent="0.4">
      <c r="A801" s="1" t="str">
        <f t="shared" si="128"/>
        <v>18F</v>
      </c>
      <c r="B801">
        <f t="shared" si="129"/>
        <v>1</v>
      </c>
      <c r="C801">
        <f>VALUE(MID(Hex!$C$2,1+2*HEX2DEC(A801)+B801,1))</f>
        <v>7</v>
      </c>
      <c r="D801" s="1" t="str">
        <f t="shared" si="126"/>
        <v>31F</v>
      </c>
      <c r="E801">
        <f>HEX2DEC(MID(Hex!$C$8,1+HEX2DEC(Edit!D801)*2,2))</f>
        <v>0</v>
      </c>
      <c r="F801">
        <f t="shared" si="127"/>
        <v>799</v>
      </c>
      <c r="G801" t="str">
        <f>_xlfn.LET(_xlpm.custom,_xlfn.XLOOKUP(F801,Data!A:A,Data!C:C),IF(_xlpm.custom="",_xlfn.XLOOKUP(F801,Data!A:A,Data!B:B),_xlpm.custom))</f>
        <v>Incinium Z</v>
      </c>
      <c r="H801" t="str">
        <f>_xlfn.XLOOKUP(C801,Data!A:A,Data!E:E)</f>
        <v>Z-Crystal (Hold Version)</v>
      </c>
      <c r="J801">
        <f>IF(I801="",C801,_xlfn.XLOOKUP(I801,Data!E:E,Data!A:A,""))</f>
        <v>7</v>
      </c>
      <c r="L801">
        <f t="shared" si="121"/>
        <v>0</v>
      </c>
      <c r="M801">
        <f t="shared" si="122"/>
        <v>0</v>
      </c>
      <c r="N801">
        <f t="shared" si="130"/>
        <v>0</v>
      </c>
      <c r="O801">
        <f t="shared" si="123"/>
        <v>0</v>
      </c>
      <c r="P801">
        <f t="shared" si="124"/>
        <v>0</v>
      </c>
      <c r="R801" t="str">
        <f t="shared" si="125"/>
        <v>00</v>
      </c>
    </row>
    <row r="802" spans="1:18" x14ac:dyDescent="0.4">
      <c r="A802" s="1" t="str">
        <f t="shared" si="128"/>
        <v>190</v>
      </c>
      <c r="B802">
        <f t="shared" si="129"/>
        <v>0</v>
      </c>
      <c r="C802">
        <f>VALUE(MID(Hex!$C$2,1+2*HEX2DEC(A802)+B802,1))</f>
        <v>7</v>
      </c>
      <c r="D802" s="1" t="str">
        <f t="shared" si="126"/>
        <v>320</v>
      </c>
      <c r="E802">
        <f>HEX2DEC(MID(Hex!$C$8,1+HEX2DEC(Edit!D802)*2,2))</f>
        <v>0</v>
      </c>
      <c r="F802">
        <f t="shared" si="127"/>
        <v>800</v>
      </c>
      <c r="G802" t="str">
        <f>_xlfn.LET(_xlpm.custom,_xlfn.XLOOKUP(F802,Data!A:A,Data!C:C),IF(_xlpm.custom="",_xlfn.XLOOKUP(F802,Data!A:A,Data!B:B),_xlpm.custom))</f>
        <v>Primarium Z</v>
      </c>
      <c r="H802" t="str">
        <f>_xlfn.XLOOKUP(C802,Data!A:A,Data!E:E)</f>
        <v>Z-Crystal (Hold Version)</v>
      </c>
      <c r="J802">
        <f>IF(I802="",C802,_xlfn.XLOOKUP(I802,Data!E:E,Data!A:A,""))</f>
        <v>7</v>
      </c>
      <c r="L802">
        <f t="shared" si="121"/>
        <v>0</v>
      </c>
      <c r="M802">
        <f t="shared" si="122"/>
        <v>0</v>
      </c>
      <c r="N802">
        <f t="shared" si="130"/>
        <v>0</v>
      </c>
      <c r="O802">
        <f t="shared" si="123"/>
        <v>0</v>
      </c>
      <c r="P802">
        <f t="shared" si="124"/>
        <v>0</v>
      </c>
      <c r="R802" t="str">
        <f t="shared" si="125"/>
        <v>00</v>
      </c>
    </row>
    <row r="803" spans="1:18" x14ac:dyDescent="0.4">
      <c r="A803" s="1" t="str">
        <f t="shared" si="128"/>
        <v>190</v>
      </c>
      <c r="B803">
        <f t="shared" si="129"/>
        <v>1</v>
      </c>
      <c r="C803">
        <f>VALUE(MID(Hex!$C$2,1+2*HEX2DEC(A803)+B803,1))</f>
        <v>7</v>
      </c>
      <c r="D803" s="1" t="str">
        <f t="shared" si="126"/>
        <v>321</v>
      </c>
      <c r="E803">
        <f>HEX2DEC(MID(Hex!$C$8,1+HEX2DEC(Edit!D803)*2,2))</f>
        <v>0</v>
      </c>
      <c r="F803">
        <f t="shared" si="127"/>
        <v>801</v>
      </c>
      <c r="G803" t="str">
        <f>_xlfn.LET(_xlpm.custom,_xlfn.XLOOKUP(F803,Data!A:A,Data!C:C),IF(_xlpm.custom="",_xlfn.XLOOKUP(F803,Data!A:A,Data!B:B),_xlpm.custom))</f>
        <v>Tapunium Z</v>
      </c>
      <c r="H803" t="str">
        <f>_xlfn.XLOOKUP(C803,Data!A:A,Data!E:E)</f>
        <v>Z-Crystal (Hold Version)</v>
      </c>
      <c r="J803">
        <f>IF(I803="",C803,_xlfn.XLOOKUP(I803,Data!E:E,Data!A:A,""))</f>
        <v>7</v>
      </c>
      <c r="L803">
        <f t="shared" si="121"/>
        <v>0</v>
      </c>
      <c r="M803">
        <f t="shared" si="122"/>
        <v>0</v>
      </c>
      <c r="N803">
        <f t="shared" si="130"/>
        <v>0</v>
      </c>
      <c r="O803">
        <f t="shared" si="123"/>
        <v>0</v>
      </c>
      <c r="P803">
        <f t="shared" si="124"/>
        <v>0</v>
      </c>
      <c r="R803" t="str">
        <f t="shared" si="125"/>
        <v>00</v>
      </c>
    </row>
    <row r="804" spans="1:18" x14ac:dyDescent="0.4">
      <c r="A804" s="1" t="str">
        <f t="shared" si="128"/>
        <v>191</v>
      </c>
      <c r="B804">
        <f t="shared" si="129"/>
        <v>0</v>
      </c>
      <c r="C804">
        <f>VALUE(MID(Hex!$C$2,1+2*HEX2DEC(A804)+B804,1))</f>
        <v>7</v>
      </c>
      <c r="D804" s="1" t="str">
        <f t="shared" si="126"/>
        <v>322</v>
      </c>
      <c r="E804">
        <f>HEX2DEC(MID(Hex!$C$8,1+HEX2DEC(Edit!D804)*2,2))</f>
        <v>0</v>
      </c>
      <c r="F804">
        <f t="shared" si="127"/>
        <v>802</v>
      </c>
      <c r="G804" t="str">
        <f>_xlfn.LET(_xlpm.custom,_xlfn.XLOOKUP(F804,Data!A:A,Data!C:C),IF(_xlpm.custom="",_xlfn.XLOOKUP(F804,Data!A:A,Data!B:B),_xlpm.custom))</f>
        <v>Marshadium Z</v>
      </c>
      <c r="H804" t="str">
        <f>_xlfn.XLOOKUP(C804,Data!A:A,Data!E:E)</f>
        <v>Z-Crystal (Hold Version)</v>
      </c>
      <c r="J804">
        <f>IF(I804="",C804,_xlfn.XLOOKUP(I804,Data!E:E,Data!A:A,""))</f>
        <v>7</v>
      </c>
      <c r="L804">
        <f t="shared" si="121"/>
        <v>0</v>
      </c>
      <c r="M804">
        <f t="shared" si="122"/>
        <v>0</v>
      </c>
      <c r="N804">
        <f t="shared" si="130"/>
        <v>0</v>
      </c>
      <c r="O804">
        <f t="shared" si="123"/>
        <v>0</v>
      </c>
      <c r="P804">
        <f t="shared" si="124"/>
        <v>0</v>
      </c>
      <c r="R804" t="str">
        <f t="shared" si="125"/>
        <v>00</v>
      </c>
    </row>
    <row r="805" spans="1:18" x14ac:dyDescent="0.4">
      <c r="A805" s="1" t="str">
        <f t="shared" si="128"/>
        <v>191</v>
      </c>
      <c r="B805">
        <f t="shared" si="129"/>
        <v>1</v>
      </c>
      <c r="C805">
        <f>VALUE(MID(Hex!$C$2,1+2*HEX2DEC(A805)+B805,1))</f>
        <v>7</v>
      </c>
      <c r="D805" s="1" t="str">
        <f t="shared" si="126"/>
        <v>323</v>
      </c>
      <c r="E805">
        <f>HEX2DEC(MID(Hex!$C$8,1+HEX2DEC(Edit!D805)*2,2))</f>
        <v>0</v>
      </c>
      <c r="F805">
        <f t="shared" si="127"/>
        <v>803</v>
      </c>
      <c r="G805" t="str">
        <f>_xlfn.LET(_xlpm.custom,_xlfn.XLOOKUP(F805,Data!A:A,Data!C:C),IF(_xlpm.custom="",_xlfn.XLOOKUP(F805,Data!A:A,Data!B:B),_xlpm.custom))</f>
        <v>Aloraichium Z</v>
      </c>
      <c r="H805" t="str">
        <f>_xlfn.XLOOKUP(C805,Data!A:A,Data!E:E)</f>
        <v>Z-Crystal (Hold Version)</v>
      </c>
      <c r="J805">
        <f>IF(I805="",C805,_xlfn.XLOOKUP(I805,Data!E:E,Data!A:A,""))</f>
        <v>7</v>
      </c>
      <c r="L805">
        <f t="shared" si="121"/>
        <v>0</v>
      </c>
      <c r="M805">
        <f t="shared" si="122"/>
        <v>0</v>
      </c>
      <c r="N805">
        <f t="shared" si="130"/>
        <v>0</v>
      </c>
      <c r="O805">
        <f t="shared" si="123"/>
        <v>0</v>
      </c>
      <c r="P805">
        <f t="shared" si="124"/>
        <v>0</v>
      </c>
      <c r="R805" t="str">
        <f t="shared" si="125"/>
        <v>00</v>
      </c>
    </row>
    <row r="806" spans="1:18" x14ac:dyDescent="0.4">
      <c r="A806" s="1" t="str">
        <f t="shared" si="128"/>
        <v>192</v>
      </c>
      <c r="B806">
        <f t="shared" si="129"/>
        <v>0</v>
      </c>
      <c r="C806">
        <f>VALUE(MID(Hex!$C$2,1+2*HEX2DEC(A806)+B806,1))</f>
        <v>7</v>
      </c>
      <c r="D806" s="1" t="str">
        <f t="shared" si="126"/>
        <v>324</v>
      </c>
      <c r="E806">
        <f>HEX2DEC(MID(Hex!$C$8,1+HEX2DEC(Edit!D806)*2,2))</f>
        <v>0</v>
      </c>
      <c r="F806">
        <f t="shared" si="127"/>
        <v>804</v>
      </c>
      <c r="G806" t="str">
        <f>_xlfn.LET(_xlpm.custom,_xlfn.XLOOKUP(F806,Data!A:A,Data!C:C),IF(_xlpm.custom="",_xlfn.XLOOKUP(F806,Data!A:A,Data!B:B),_xlpm.custom))</f>
        <v>Snorlium Z</v>
      </c>
      <c r="H806" t="str">
        <f>_xlfn.XLOOKUP(C806,Data!A:A,Data!E:E)</f>
        <v>Z-Crystal (Hold Version)</v>
      </c>
      <c r="J806">
        <f>IF(I806="",C806,_xlfn.XLOOKUP(I806,Data!E:E,Data!A:A,""))</f>
        <v>7</v>
      </c>
      <c r="L806">
        <f t="shared" si="121"/>
        <v>0</v>
      </c>
      <c r="M806">
        <f t="shared" si="122"/>
        <v>0</v>
      </c>
      <c r="N806">
        <f t="shared" si="130"/>
        <v>0</v>
      </c>
      <c r="O806">
        <f t="shared" si="123"/>
        <v>0</v>
      </c>
      <c r="P806">
        <f t="shared" si="124"/>
        <v>0</v>
      </c>
      <c r="R806" t="str">
        <f t="shared" si="125"/>
        <v>00</v>
      </c>
    </row>
    <row r="807" spans="1:18" x14ac:dyDescent="0.4">
      <c r="A807" s="1" t="str">
        <f t="shared" si="128"/>
        <v>192</v>
      </c>
      <c r="B807">
        <f t="shared" si="129"/>
        <v>1</v>
      </c>
      <c r="C807">
        <f>VALUE(MID(Hex!$C$2,1+2*HEX2DEC(A807)+B807,1))</f>
        <v>7</v>
      </c>
      <c r="D807" s="1" t="str">
        <f t="shared" si="126"/>
        <v>325</v>
      </c>
      <c r="E807">
        <f>HEX2DEC(MID(Hex!$C$8,1+HEX2DEC(Edit!D807)*2,2))</f>
        <v>0</v>
      </c>
      <c r="F807">
        <f t="shared" si="127"/>
        <v>805</v>
      </c>
      <c r="G807" t="str">
        <f>_xlfn.LET(_xlpm.custom,_xlfn.XLOOKUP(F807,Data!A:A,Data!C:C),IF(_xlpm.custom="",_xlfn.XLOOKUP(F807,Data!A:A,Data!B:B),_xlpm.custom))</f>
        <v>Eevium Z</v>
      </c>
      <c r="H807" t="str">
        <f>_xlfn.XLOOKUP(C807,Data!A:A,Data!E:E)</f>
        <v>Z-Crystal (Hold Version)</v>
      </c>
      <c r="J807">
        <f>IF(I807="",C807,_xlfn.XLOOKUP(I807,Data!E:E,Data!A:A,""))</f>
        <v>7</v>
      </c>
      <c r="L807">
        <f t="shared" si="121"/>
        <v>0</v>
      </c>
      <c r="M807">
        <f t="shared" si="122"/>
        <v>0</v>
      </c>
      <c r="N807">
        <f t="shared" si="130"/>
        <v>0</v>
      </c>
      <c r="O807">
        <f t="shared" si="123"/>
        <v>0</v>
      </c>
      <c r="P807">
        <f t="shared" si="124"/>
        <v>0</v>
      </c>
      <c r="R807" t="str">
        <f t="shared" si="125"/>
        <v>00</v>
      </c>
    </row>
    <row r="808" spans="1:18" x14ac:dyDescent="0.4">
      <c r="A808" s="1" t="str">
        <f t="shared" si="128"/>
        <v>193</v>
      </c>
      <c r="B808">
        <f t="shared" si="129"/>
        <v>0</v>
      </c>
      <c r="C808">
        <f>VALUE(MID(Hex!$C$2,1+2*HEX2DEC(A808)+B808,1))</f>
        <v>7</v>
      </c>
      <c r="D808" s="1" t="str">
        <f t="shared" si="126"/>
        <v>326</v>
      </c>
      <c r="E808">
        <f>HEX2DEC(MID(Hex!$C$8,1+HEX2DEC(Edit!D808)*2,2))</f>
        <v>0</v>
      </c>
      <c r="F808">
        <f t="shared" si="127"/>
        <v>806</v>
      </c>
      <c r="G808" t="str">
        <f>_xlfn.LET(_xlpm.custom,_xlfn.XLOOKUP(F808,Data!A:A,Data!C:C),IF(_xlpm.custom="",_xlfn.XLOOKUP(F808,Data!A:A,Data!B:B),_xlpm.custom))</f>
        <v>Mewnium Z</v>
      </c>
      <c r="H808" t="str">
        <f>_xlfn.XLOOKUP(C808,Data!A:A,Data!E:E)</f>
        <v>Z-Crystal (Hold Version)</v>
      </c>
      <c r="J808">
        <f>IF(I808="",C808,_xlfn.XLOOKUP(I808,Data!E:E,Data!A:A,""))</f>
        <v>7</v>
      </c>
      <c r="L808">
        <f t="shared" si="121"/>
        <v>0</v>
      </c>
      <c r="M808">
        <f t="shared" si="122"/>
        <v>0</v>
      </c>
      <c r="N808">
        <f t="shared" si="130"/>
        <v>0</v>
      </c>
      <c r="O808">
        <f t="shared" si="123"/>
        <v>0</v>
      </c>
      <c r="P808">
        <f t="shared" si="124"/>
        <v>0</v>
      </c>
      <c r="R808" t="str">
        <f t="shared" si="125"/>
        <v>00</v>
      </c>
    </row>
    <row r="809" spans="1:18" x14ac:dyDescent="0.4">
      <c r="A809" s="1" t="str">
        <f t="shared" si="128"/>
        <v>193</v>
      </c>
      <c r="B809">
        <f t="shared" si="129"/>
        <v>1</v>
      </c>
      <c r="C809">
        <f>VALUE(MID(Hex!$C$2,1+2*HEX2DEC(A809)+B809,1))</f>
        <v>5</v>
      </c>
      <c r="D809" s="1" t="str">
        <f t="shared" si="126"/>
        <v>327</v>
      </c>
      <c r="E809">
        <f>HEX2DEC(MID(Hex!$C$8,1+HEX2DEC(Edit!D809)*2,2))</f>
        <v>0</v>
      </c>
      <c r="F809">
        <f t="shared" si="127"/>
        <v>807</v>
      </c>
      <c r="G809" t="str">
        <f>_xlfn.LET(_xlpm.custom,_xlfn.XLOOKUP(F809,Data!A:A,Data!C:C),IF(_xlpm.custom="",_xlfn.XLOOKUP(F809,Data!A:A,Data!B:B),_xlpm.custom))</f>
        <v>Normalium U</v>
      </c>
      <c r="H809" t="str">
        <f>_xlfn.XLOOKUP(C809,Data!A:A,Data!E:E)</f>
        <v>Z-Crystal (Bag Version)</v>
      </c>
      <c r="J809">
        <f>IF(I809="",C809,_xlfn.XLOOKUP(I809,Data!E:E,Data!A:A,""))</f>
        <v>5</v>
      </c>
      <c r="L809">
        <f t="shared" si="121"/>
        <v>0</v>
      </c>
      <c r="M809">
        <f t="shared" si="122"/>
        <v>0</v>
      </c>
      <c r="N809">
        <f t="shared" si="130"/>
        <v>0</v>
      </c>
      <c r="O809">
        <f t="shared" si="123"/>
        <v>0</v>
      </c>
      <c r="P809">
        <f t="shared" si="124"/>
        <v>0</v>
      </c>
      <c r="R809" t="str">
        <f t="shared" si="125"/>
        <v>00</v>
      </c>
    </row>
    <row r="810" spans="1:18" x14ac:dyDescent="0.4">
      <c r="A810" s="1" t="str">
        <f t="shared" si="128"/>
        <v>194</v>
      </c>
      <c r="B810">
        <f t="shared" si="129"/>
        <v>0</v>
      </c>
      <c r="C810">
        <f>VALUE(MID(Hex!$C$2,1+2*HEX2DEC(A810)+B810,1))</f>
        <v>5</v>
      </c>
      <c r="D810" s="1" t="str">
        <f t="shared" si="126"/>
        <v>328</v>
      </c>
      <c r="E810">
        <f>HEX2DEC(MID(Hex!$C$8,1+HEX2DEC(Edit!D810)*2,2))</f>
        <v>0</v>
      </c>
      <c r="F810">
        <f t="shared" si="127"/>
        <v>808</v>
      </c>
      <c r="G810" t="str">
        <f>_xlfn.LET(_xlpm.custom,_xlfn.XLOOKUP(F810,Data!A:A,Data!C:C),IF(_xlpm.custom="",_xlfn.XLOOKUP(F810,Data!A:A,Data!B:B),_xlpm.custom))</f>
        <v>Firium U</v>
      </c>
      <c r="H810" t="str">
        <f>_xlfn.XLOOKUP(C810,Data!A:A,Data!E:E)</f>
        <v>Z-Crystal (Bag Version)</v>
      </c>
      <c r="J810">
        <f>IF(I810="",C810,_xlfn.XLOOKUP(I810,Data!E:E,Data!A:A,""))</f>
        <v>5</v>
      </c>
      <c r="L810">
        <f t="shared" si="121"/>
        <v>0</v>
      </c>
      <c r="M810">
        <f t="shared" si="122"/>
        <v>0</v>
      </c>
      <c r="N810">
        <f t="shared" si="130"/>
        <v>0</v>
      </c>
      <c r="O810">
        <f t="shared" si="123"/>
        <v>0</v>
      </c>
      <c r="P810">
        <f t="shared" si="124"/>
        <v>0</v>
      </c>
      <c r="R810" t="str">
        <f t="shared" si="125"/>
        <v>00</v>
      </c>
    </row>
    <row r="811" spans="1:18" x14ac:dyDescent="0.4">
      <c r="A811" s="1" t="str">
        <f t="shared" si="128"/>
        <v>194</v>
      </c>
      <c r="B811">
        <f t="shared" si="129"/>
        <v>1</v>
      </c>
      <c r="C811">
        <f>VALUE(MID(Hex!$C$2,1+2*HEX2DEC(A811)+B811,1))</f>
        <v>5</v>
      </c>
      <c r="D811" s="1" t="str">
        <f t="shared" si="126"/>
        <v>329</v>
      </c>
      <c r="E811">
        <f>HEX2DEC(MID(Hex!$C$8,1+HEX2DEC(Edit!D811)*2,2))</f>
        <v>0</v>
      </c>
      <c r="F811">
        <f t="shared" si="127"/>
        <v>809</v>
      </c>
      <c r="G811" t="str">
        <f>_xlfn.LET(_xlpm.custom,_xlfn.XLOOKUP(F811,Data!A:A,Data!C:C),IF(_xlpm.custom="",_xlfn.XLOOKUP(F811,Data!A:A,Data!B:B),_xlpm.custom))</f>
        <v>Waterium U</v>
      </c>
      <c r="H811" t="str">
        <f>_xlfn.XLOOKUP(C811,Data!A:A,Data!E:E)</f>
        <v>Z-Crystal (Bag Version)</v>
      </c>
      <c r="J811">
        <f>IF(I811="",C811,_xlfn.XLOOKUP(I811,Data!E:E,Data!A:A,""))</f>
        <v>5</v>
      </c>
      <c r="L811">
        <f t="shared" si="121"/>
        <v>0</v>
      </c>
      <c r="M811">
        <f t="shared" si="122"/>
        <v>0</v>
      </c>
      <c r="N811">
        <f t="shared" si="130"/>
        <v>0</v>
      </c>
      <c r="O811">
        <f t="shared" si="123"/>
        <v>0</v>
      </c>
      <c r="P811">
        <f t="shared" si="124"/>
        <v>0</v>
      </c>
      <c r="R811" t="str">
        <f t="shared" si="125"/>
        <v>00</v>
      </c>
    </row>
    <row r="812" spans="1:18" x14ac:dyDescent="0.4">
      <c r="A812" s="1" t="str">
        <f t="shared" si="128"/>
        <v>195</v>
      </c>
      <c r="B812">
        <f t="shared" si="129"/>
        <v>0</v>
      </c>
      <c r="C812">
        <f>VALUE(MID(Hex!$C$2,1+2*HEX2DEC(A812)+B812,1))</f>
        <v>5</v>
      </c>
      <c r="D812" s="1" t="str">
        <f t="shared" si="126"/>
        <v>32A</v>
      </c>
      <c r="E812">
        <f>HEX2DEC(MID(Hex!$C$8,1+HEX2DEC(Edit!D812)*2,2))</f>
        <v>0</v>
      </c>
      <c r="F812">
        <f t="shared" si="127"/>
        <v>810</v>
      </c>
      <c r="G812" t="str">
        <f>_xlfn.LET(_xlpm.custom,_xlfn.XLOOKUP(F812,Data!A:A,Data!C:C),IF(_xlpm.custom="",_xlfn.XLOOKUP(F812,Data!A:A,Data!B:B),_xlpm.custom))</f>
        <v>Electrium U</v>
      </c>
      <c r="H812" t="str">
        <f>_xlfn.XLOOKUP(C812,Data!A:A,Data!E:E)</f>
        <v>Z-Crystal (Bag Version)</v>
      </c>
      <c r="J812">
        <f>IF(I812="",C812,_xlfn.XLOOKUP(I812,Data!E:E,Data!A:A,""))</f>
        <v>5</v>
      </c>
      <c r="L812">
        <f t="shared" si="121"/>
        <v>0</v>
      </c>
      <c r="M812">
        <f t="shared" si="122"/>
        <v>0</v>
      </c>
      <c r="N812">
        <f t="shared" si="130"/>
        <v>0</v>
      </c>
      <c r="O812">
        <f t="shared" si="123"/>
        <v>0</v>
      </c>
      <c r="P812">
        <f t="shared" si="124"/>
        <v>0</v>
      </c>
      <c r="R812" t="str">
        <f t="shared" si="125"/>
        <v>00</v>
      </c>
    </row>
    <row r="813" spans="1:18" x14ac:dyDescent="0.4">
      <c r="A813" s="1" t="str">
        <f t="shared" si="128"/>
        <v>195</v>
      </c>
      <c r="B813">
        <f t="shared" si="129"/>
        <v>1</v>
      </c>
      <c r="C813">
        <f>VALUE(MID(Hex!$C$2,1+2*HEX2DEC(A813)+B813,1))</f>
        <v>5</v>
      </c>
      <c r="D813" s="1" t="str">
        <f t="shared" si="126"/>
        <v>32B</v>
      </c>
      <c r="E813">
        <f>HEX2DEC(MID(Hex!$C$8,1+HEX2DEC(Edit!D813)*2,2))</f>
        <v>0</v>
      </c>
      <c r="F813">
        <f t="shared" si="127"/>
        <v>811</v>
      </c>
      <c r="G813" t="str">
        <f>_xlfn.LET(_xlpm.custom,_xlfn.XLOOKUP(F813,Data!A:A,Data!C:C),IF(_xlpm.custom="",_xlfn.XLOOKUP(F813,Data!A:A,Data!B:B),_xlpm.custom))</f>
        <v>Grassium U</v>
      </c>
      <c r="H813" t="str">
        <f>_xlfn.XLOOKUP(C813,Data!A:A,Data!E:E)</f>
        <v>Z-Crystal (Bag Version)</v>
      </c>
      <c r="J813">
        <f>IF(I813="",C813,_xlfn.XLOOKUP(I813,Data!E:E,Data!A:A,""))</f>
        <v>5</v>
      </c>
      <c r="L813">
        <f t="shared" si="121"/>
        <v>0</v>
      </c>
      <c r="M813">
        <f t="shared" si="122"/>
        <v>0</v>
      </c>
      <c r="N813">
        <f t="shared" si="130"/>
        <v>0</v>
      </c>
      <c r="O813">
        <f t="shared" si="123"/>
        <v>0</v>
      </c>
      <c r="P813">
        <f t="shared" si="124"/>
        <v>0</v>
      </c>
      <c r="R813" t="str">
        <f t="shared" si="125"/>
        <v>00</v>
      </c>
    </row>
    <row r="814" spans="1:18" x14ac:dyDescent="0.4">
      <c r="A814" s="1" t="str">
        <f t="shared" si="128"/>
        <v>196</v>
      </c>
      <c r="B814">
        <f t="shared" si="129"/>
        <v>0</v>
      </c>
      <c r="C814">
        <f>VALUE(MID(Hex!$C$2,1+2*HEX2DEC(A814)+B814,1))</f>
        <v>5</v>
      </c>
      <c r="D814" s="1" t="str">
        <f t="shared" si="126"/>
        <v>32C</v>
      </c>
      <c r="E814">
        <f>HEX2DEC(MID(Hex!$C$8,1+HEX2DEC(Edit!D814)*2,2))</f>
        <v>0</v>
      </c>
      <c r="F814">
        <f t="shared" si="127"/>
        <v>812</v>
      </c>
      <c r="G814" t="str">
        <f>_xlfn.LET(_xlpm.custom,_xlfn.XLOOKUP(F814,Data!A:A,Data!C:C),IF(_xlpm.custom="",_xlfn.XLOOKUP(F814,Data!A:A,Data!B:B),_xlpm.custom))</f>
        <v>Icium U</v>
      </c>
      <c r="H814" t="str">
        <f>_xlfn.XLOOKUP(C814,Data!A:A,Data!E:E)</f>
        <v>Z-Crystal (Bag Version)</v>
      </c>
      <c r="J814">
        <f>IF(I814="",C814,_xlfn.XLOOKUP(I814,Data!E:E,Data!A:A,""))</f>
        <v>5</v>
      </c>
      <c r="L814">
        <f t="shared" si="121"/>
        <v>0</v>
      </c>
      <c r="M814">
        <f t="shared" si="122"/>
        <v>0</v>
      </c>
      <c r="N814">
        <f t="shared" si="130"/>
        <v>0</v>
      </c>
      <c r="O814">
        <f t="shared" si="123"/>
        <v>0</v>
      </c>
      <c r="P814">
        <f t="shared" si="124"/>
        <v>0</v>
      </c>
      <c r="R814" t="str">
        <f t="shared" si="125"/>
        <v>00</v>
      </c>
    </row>
    <row r="815" spans="1:18" x14ac:dyDescent="0.4">
      <c r="A815" s="1" t="str">
        <f t="shared" si="128"/>
        <v>196</v>
      </c>
      <c r="B815">
        <f t="shared" si="129"/>
        <v>1</v>
      </c>
      <c r="C815">
        <f>VALUE(MID(Hex!$C$2,1+2*HEX2DEC(A815)+B815,1))</f>
        <v>5</v>
      </c>
      <c r="D815" s="1" t="str">
        <f t="shared" si="126"/>
        <v>32D</v>
      </c>
      <c r="E815">
        <f>HEX2DEC(MID(Hex!$C$8,1+HEX2DEC(Edit!D815)*2,2))</f>
        <v>0</v>
      </c>
      <c r="F815">
        <f t="shared" si="127"/>
        <v>813</v>
      </c>
      <c r="G815" t="str">
        <f>_xlfn.LET(_xlpm.custom,_xlfn.XLOOKUP(F815,Data!A:A,Data!C:C),IF(_xlpm.custom="",_xlfn.XLOOKUP(F815,Data!A:A,Data!B:B),_xlpm.custom))</f>
        <v>Fightinium U</v>
      </c>
      <c r="H815" t="str">
        <f>_xlfn.XLOOKUP(C815,Data!A:A,Data!E:E)</f>
        <v>Z-Crystal (Bag Version)</v>
      </c>
      <c r="J815">
        <f>IF(I815="",C815,_xlfn.XLOOKUP(I815,Data!E:E,Data!A:A,""))</f>
        <v>5</v>
      </c>
      <c r="L815">
        <f t="shared" si="121"/>
        <v>0</v>
      </c>
      <c r="M815">
        <f t="shared" si="122"/>
        <v>0</v>
      </c>
      <c r="N815">
        <f t="shared" si="130"/>
        <v>0</v>
      </c>
      <c r="O815">
        <f t="shared" si="123"/>
        <v>0</v>
      </c>
      <c r="P815">
        <f t="shared" si="124"/>
        <v>0</v>
      </c>
      <c r="R815" t="str">
        <f t="shared" si="125"/>
        <v>00</v>
      </c>
    </row>
    <row r="816" spans="1:18" x14ac:dyDescent="0.4">
      <c r="A816" s="1" t="str">
        <f t="shared" si="128"/>
        <v>197</v>
      </c>
      <c r="B816">
        <f t="shared" si="129"/>
        <v>0</v>
      </c>
      <c r="C816">
        <f>VALUE(MID(Hex!$C$2,1+2*HEX2DEC(A816)+B816,1))</f>
        <v>5</v>
      </c>
      <c r="D816" s="1" t="str">
        <f t="shared" si="126"/>
        <v>32E</v>
      </c>
      <c r="E816">
        <f>HEX2DEC(MID(Hex!$C$8,1+HEX2DEC(Edit!D816)*2,2))</f>
        <v>0</v>
      </c>
      <c r="F816">
        <f t="shared" si="127"/>
        <v>814</v>
      </c>
      <c r="G816" t="str">
        <f>_xlfn.LET(_xlpm.custom,_xlfn.XLOOKUP(F816,Data!A:A,Data!C:C),IF(_xlpm.custom="",_xlfn.XLOOKUP(F816,Data!A:A,Data!B:B),_xlpm.custom))</f>
        <v>Poisonium U</v>
      </c>
      <c r="H816" t="str">
        <f>_xlfn.XLOOKUP(C816,Data!A:A,Data!E:E)</f>
        <v>Z-Crystal (Bag Version)</v>
      </c>
      <c r="J816">
        <f>IF(I816="",C816,_xlfn.XLOOKUP(I816,Data!E:E,Data!A:A,""))</f>
        <v>5</v>
      </c>
      <c r="L816">
        <f t="shared" si="121"/>
        <v>0</v>
      </c>
      <c r="M816">
        <f t="shared" si="122"/>
        <v>0</v>
      </c>
      <c r="N816">
        <f t="shared" si="130"/>
        <v>0</v>
      </c>
      <c r="O816">
        <f t="shared" si="123"/>
        <v>0</v>
      </c>
      <c r="P816">
        <f t="shared" si="124"/>
        <v>0</v>
      </c>
      <c r="R816" t="str">
        <f t="shared" si="125"/>
        <v>00</v>
      </c>
    </row>
    <row r="817" spans="1:18" x14ac:dyDescent="0.4">
      <c r="A817" s="1" t="str">
        <f t="shared" si="128"/>
        <v>197</v>
      </c>
      <c r="B817">
        <f t="shared" si="129"/>
        <v>1</v>
      </c>
      <c r="C817">
        <f>VALUE(MID(Hex!$C$2,1+2*HEX2DEC(A817)+B817,1))</f>
        <v>5</v>
      </c>
      <c r="D817" s="1" t="str">
        <f t="shared" si="126"/>
        <v>32F</v>
      </c>
      <c r="E817">
        <f>HEX2DEC(MID(Hex!$C$8,1+HEX2DEC(Edit!D817)*2,2))</f>
        <v>0</v>
      </c>
      <c r="F817">
        <f t="shared" si="127"/>
        <v>815</v>
      </c>
      <c r="G817" t="str">
        <f>_xlfn.LET(_xlpm.custom,_xlfn.XLOOKUP(F817,Data!A:A,Data!C:C),IF(_xlpm.custom="",_xlfn.XLOOKUP(F817,Data!A:A,Data!B:B),_xlpm.custom))</f>
        <v>Groundium U</v>
      </c>
      <c r="H817" t="str">
        <f>_xlfn.XLOOKUP(C817,Data!A:A,Data!E:E)</f>
        <v>Z-Crystal (Bag Version)</v>
      </c>
      <c r="J817">
        <f>IF(I817="",C817,_xlfn.XLOOKUP(I817,Data!E:E,Data!A:A,""))</f>
        <v>5</v>
      </c>
      <c r="L817">
        <f t="shared" si="121"/>
        <v>0</v>
      </c>
      <c r="M817">
        <f t="shared" si="122"/>
        <v>0</v>
      </c>
      <c r="N817">
        <f t="shared" si="130"/>
        <v>0</v>
      </c>
      <c r="O817">
        <f t="shared" si="123"/>
        <v>0</v>
      </c>
      <c r="P817">
        <f t="shared" si="124"/>
        <v>0</v>
      </c>
      <c r="R817" t="str">
        <f t="shared" si="125"/>
        <v>00</v>
      </c>
    </row>
    <row r="818" spans="1:18" x14ac:dyDescent="0.4">
      <c r="A818" s="1" t="str">
        <f t="shared" si="128"/>
        <v>198</v>
      </c>
      <c r="B818">
        <f t="shared" si="129"/>
        <v>0</v>
      </c>
      <c r="C818">
        <f>VALUE(MID(Hex!$C$2,1+2*HEX2DEC(A818)+B818,1))</f>
        <v>5</v>
      </c>
      <c r="D818" s="1" t="str">
        <f t="shared" si="126"/>
        <v>330</v>
      </c>
      <c r="E818">
        <f>HEX2DEC(MID(Hex!$C$8,1+HEX2DEC(Edit!D818)*2,2))</f>
        <v>0</v>
      </c>
      <c r="F818">
        <f t="shared" si="127"/>
        <v>816</v>
      </c>
      <c r="G818" t="str">
        <f>_xlfn.LET(_xlpm.custom,_xlfn.XLOOKUP(F818,Data!A:A,Data!C:C),IF(_xlpm.custom="",_xlfn.XLOOKUP(F818,Data!A:A,Data!B:B),_xlpm.custom))</f>
        <v>Flyinium U</v>
      </c>
      <c r="H818" t="str">
        <f>_xlfn.XLOOKUP(C818,Data!A:A,Data!E:E)</f>
        <v>Z-Crystal (Bag Version)</v>
      </c>
      <c r="J818">
        <f>IF(I818="",C818,_xlfn.XLOOKUP(I818,Data!E:E,Data!A:A,""))</f>
        <v>5</v>
      </c>
      <c r="L818">
        <f t="shared" si="121"/>
        <v>0</v>
      </c>
      <c r="M818">
        <f t="shared" si="122"/>
        <v>0</v>
      </c>
      <c r="N818">
        <f t="shared" si="130"/>
        <v>0</v>
      </c>
      <c r="O818">
        <f t="shared" si="123"/>
        <v>0</v>
      </c>
      <c r="P818">
        <f t="shared" si="124"/>
        <v>0</v>
      </c>
      <c r="R818" t="str">
        <f t="shared" si="125"/>
        <v>00</v>
      </c>
    </row>
    <row r="819" spans="1:18" x14ac:dyDescent="0.4">
      <c r="A819" s="1" t="str">
        <f t="shared" si="128"/>
        <v>198</v>
      </c>
      <c r="B819">
        <f t="shared" si="129"/>
        <v>1</v>
      </c>
      <c r="C819">
        <f>VALUE(MID(Hex!$C$2,1+2*HEX2DEC(A819)+B819,1))</f>
        <v>5</v>
      </c>
      <c r="D819" s="1" t="str">
        <f t="shared" si="126"/>
        <v>331</v>
      </c>
      <c r="E819">
        <f>HEX2DEC(MID(Hex!$C$8,1+HEX2DEC(Edit!D819)*2,2))</f>
        <v>0</v>
      </c>
      <c r="F819">
        <f t="shared" si="127"/>
        <v>817</v>
      </c>
      <c r="G819" t="str">
        <f>_xlfn.LET(_xlpm.custom,_xlfn.XLOOKUP(F819,Data!A:A,Data!C:C),IF(_xlpm.custom="",_xlfn.XLOOKUP(F819,Data!A:A,Data!B:B),_xlpm.custom))</f>
        <v>Psychium U</v>
      </c>
      <c r="H819" t="str">
        <f>_xlfn.XLOOKUP(C819,Data!A:A,Data!E:E)</f>
        <v>Z-Crystal (Bag Version)</v>
      </c>
      <c r="J819">
        <f>IF(I819="",C819,_xlfn.XLOOKUP(I819,Data!E:E,Data!A:A,""))</f>
        <v>5</v>
      </c>
      <c r="L819">
        <f t="shared" si="121"/>
        <v>0</v>
      </c>
      <c r="M819">
        <f t="shared" si="122"/>
        <v>0</v>
      </c>
      <c r="N819">
        <f t="shared" si="130"/>
        <v>0</v>
      </c>
      <c r="O819">
        <f t="shared" si="123"/>
        <v>0</v>
      </c>
      <c r="P819">
        <f t="shared" si="124"/>
        <v>0</v>
      </c>
      <c r="R819" t="str">
        <f t="shared" si="125"/>
        <v>00</v>
      </c>
    </row>
    <row r="820" spans="1:18" x14ac:dyDescent="0.4">
      <c r="A820" s="1" t="str">
        <f t="shared" si="128"/>
        <v>199</v>
      </c>
      <c r="B820">
        <f t="shared" si="129"/>
        <v>0</v>
      </c>
      <c r="C820">
        <f>VALUE(MID(Hex!$C$2,1+2*HEX2DEC(A820)+B820,1))</f>
        <v>5</v>
      </c>
      <c r="D820" s="1" t="str">
        <f t="shared" si="126"/>
        <v>332</v>
      </c>
      <c r="E820">
        <f>HEX2DEC(MID(Hex!$C$8,1+HEX2DEC(Edit!D820)*2,2))</f>
        <v>0</v>
      </c>
      <c r="F820">
        <f t="shared" si="127"/>
        <v>818</v>
      </c>
      <c r="G820" t="str">
        <f>_xlfn.LET(_xlpm.custom,_xlfn.XLOOKUP(F820,Data!A:A,Data!C:C),IF(_xlpm.custom="",_xlfn.XLOOKUP(F820,Data!A:A,Data!B:B),_xlpm.custom))</f>
        <v>Buginium U</v>
      </c>
      <c r="H820" t="str">
        <f>_xlfn.XLOOKUP(C820,Data!A:A,Data!E:E)</f>
        <v>Z-Crystal (Bag Version)</v>
      </c>
      <c r="J820">
        <f>IF(I820="",C820,_xlfn.XLOOKUP(I820,Data!E:E,Data!A:A,""))</f>
        <v>5</v>
      </c>
      <c r="L820">
        <f t="shared" si="121"/>
        <v>0</v>
      </c>
      <c r="M820">
        <f t="shared" si="122"/>
        <v>0</v>
      </c>
      <c r="N820">
        <f t="shared" si="130"/>
        <v>0</v>
      </c>
      <c r="O820">
        <f t="shared" si="123"/>
        <v>0</v>
      </c>
      <c r="P820">
        <f t="shared" si="124"/>
        <v>0</v>
      </c>
      <c r="R820" t="str">
        <f t="shared" si="125"/>
        <v>00</v>
      </c>
    </row>
    <row r="821" spans="1:18" x14ac:dyDescent="0.4">
      <c r="A821" s="1" t="str">
        <f t="shared" si="128"/>
        <v>199</v>
      </c>
      <c r="B821">
        <f t="shared" si="129"/>
        <v>1</v>
      </c>
      <c r="C821">
        <f>VALUE(MID(Hex!$C$2,1+2*HEX2DEC(A821)+B821,1))</f>
        <v>5</v>
      </c>
      <c r="D821" s="1" t="str">
        <f t="shared" si="126"/>
        <v>333</v>
      </c>
      <c r="E821">
        <f>HEX2DEC(MID(Hex!$C$8,1+HEX2DEC(Edit!D821)*2,2))</f>
        <v>0</v>
      </c>
      <c r="F821">
        <f t="shared" si="127"/>
        <v>819</v>
      </c>
      <c r="G821" t="str">
        <f>_xlfn.LET(_xlpm.custom,_xlfn.XLOOKUP(F821,Data!A:A,Data!C:C),IF(_xlpm.custom="",_xlfn.XLOOKUP(F821,Data!A:A,Data!B:B),_xlpm.custom))</f>
        <v>Rockium U</v>
      </c>
      <c r="H821" t="str">
        <f>_xlfn.XLOOKUP(C821,Data!A:A,Data!E:E)</f>
        <v>Z-Crystal (Bag Version)</v>
      </c>
      <c r="J821">
        <f>IF(I821="",C821,_xlfn.XLOOKUP(I821,Data!E:E,Data!A:A,""))</f>
        <v>5</v>
      </c>
      <c r="L821">
        <f t="shared" si="121"/>
        <v>0</v>
      </c>
      <c r="M821">
        <f t="shared" si="122"/>
        <v>0</v>
      </c>
      <c r="N821">
        <f t="shared" si="130"/>
        <v>0</v>
      </c>
      <c r="O821">
        <f t="shared" si="123"/>
        <v>0</v>
      </c>
      <c r="P821">
        <f t="shared" si="124"/>
        <v>0</v>
      </c>
      <c r="R821" t="str">
        <f t="shared" si="125"/>
        <v>00</v>
      </c>
    </row>
    <row r="822" spans="1:18" x14ac:dyDescent="0.4">
      <c r="A822" s="1" t="str">
        <f t="shared" si="128"/>
        <v>19A</v>
      </c>
      <c r="B822">
        <f t="shared" si="129"/>
        <v>0</v>
      </c>
      <c r="C822">
        <f>VALUE(MID(Hex!$C$2,1+2*HEX2DEC(A822)+B822,1))</f>
        <v>5</v>
      </c>
      <c r="D822" s="1" t="str">
        <f t="shared" si="126"/>
        <v>334</v>
      </c>
      <c r="E822">
        <f>HEX2DEC(MID(Hex!$C$8,1+HEX2DEC(Edit!D822)*2,2))</f>
        <v>0</v>
      </c>
      <c r="F822">
        <f t="shared" si="127"/>
        <v>820</v>
      </c>
      <c r="G822" t="str">
        <f>_xlfn.LET(_xlpm.custom,_xlfn.XLOOKUP(F822,Data!A:A,Data!C:C),IF(_xlpm.custom="",_xlfn.XLOOKUP(F822,Data!A:A,Data!B:B),_xlpm.custom))</f>
        <v>Ghostium U</v>
      </c>
      <c r="H822" t="str">
        <f>_xlfn.XLOOKUP(C822,Data!A:A,Data!E:E)</f>
        <v>Z-Crystal (Bag Version)</v>
      </c>
      <c r="J822">
        <f>IF(I822="",C822,_xlfn.XLOOKUP(I822,Data!E:E,Data!A:A,""))</f>
        <v>5</v>
      </c>
      <c r="L822">
        <f t="shared" si="121"/>
        <v>0</v>
      </c>
      <c r="M822">
        <f t="shared" si="122"/>
        <v>0</v>
      </c>
      <c r="N822">
        <f t="shared" si="130"/>
        <v>0</v>
      </c>
      <c r="O822">
        <f t="shared" si="123"/>
        <v>0</v>
      </c>
      <c r="P822">
        <f t="shared" si="124"/>
        <v>0</v>
      </c>
      <c r="R822" t="str">
        <f t="shared" si="125"/>
        <v>00</v>
      </c>
    </row>
    <row r="823" spans="1:18" x14ac:dyDescent="0.4">
      <c r="A823" s="1" t="str">
        <f t="shared" si="128"/>
        <v>19A</v>
      </c>
      <c r="B823">
        <f t="shared" si="129"/>
        <v>1</v>
      </c>
      <c r="C823">
        <f>VALUE(MID(Hex!$C$2,1+2*HEX2DEC(A823)+B823,1))</f>
        <v>5</v>
      </c>
      <c r="D823" s="1" t="str">
        <f t="shared" si="126"/>
        <v>335</v>
      </c>
      <c r="E823">
        <f>HEX2DEC(MID(Hex!$C$8,1+HEX2DEC(Edit!D823)*2,2))</f>
        <v>0</v>
      </c>
      <c r="F823">
        <f t="shared" si="127"/>
        <v>821</v>
      </c>
      <c r="G823" t="str">
        <f>_xlfn.LET(_xlpm.custom,_xlfn.XLOOKUP(F823,Data!A:A,Data!C:C),IF(_xlpm.custom="",_xlfn.XLOOKUP(F823,Data!A:A,Data!B:B),_xlpm.custom))</f>
        <v>Dragonium U</v>
      </c>
      <c r="H823" t="str">
        <f>_xlfn.XLOOKUP(C823,Data!A:A,Data!E:E)</f>
        <v>Z-Crystal (Bag Version)</v>
      </c>
      <c r="J823">
        <f>IF(I823="",C823,_xlfn.XLOOKUP(I823,Data!E:E,Data!A:A,""))</f>
        <v>5</v>
      </c>
      <c r="L823">
        <f t="shared" si="121"/>
        <v>0</v>
      </c>
      <c r="M823">
        <f t="shared" si="122"/>
        <v>0</v>
      </c>
      <c r="N823">
        <f t="shared" si="130"/>
        <v>0</v>
      </c>
      <c r="O823">
        <f t="shared" si="123"/>
        <v>0</v>
      </c>
      <c r="P823">
        <f t="shared" si="124"/>
        <v>0</v>
      </c>
      <c r="R823" t="str">
        <f t="shared" si="125"/>
        <v>00</v>
      </c>
    </row>
    <row r="824" spans="1:18" x14ac:dyDescent="0.4">
      <c r="A824" s="1" t="str">
        <f t="shared" si="128"/>
        <v>19B</v>
      </c>
      <c r="B824">
        <f t="shared" si="129"/>
        <v>0</v>
      </c>
      <c r="C824">
        <f>VALUE(MID(Hex!$C$2,1+2*HEX2DEC(A824)+B824,1))</f>
        <v>5</v>
      </c>
      <c r="D824" s="1" t="str">
        <f t="shared" si="126"/>
        <v>336</v>
      </c>
      <c r="E824">
        <f>HEX2DEC(MID(Hex!$C$8,1+HEX2DEC(Edit!D824)*2,2))</f>
        <v>0</v>
      </c>
      <c r="F824">
        <f t="shared" si="127"/>
        <v>822</v>
      </c>
      <c r="G824" t="str">
        <f>_xlfn.LET(_xlpm.custom,_xlfn.XLOOKUP(F824,Data!A:A,Data!C:C),IF(_xlpm.custom="",_xlfn.XLOOKUP(F824,Data!A:A,Data!B:B),_xlpm.custom))</f>
        <v>Darkinium U</v>
      </c>
      <c r="H824" t="str">
        <f>_xlfn.XLOOKUP(C824,Data!A:A,Data!E:E)</f>
        <v>Z-Crystal (Bag Version)</v>
      </c>
      <c r="J824">
        <f>IF(I824="",C824,_xlfn.XLOOKUP(I824,Data!E:E,Data!A:A,""))</f>
        <v>5</v>
      </c>
      <c r="L824">
        <f t="shared" si="121"/>
        <v>0</v>
      </c>
      <c r="M824">
        <f t="shared" si="122"/>
        <v>0</v>
      </c>
      <c r="N824">
        <f t="shared" si="130"/>
        <v>0</v>
      </c>
      <c r="O824">
        <f t="shared" si="123"/>
        <v>0</v>
      </c>
      <c r="P824">
        <f t="shared" si="124"/>
        <v>0</v>
      </c>
      <c r="R824" t="str">
        <f t="shared" si="125"/>
        <v>00</v>
      </c>
    </row>
    <row r="825" spans="1:18" x14ac:dyDescent="0.4">
      <c r="A825" s="1" t="str">
        <f t="shared" si="128"/>
        <v>19B</v>
      </c>
      <c r="B825">
        <f t="shared" si="129"/>
        <v>1</v>
      </c>
      <c r="C825">
        <f>VALUE(MID(Hex!$C$2,1+2*HEX2DEC(A825)+B825,1))</f>
        <v>5</v>
      </c>
      <c r="D825" s="1" t="str">
        <f t="shared" si="126"/>
        <v>337</v>
      </c>
      <c r="E825">
        <f>HEX2DEC(MID(Hex!$C$8,1+HEX2DEC(Edit!D825)*2,2))</f>
        <v>0</v>
      </c>
      <c r="F825">
        <f t="shared" si="127"/>
        <v>823</v>
      </c>
      <c r="G825" t="str">
        <f>_xlfn.LET(_xlpm.custom,_xlfn.XLOOKUP(F825,Data!A:A,Data!C:C),IF(_xlpm.custom="",_xlfn.XLOOKUP(F825,Data!A:A,Data!B:B),_xlpm.custom))</f>
        <v>Steelium U</v>
      </c>
      <c r="H825" t="str">
        <f>_xlfn.XLOOKUP(C825,Data!A:A,Data!E:E)</f>
        <v>Z-Crystal (Bag Version)</v>
      </c>
      <c r="J825">
        <f>IF(I825="",C825,_xlfn.XLOOKUP(I825,Data!E:E,Data!A:A,""))</f>
        <v>5</v>
      </c>
      <c r="L825">
        <f t="shared" si="121"/>
        <v>0</v>
      </c>
      <c r="M825">
        <f t="shared" si="122"/>
        <v>0</v>
      </c>
      <c r="N825">
        <f t="shared" si="130"/>
        <v>0</v>
      </c>
      <c r="O825">
        <f t="shared" si="123"/>
        <v>0</v>
      </c>
      <c r="P825">
        <f t="shared" si="124"/>
        <v>0</v>
      </c>
      <c r="R825" t="str">
        <f t="shared" si="125"/>
        <v>00</v>
      </c>
    </row>
    <row r="826" spans="1:18" x14ac:dyDescent="0.4">
      <c r="A826" s="1" t="str">
        <f t="shared" si="128"/>
        <v>19C</v>
      </c>
      <c r="B826">
        <f t="shared" si="129"/>
        <v>0</v>
      </c>
      <c r="C826">
        <f>VALUE(MID(Hex!$C$2,1+2*HEX2DEC(A826)+B826,1))</f>
        <v>5</v>
      </c>
      <c r="D826" s="1" t="str">
        <f t="shared" si="126"/>
        <v>338</v>
      </c>
      <c r="E826">
        <f>HEX2DEC(MID(Hex!$C$8,1+HEX2DEC(Edit!D826)*2,2))</f>
        <v>0</v>
      </c>
      <c r="F826">
        <f t="shared" si="127"/>
        <v>824</v>
      </c>
      <c r="G826" t="str">
        <f>_xlfn.LET(_xlpm.custom,_xlfn.XLOOKUP(F826,Data!A:A,Data!C:C),IF(_xlpm.custom="",_xlfn.XLOOKUP(F826,Data!A:A,Data!B:B),_xlpm.custom))</f>
        <v>Fairium U</v>
      </c>
      <c r="H826" t="str">
        <f>_xlfn.XLOOKUP(C826,Data!A:A,Data!E:E)</f>
        <v>Z-Crystal (Bag Version)</v>
      </c>
      <c r="J826">
        <f>IF(I826="",C826,_xlfn.XLOOKUP(I826,Data!E:E,Data!A:A,""))</f>
        <v>5</v>
      </c>
      <c r="L826">
        <f t="shared" si="121"/>
        <v>0</v>
      </c>
      <c r="M826">
        <f t="shared" si="122"/>
        <v>0</v>
      </c>
      <c r="N826">
        <f t="shared" si="130"/>
        <v>0</v>
      </c>
      <c r="O826">
        <f t="shared" si="123"/>
        <v>0</v>
      </c>
      <c r="P826">
        <f t="shared" si="124"/>
        <v>0</v>
      </c>
      <c r="R826" t="str">
        <f t="shared" si="125"/>
        <v>00</v>
      </c>
    </row>
    <row r="827" spans="1:18" x14ac:dyDescent="0.4">
      <c r="A827" s="1" t="str">
        <f t="shared" si="128"/>
        <v>19C</v>
      </c>
      <c r="B827">
        <f t="shared" si="129"/>
        <v>1</v>
      </c>
      <c r="C827">
        <f>VALUE(MID(Hex!$C$2,1+2*HEX2DEC(A827)+B827,1))</f>
        <v>5</v>
      </c>
      <c r="D827" s="1" t="str">
        <f t="shared" si="126"/>
        <v>339</v>
      </c>
      <c r="E827">
        <f>HEX2DEC(MID(Hex!$C$8,1+HEX2DEC(Edit!D827)*2,2))</f>
        <v>0</v>
      </c>
      <c r="F827">
        <f t="shared" si="127"/>
        <v>825</v>
      </c>
      <c r="G827" t="str">
        <f>_xlfn.LET(_xlpm.custom,_xlfn.XLOOKUP(F827,Data!A:A,Data!C:C),IF(_xlpm.custom="",_xlfn.XLOOKUP(F827,Data!A:A,Data!B:B),_xlpm.custom))</f>
        <v>Pikanium U</v>
      </c>
      <c r="H827" t="str">
        <f>_xlfn.XLOOKUP(C827,Data!A:A,Data!E:E)</f>
        <v>Z-Crystal (Bag Version)</v>
      </c>
      <c r="J827">
        <f>IF(I827="",C827,_xlfn.XLOOKUP(I827,Data!E:E,Data!A:A,""))</f>
        <v>5</v>
      </c>
      <c r="L827">
        <f t="shared" si="121"/>
        <v>0</v>
      </c>
      <c r="M827">
        <f t="shared" si="122"/>
        <v>0</v>
      </c>
      <c r="N827">
        <f t="shared" si="130"/>
        <v>0</v>
      </c>
      <c r="O827">
        <f t="shared" si="123"/>
        <v>0</v>
      </c>
      <c r="P827">
        <f t="shared" si="124"/>
        <v>0</v>
      </c>
      <c r="R827" t="str">
        <f t="shared" si="125"/>
        <v>00</v>
      </c>
    </row>
    <row r="828" spans="1:18" x14ac:dyDescent="0.4">
      <c r="A828" s="1" t="str">
        <f t="shared" si="128"/>
        <v>19D</v>
      </c>
      <c r="B828">
        <f t="shared" si="129"/>
        <v>0</v>
      </c>
      <c r="C828">
        <f>VALUE(MID(Hex!$C$2,1+2*HEX2DEC(A828)+B828,1))</f>
        <v>5</v>
      </c>
      <c r="D828" s="1" t="str">
        <f t="shared" si="126"/>
        <v>33A</v>
      </c>
      <c r="E828">
        <f>HEX2DEC(MID(Hex!$C$8,1+HEX2DEC(Edit!D828)*2,2))</f>
        <v>0</v>
      </c>
      <c r="F828">
        <f t="shared" si="127"/>
        <v>826</v>
      </c>
      <c r="G828" t="str">
        <f>_xlfn.LET(_xlpm.custom,_xlfn.XLOOKUP(F828,Data!A:A,Data!C:C),IF(_xlpm.custom="",_xlfn.XLOOKUP(F828,Data!A:A,Data!B:B),_xlpm.custom))</f>
        <v>Decidium U</v>
      </c>
      <c r="H828" t="str">
        <f>_xlfn.XLOOKUP(C828,Data!A:A,Data!E:E)</f>
        <v>Z-Crystal (Bag Version)</v>
      </c>
      <c r="J828">
        <f>IF(I828="",C828,_xlfn.XLOOKUP(I828,Data!E:E,Data!A:A,""))</f>
        <v>5</v>
      </c>
      <c r="L828">
        <f t="shared" si="121"/>
        <v>0</v>
      </c>
      <c r="M828">
        <f t="shared" si="122"/>
        <v>0</v>
      </c>
      <c r="N828">
        <f t="shared" si="130"/>
        <v>0</v>
      </c>
      <c r="O828">
        <f t="shared" si="123"/>
        <v>0</v>
      </c>
      <c r="P828">
        <f t="shared" si="124"/>
        <v>0</v>
      </c>
      <c r="R828" t="str">
        <f t="shared" si="125"/>
        <v>00</v>
      </c>
    </row>
    <row r="829" spans="1:18" x14ac:dyDescent="0.4">
      <c r="A829" s="1" t="str">
        <f t="shared" si="128"/>
        <v>19D</v>
      </c>
      <c r="B829">
        <f t="shared" si="129"/>
        <v>1</v>
      </c>
      <c r="C829">
        <f>VALUE(MID(Hex!$C$2,1+2*HEX2DEC(A829)+B829,1))</f>
        <v>5</v>
      </c>
      <c r="D829" s="1" t="str">
        <f t="shared" si="126"/>
        <v>33B</v>
      </c>
      <c r="E829">
        <f>HEX2DEC(MID(Hex!$C$8,1+HEX2DEC(Edit!D829)*2,2))</f>
        <v>0</v>
      </c>
      <c r="F829">
        <f t="shared" si="127"/>
        <v>827</v>
      </c>
      <c r="G829" t="str">
        <f>_xlfn.LET(_xlpm.custom,_xlfn.XLOOKUP(F829,Data!A:A,Data!C:C),IF(_xlpm.custom="",_xlfn.XLOOKUP(F829,Data!A:A,Data!B:B),_xlpm.custom))</f>
        <v>Incinium U</v>
      </c>
      <c r="H829" t="str">
        <f>_xlfn.XLOOKUP(C829,Data!A:A,Data!E:E)</f>
        <v>Z-Crystal (Bag Version)</v>
      </c>
      <c r="J829">
        <f>IF(I829="",C829,_xlfn.XLOOKUP(I829,Data!E:E,Data!A:A,""))</f>
        <v>5</v>
      </c>
      <c r="L829">
        <f t="shared" si="121"/>
        <v>0</v>
      </c>
      <c r="M829">
        <f t="shared" si="122"/>
        <v>0</v>
      </c>
      <c r="N829">
        <f t="shared" si="130"/>
        <v>0</v>
      </c>
      <c r="O829">
        <f t="shared" si="123"/>
        <v>0</v>
      </c>
      <c r="P829">
        <f t="shared" si="124"/>
        <v>0</v>
      </c>
      <c r="R829" t="str">
        <f t="shared" si="125"/>
        <v>00</v>
      </c>
    </row>
    <row r="830" spans="1:18" x14ac:dyDescent="0.4">
      <c r="A830" s="1" t="str">
        <f t="shared" si="128"/>
        <v>19E</v>
      </c>
      <c r="B830">
        <f t="shared" si="129"/>
        <v>0</v>
      </c>
      <c r="C830">
        <f>VALUE(MID(Hex!$C$2,1+2*HEX2DEC(A830)+B830,1))</f>
        <v>5</v>
      </c>
      <c r="D830" s="1" t="str">
        <f t="shared" si="126"/>
        <v>33C</v>
      </c>
      <c r="E830">
        <f>HEX2DEC(MID(Hex!$C$8,1+HEX2DEC(Edit!D830)*2,2))</f>
        <v>0</v>
      </c>
      <c r="F830">
        <f t="shared" si="127"/>
        <v>828</v>
      </c>
      <c r="G830" t="str">
        <f>_xlfn.LET(_xlpm.custom,_xlfn.XLOOKUP(F830,Data!A:A,Data!C:C),IF(_xlpm.custom="",_xlfn.XLOOKUP(F830,Data!A:A,Data!B:B),_xlpm.custom))</f>
        <v>Primarium U</v>
      </c>
      <c r="H830" t="str">
        <f>_xlfn.XLOOKUP(C830,Data!A:A,Data!E:E)</f>
        <v>Z-Crystal (Bag Version)</v>
      </c>
      <c r="J830">
        <f>IF(I830="",C830,_xlfn.XLOOKUP(I830,Data!E:E,Data!A:A,""))</f>
        <v>5</v>
      </c>
      <c r="L830">
        <f t="shared" si="121"/>
        <v>0</v>
      </c>
      <c r="M830">
        <f t="shared" si="122"/>
        <v>0</v>
      </c>
      <c r="N830">
        <f t="shared" si="130"/>
        <v>0</v>
      </c>
      <c r="O830">
        <f t="shared" si="123"/>
        <v>0</v>
      </c>
      <c r="P830">
        <f t="shared" si="124"/>
        <v>0</v>
      </c>
      <c r="R830" t="str">
        <f t="shared" si="125"/>
        <v>00</v>
      </c>
    </row>
    <row r="831" spans="1:18" x14ac:dyDescent="0.4">
      <c r="A831" s="1" t="str">
        <f t="shared" si="128"/>
        <v>19E</v>
      </c>
      <c r="B831">
        <f t="shared" si="129"/>
        <v>1</v>
      </c>
      <c r="C831">
        <f>VALUE(MID(Hex!$C$2,1+2*HEX2DEC(A831)+B831,1))</f>
        <v>5</v>
      </c>
      <c r="D831" s="1" t="str">
        <f t="shared" si="126"/>
        <v>33D</v>
      </c>
      <c r="E831">
        <f>HEX2DEC(MID(Hex!$C$8,1+HEX2DEC(Edit!D831)*2,2))</f>
        <v>0</v>
      </c>
      <c r="F831">
        <f t="shared" si="127"/>
        <v>829</v>
      </c>
      <c r="G831" t="str">
        <f>_xlfn.LET(_xlpm.custom,_xlfn.XLOOKUP(F831,Data!A:A,Data!C:C),IF(_xlpm.custom="",_xlfn.XLOOKUP(F831,Data!A:A,Data!B:B),_xlpm.custom))</f>
        <v>Tapunium U</v>
      </c>
      <c r="H831" t="str">
        <f>_xlfn.XLOOKUP(C831,Data!A:A,Data!E:E)</f>
        <v>Z-Crystal (Bag Version)</v>
      </c>
      <c r="J831">
        <f>IF(I831="",C831,_xlfn.XLOOKUP(I831,Data!E:E,Data!A:A,""))</f>
        <v>5</v>
      </c>
      <c r="L831">
        <f t="shared" si="121"/>
        <v>0</v>
      </c>
      <c r="M831">
        <f t="shared" si="122"/>
        <v>0</v>
      </c>
      <c r="N831">
        <f t="shared" si="130"/>
        <v>0</v>
      </c>
      <c r="O831">
        <f t="shared" si="123"/>
        <v>0</v>
      </c>
      <c r="P831">
        <f t="shared" si="124"/>
        <v>0</v>
      </c>
      <c r="R831" t="str">
        <f t="shared" si="125"/>
        <v>00</v>
      </c>
    </row>
    <row r="832" spans="1:18" x14ac:dyDescent="0.4">
      <c r="A832" s="1" t="str">
        <f t="shared" si="128"/>
        <v>19F</v>
      </c>
      <c r="B832">
        <f t="shared" si="129"/>
        <v>0</v>
      </c>
      <c r="C832">
        <f>VALUE(MID(Hex!$C$2,1+2*HEX2DEC(A832)+B832,1))</f>
        <v>5</v>
      </c>
      <c r="D832" s="1" t="str">
        <f t="shared" si="126"/>
        <v>33E</v>
      </c>
      <c r="E832">
        <f>HEX2DEC(MID(Hex!$C$8,1+HEX2DEC(Edit!D832)*2,2))</f>
        <v>0</v>
      </c>
      <c r="F832">
        <f t="shared" si="127"/>
        <v>830</v>
      </c>
      <c r="G832" t="str">
        <f>_xlfn.LET(_xlpm.custom,_xlfn.XLOOKUP(F832,Data!A:A,Data!C:C),IF(_xlpm.custom="",_xlfn.XLOOKUP(F832,Data!A:A,Data!B:B),_xlpm.custom))</f>
        <v>Marshadium U</v>
      </c>
      <c r="H832" t="str">
        <f>_xlfn.XLOOKUP(C832,Data!A:A,Data!E:E)</f>
        <v>Z-Crystal (Bag Version)</v>
      </c>
      <c r="J832">
        <f>IF(I832="",C832,_xlfn.XLOOKUP(I832,Data!E:E,Data!A:A,""))</f>
        <v>5</v>
      </c>
      <c r="L832">
        <f t="shared" si="121"/>
        <v>0</v>
      </c>
      <c r="M832">
        <f t="shared" si="122"/>
        <v>0</v>
      </c>
      <c r="N832">
        <f t="shared" si="130"/>
        <v>0</v>
      </c>
      <c r="O832">
        <f t="shared" si="123"/>
        <v>0</v>
      </c>
      <c r="P832">
        <f t="shared" si="124"/>
        <v>0</v>
      </c>
      <c r="R832" t="str">
        <f t="shared" si="125"/>
        <v>00</v>
      </c>
    </row>
    <row r="833" spans="1:18" x14ac:dyDescent="0.4">
      <c r="A833" s="1" t="str">
        <f t="shared" si="128"/>
        <v>19F</v>
      </c>
      <c r="B833">
        <f t="shared" si="129"/>
        <v>1</v>
      </c>
      <c r="C833">
        <f>VALUE(MID(Hex!$C$2,1+2*HEX2DEC(A833)+B833,1))</f>
        <v>5</v>
      </c>
      <c r="D833" s="1" t="str">
        <f t="shared" si="126"/>
        <v>33F</v>
      </c>
      <c r="E833">
        <f>HEX2DEC(MID(Hex!$C$8,1+HEX2DEC(Edit!D833)*2,2))</f>
        <v>0</v>
      </c>
      <c r="F833">
        <f t="shared" si="127"/>
        <v>831</v>
      </c>
      <c r="G833" t="str">
        <f>_xlfn.LET(_xlpm.custom,_xlfn.XLOOKUP(F833,Data!A:A,Data!C:C),IF(_xlpm.custom="",_xlfn.XLOOKUP(F833,Data!A:A,Data!B:B),_xlpm.custom))</f>
        <v>Aloraichium U</v>
      </c>
      <c r="H833" t="str">
        <f>_xlfn.XLOOKUP(C833,Data!A:A,Data!E:E)</f>
        <v>Z-Crystal (Bag Version)</v>
      </c>
      <c r="J833">
        <f>IF(I833="",C833,_xlfn.XLOOKUP(I833,Data!E:E,Data!A:A,""))</f>
        <v>5</v>
      </c>
      <c r="L833">
        <f t="shared" si="121"/>
        <v>0</v>
      </c>
      <c r="M833">
        <f t="shared" si="122"/>
        <v>0</v>
      </c>
      <c r="N833">
        <f t="shared" si="130"/>
        <v>0</v>
      </c>
      <c r="O833">
        <f t="shared" si="123"/>
        <v>0</v>
      </c>
      <c r="P833">
        <f t="shared" si="124"/>
        <v>0</v>
      </c>
      <c r="R833" t="str">
        <f t="shared" si="125"/>
        <v>00</v>
      </c>
    </row>
    <row r="834" spans="1:18" x14ac:dyDescent="0.4">
      <c r="A834" s="1" t="str">
        <f t="shared" si="128"/>
        <v>1A0</v>
      </c>
      <c r="B834">
        <f t="shared" si="129"/>
        <v>0</v>
      </c>
      <c r="C834">
        <f>VALUE(MID(Hex!$C$2,1+2*HEX2DEC(A834)+B834,1))</f>
        <v>5</v>
      </c>
      <c r="D834" s="1" t="str">
        <f t="shared" si="126"/>
        <v>340</v>
      </c>
      <c r="E834">
        <f>HEX2DEC(MID(Hex!$C$8,1+HEX2DEC(Edit!D834)*2,2))</f>
        <v>0</v>
      </c>
      <c r="F834">
        <f t="shared" si="127"/>
        <v>832</v>
      </c>
      <c r="G834" t="str">
        <f>_xlfn.LET(_xlpm.custom,_xlfn.XLOOKUP(F834,Data!A:A,Data!C:C),IF(_xlpm.custom="",_xlfn.XLOOKUP(F834,Data!A:A,Data!B:B),_xlpm.custom))</f>
        <v>Snorlium U</v>
      </c>
      <c r="H834" t="str">
        <f>_xlfn.XLOOKUP(C834,Data!A:A,Data!E:E)</f>
        <v>Z-Crystal (Bag Version)</v>
      </c>
      <c r="J834">
        <f>IF(I834="",C834,_xlfn.XLOOKUP(I834,Data!E:E,Data!A:A,""))</f>
        <v>5</v>
      </c>
      <c r="L834">
        <f t="shared" si="121"/>
        <v>0</v>
      </c>
      <c r="M834">
        <f t="shared" si="122"/>
        <v>0</v>
      </c>
      <c r="N834">
        <f t="shared" si="130"/>
        <v>0</v>
      </c>
      <c r="O834">
        <f t="shared" si="123"/>
        <v>0</v>
      </c>
      <c r="P834">
        <f t="shared" si="124"/>
        <v>0</v>
      </c>
      <c r="R834" t="str">
        <f t="shared" si="125"/>
        <v>00</v>
      </c>
    </row>
    <row r="835" spans="1:18" x14ac:dyDescent="0.4">
      <c r="A835" s="1" t="str">
        <f t="shared" si="128"/>
        <v>1A0</v>
      </c>
      <c r="B835">
        <f t="shared" si="129"/>
        <v>1</v>
      </c>
      <c r="C835">
        <f>VALUE(MID(Hex!$C$2,1+2*HEX2DEC(A835)+B835,1))</f>
        <v>5</v>
      </c>
      <c r="D835" s="1" t="str">
        <f t="shared" si="126"/>
        <v>341</v>
      </c>
      <c r="E835">
        <f>HEX2DEC(MID(Hex!$C$8,1+HEX2DEC(Edit!D835)*2,2))</f>
        <v>0</v>
      </c>
      <c r="F835">
        <f t="shared" si="127"/>
        <v>833</v>
      </c>
      <c r="G835" t="str">
        <f>_xlfn.LET(_xlpm.custom,_xlfn.XLOOKUP(F835,Data!A:A,Data!C:C),IF(_xlpm.custom="",_xlfn.XLOOKUP(F835,Data!A:A,Data!B:B),_xlpm.custom))</f>
        <v>Eevium U</v>
      </c>
      <c r="H835" t="str">
        <f>_xlfn.XLOOKUP(C835,Data!A:A,Data!E:E)</f>
        <v>Z-Crystal (Bag Version)</v>
      </c>
      <c r="J835">
        <f>IF(I835="",C835,_xlfn.XLOOKUP(I835,Data!E:E,Data!A:A,""))</f>
        <v>5</v>
      </c>
      <c r="L835">
        <f t="shared" ref="L835:L898" si="131">_xlfn.BITAND(E835,1)</f>
        <v>0</v>
      </c>
      <c r="M835">
        <f t="shared" ref="M835:M898" si="132">_xlfn.BITAND($E835,2)</f>
        <v>0</v>
      </c>
      <c r="N835">
        <f t="shared" si="130"/>
        <v>0</v>
      </c>
      <c r="O835">
        <f t="shared" ref="O835:O898" si="133">_xlfn.BITAND($E835,8)</f>
        <v>0</v>
      </c>
      <c r="P835">
        <f t="shared" ref="P835:P898" si="134">_xlfn.BITAND($E835,16)</f>
        <v>0</v>
      </c>
      <c r="R835" t="str">
        <f t="shared" ref="R835:R898" si="135">DEC2HEX(SUM(L835:P835),2)</f>
        <v>00</v>
      </c>
    </row>
    <row r="836" spans="1:18" x14ac:dyDescent="0.4">
      <c r="A836" s="1" t="str">
        <f t="shared" si="128"/>
        <v>1A1</v>
      </c>
      <c r="B836">
        <f t="shared" si="129"/>
        <v>0</v>
      </c>
      <c r="C836">
        <f>VALUE(MID(Hex!$C$2,1+2*HEX2DEC(A836)+B836,1))</f>
        <v>5</v>
      </c>
      <c r="D836" s="1" t="str">
        <f t="shared" ref="D836:D899" si="136">DEC2HEX(1+HEX2DEC(D835),3)</f>
        <v>342</v>
      </c>
      <c r="E836">
        <f>HEX2DEC(MID(Hex!$C$8,1+HEX2DEC(Edit!D836)*2,2))</f>
        <v>0</v>
      </c>
      <c r="F836">
        <f t="shared" ref="F836:F899" si="137">F835+1</f>
        <v>834</v>
      </c>
      <c r="G836" t="str">
        <f>_xlfn.LET(_xlpm.custom,_xlfn.XLOOKUP(F836,Data!A:A,Data!C:C),IF(_xlpm.custom="",_xlfn.XLOOKUP(F836,Data!A:A,Data!B:B),_xlpm.custom))</f>
        <v>Mewnium U</v>
      </c>
      <c r="H836" t="str">
        <f>_xlfn.XLOOKUP(C836,Data!A:A,Data!E:E)</f>
        <v>Z-Crystal (Bag Version)</v>
      </c>
      <c r="J836">
        <f>IF(I836="",C836,_xlfn.XLOOKUP(I836,Data!E:E,Data!A:A,""))</f>
        <v>5</v>
      </c>
      <c r="L836">
        <f t="shared" si="131"/>
        <v>0</v>
      </c>
      <c r="M836">
        <f t="shared" si="132"/>
        <v>0</v>
      </c>
      <c r="N836">
        <f t="shared" si="130"/>
        <v>0</v>
      </c>
      <c r="O836">
        <f t="shared" si="133"/>
        <v>0</v>
      </c>
      <c r="P836">
        <f t="shared" si="134"/>
        <v>0</v>
      </c>
      <c r="R836" t="str">
        <f t="shared" si="135"/>
        <v>00</v>
      </c>
    </row>
    <row r="837" spans="1:18" x14ac:dyDescent="0.4">
      <c r="A837" s="1" t="str">
        <f t="shared" ref="A837:A900" si="138">DEC2HEX(1+HEX2DEC(A835),3)</f>
        <v>1A1</v>
      </c>
      <c r="B837">
        <f t="shared" ref="B837:B900" si="139">B835</f>
        <v>1</v>
      </c>
      <c r="C837">
        <f>VALUE(MID(Hex!$C$2,1+2*HEX2DEC(A837)+B837,1))</f>
        <v>5</v>
      </c>
      <c r="D837" s="1" t="str">
        <f t="shared" si="136"/>
        <v>343</v>
      </c>
      <c r="E837">
        <f>HEX2DEC(MID(Hex!$C$8,1+HEX2DEC(Edit!D837)*2,2))</f>
        <v>0</v>
      </c>
      <c r="F837">
        <f t="shared" si="137"/>
        <v>835</v>
      </c>
      <c r="G837" t="str">
        <f>_xlfn.LET(_xlpm.custom,_xlfn.XLOOKUP(F837,Data!A:A,Data!C:C),IF(_xlpm.custom="",_xlfn.XLOOKUP(F837,Data!A:A,Data!B:B),_xlpm.custom))</f>
        <v>Pikashunium U</v>
      </c>
      <c r="H837" t="str">
        <f>_xlfn.XLOOKUP(C837,Data!A:A,Data!E:E)</f>
        <v>Z-Crystal (Bag Version)</v>
      </c>
      <c r="J837">
        <f>IF(I837="",C837,_xlfn.XLOOKUP(I837,Data!E:E,Data!A:A,""))</f>
        <v>5</v>
      </c>
      <c r="L837">
        <f t="shared" si="131"/>
        <v>0</v>
      </c>
      <c r="M837">
        <f t="shared" si="132"/>
        <v>0</v>
      </c>
      <c r="N837">
        <f t="shared" si="130"/>
        <v>0</v>
      </c>
      <c r="O837">
        <f t="shared" si="133"/>
        <v>0</v>
      </c>
      <c r="P837">
        <f t="shared" si="134"/>
        <v>0</v>
      </c>
      <c r="R837" t="str">
        <f t="shared" si="135"/>
        <v>00</v>
      </c>
    </row>
    <row r="838" spans="1:18" x14ac:dyDescent="0.4">
      <c r="A838" s="1" t="str">
        <f t="shared" si="138"/>
        <v>1A2</v>
      </c>
      <c r="B838">
        <f t="shared" si="139"/>
        <v>0</v>
      </c>
      <c r="C838">
        <f>VALUE(MID(Hex!$C$2,1+2*HEX2DEC(A838)+B838,1))</f>
        <v>7</v>
      </c>
      <c r="D838" s="1" t="str">
        <f t="shared" si="136"/>
        <v>344</v>
      </c>
      <c r="E838">
        <f>HEX2DEC(MID(Hex!$C$8,1+HEX2DEC(Edit!D838)*2,2))</f>
        <v>0</v>
      </c>
      <c r="F838">
        <f t="shared" si="137"/>
        <v>836</v>
      </c>
      <c r="G838" t="str">
        <f>_xlfn.LET(_xlpm.custom,_xlfn.XLOOKUP(F838,Data!A:A,Data!C:C),IF(_xlpm.custom="",_xlfn.XLOOKUP(F838,Data!A:A,Data!B:B),_xlpm.custom))</f>
        <v>Pikashunium Z</v>
      </c>
      <c r="H838" t="str">
        <f>_xlfn.XLOOKUP(C838,Data!A:A,Data!E:E)</f>
        <v>Z-Crystal (Hold Version)</v>
      </c>
      <c r="J838">
        <f>IF(I838="",C838,_xlfn.XLOOKUP(I838,Data!E:E,Data!A:A,""))</f>
        <v>7</v>
      </c>
      <c r="L838">
        <f t="shared" si="131"/>
        <v>0</v>
      </c>
      <c r="M838">
        <f t="shared" si="132"/>
        <v>0</v>
      </c>
      <c r="N838">
        <f t="shared" si="130"/>
        <v>0</v>
      </c>
      <c r="O838">
        <f t="shared" si="133"/>
        <v>0</v>
      </c>
      <c r="P838">
        <f t="shared" si="134"/>
        <v>0</v>
      </c>
      <c r="R838" t="str">
        <f t="shared" si="135"/>
        <v>00</v>
      </c>
    </row>
    <row r="839" spans="1:18" x14ac:dyDescent="0.4">
      <c r="A839" s="1" t="str">
        <f t="shared" si="138"/>
        <v>1A2</v>
      </c>
      <c r="B839">
        <f t="shared" si="139"/>
        <v>1</v>
      </c>
      <c r="C839">
        <f>VALUE(MID(Hex!$C$2,1+2*HEX2DEC(A839)+B839,1))</f>
        <v>0</v>
      </c>
      <c r="D839" s="1" t="str">
        <f t="shared" si="136"/>
        <v>345</v>
      </c>
      <c r="E839">
        <f>HEX2DEC(MID(Hex!$C$8,1+HEX2DEC(Edit!D839)*2,2))</f>
        <v>0</v>
      </c>
      <c r="F839">
        <f t="shared" si="137"/>
        <v>837</v>
      </c>
      <c r="G839" t="str">
        <f>_xlfn.LET(_xlpm.custom,_xlfn.XLOOKUP(F839,Data!A:A,Data!C:C),IF(_xlpm.custom="",_xlfn.XLOOKUP(F839,Data!A:A,Data!B:B),_xlpm.custom))</f>
        <v>Victreebelite</v>
      </c>
      <c r="H839" t="str">
        <f>_xlfn.XLOOKUP(C839,Data!A:A,Data!E:E)</f>
        <v>General</v>
      </c>
      <c r="J839">
        <f>IF(I839="",C839,_xlfn.XLOOKUP(I839,Data!E:E,Data!A:A,""))</f>
        <v>0</v>
      </c>
      <c r="L839">
        <f t="shared" si="131"/>
        <v>0</v>
      </c>
      <c r="M839">
        <f t="shared" si="132"/>
        <v>0</v>
      </c>
      <c r="N839">
        <f t="shared" si="130"/>
        <v>0</v>
      </c>
      <c r="O839">
        <f t="shared" si="133"/>
        <v>0</v>
      </c>
      <c r="P839">
        <f t="shared" si="134"/>
        <v>0</v>
      </c>
      <c r="R839" t="str">
        <f t="shared" si="135"/>
        <v>00</v>
      </c>
    </row>
    <row r="840" spans="1:18" x14ac:dyDescent="0.4">
      <c r="A840" s="1" t="str">
        <f t="shared" si="138"/>
        <v>1A3</v>
      </c>
      <c r="B840">
        <f t="shared" si="139"/>
        <v>0</v>
      </c>
      <c r="C840">
        <f>VALUE(MID(Hex!$C$2,1+2*HEX2DEC(A840)+B840,1))</f>
        <v>0</v>
      </c>
      <c r="D840" s="1" t="str">
        <f t="shared" si="136"/>
        <v>346</v>
      </c>
      <c r="E840">
        <f>HEX2DEC(MID(Hex!$C$8,1+HEX2DEC(Edit!D840)*2,2))</f>
        <v>0</v>
      </c>
      <c r="F840">
        <f t="shared" si="137"/>
        <v>838</v>
      </c>
      <c r="G840" t="str">
        <f>_xlfn.LET(_xlpm.custom,_xlfn.XLOOKUP(F840,Data!A:A,Data!C:C),IF(_xlpm.custom="",_xlfn.XLOOKUP(F840,Data!A:A,Data!B:B),_xlpm.custom))</f>
        <v>Aurorite</v>
      </c>
      <c r="H840" t="str">
        <f>_xlfn.XLOOKUP(C840,Data!A:A,Data!E:E)</f>
        <v>General</v>
      </c>
      <c r="J840">
        <f>IF(I840="",C840,_xlfn.XLOOKUP(I840,Data!E:E,Data!A:A,""))</f>
        <v>0</v>
      </c>
      <c r="L840">
        <f t="shared" si="131"/>
        <v>0</v>
      </c>
      <c r="M840">
        <f t="shared" si="132"/>
        <v>0</v>
      </c>
      <c r="N840">
        <f t="shared" si="130"/>
        <v>0</v>
      </c>
      <c r="O840">
        <f t="shared" si="133"/>
        <v>0</v>
      </c>
      <c r="P840">
        <f t="shared" si="134"/>
        <v>0</v>
      </c>
      <c r="R840" t="str">
        <f t="shared" si="135"/>
        <v>00</v>
      </c>
    </row>
    <row r="841" spans="1:18" x14ac:dyDescent="0.4">
      <c r="A841" s="1" t="str">
        <f t="shared" si="138"/>
        <v>1A3</v>
      </c>
      <c r="B841">
        <f t="shared" si="139"/>
        <v>1</v>
      </c>
      <c r="C841">
        <f>VALUE(MID(Hex!$C$2,1+2*HEX2DEC(A841)+B841,1))</f>
        <v>0</v>
      </c>
      <c r="D841" s="1" t="str">
        <f t="shared" si="136"/>
        <v>347</v>
      </c>
      <c r="E841">
        <f>HEX2DEC(MID(Hex!$C$8,1+HEX2DEC(Edit!D841)*2,2))</f>
        <v>0</v>
      </c>
      <c r="F841">
        <f t="shared" si="137"/>
        <v>839</v>
      </c>
      <c r="G841" t="str">
        <f>_xlfn.LET(_xlpm.custom,_xlfn.XLOOKUP(F841,Data!A:A,Data!C:C),IF(_xlpm.custom="",_xlfn.XLOOKUP(F841,Data!A:A,Data!B:B),_xlpm.custom))</f>
        <v>Aegislashite</v>
      </c>
      <c r="H841" t="str">
        <f>_xlfn.XLOOKUP(C841,Data!A:A,Data!E:E)</f>
        <v>General</v>
      </c>
      <c r="J841">
        <f>IF(I841="",C841,_xlfn.XLOOKUP(I841,Data!E:E,Data!A:A,""))</f>
        <v>0</v>
      </c>
      <c r="L841">
        <f t="shared" si="131"/>
        <v>0</v>
      </c>
      <c r="M841">
        <f t="shared" si="132"/>
        <v>0</v>
      </c>
      <c r="N841">
        <f t="shared" si="130"/>
        <v>0</v>
      </c>
      <c r="O841">
        <f t="shared" si="133"/>
        <v>0</v>
      </c>
      <c r="P841">
        <f t="shared" si="134"/>
        <v>0</v>
      </c>
      <c r="R841" t="str">
        <f t="shared" si="135"/>
        <v>00</v>
      </c>
    </row>
    <row r="842" spans="1:18" x14ac:dyDescent="0.4">
      <c r="A842" s="1" t="str">
        <f t="shared" si="138"/>
        <v>1A4</v>
      </c>
      <c r="B842">
        <f t="shared" si="139"/>
        <v>0</v>
      </c>
      <c r="C842">
        <f>VALUE(MID(Hex!$C$2,1+2*HEX2DEC(A842)+B842,1))</f>
        <v>0</v>
      </c>
      <c r="D842" s="1" t="str">
        <f t="shared" si="136"/>
        <v>348</v>
      </c>
      <c r="E842">
        <f>HEX2DEC(MID(Hex!$C$8,1+HEX2DEC(Edit!D842)*2,2))</f>
        <v>0</v>
      </c>
      <c r="F842">
        <f t="shared" si="137"/>
        <v>840</v>
      </c>
      <c r="G842" t="str">
        <f>_xlfn.LET(_xlpm.custom,_xlfn.XLOOKUP(F842,Data!A:A,Data!C:C),IF(_xlpm.custom="",_xlfn.XLOOKUP(F842,Data!A:A,Data!B:B),_xlpm.custom))</f>
        <v>Golurkite</v>
      </c>
      <c r="H842" t="str">
        <f>_xlfn.XLOOKUP(C842,Data!A:A,Data!E:E)</f>
        <v>General</v>
      </c>
      <c r="J842">
        <f>IF(I842="",C842,_xlfn.XLOOKUP(I842,Data!E:E,Data!A:A,""))</f>
        <v>0</v>
      </c>
      <c r="L842">
        <f t="shared" si="131"/>
        <v>0</v>
      </c>
      <c r="M842">
        <f t="shared" si="132"/>
        <v>0</v>
      </c>
      <c r="N842">
        <f t="shared" si="130"/>
        <v>0</v>
      </c>
      <c r="O842">
        <f t="shared" si="133"/>
        <v>0</v>
      </c>
      <c r="P842">
        <f t="shared" si="134"/>
        <v>0</v>
      </c>
      <c r="R842" t="str">
        <f t="shared" si="135"/>
        <v>00</v>
      </c>
    </row>
    <row r="843" spans="1:18" x14ac:dyDescent="0.4">
      <c r="A843" s="1" t="str">
        <f t="shared" si="138"/>
        <v>1A4</v>
      </c>
      <c r="B843">
        <f t="shared" si="139"/>
        <v>1</v>
      </c>
      <c r="C843">
        <f>VALUE(MID(Hex!$C$2,1+2*HEX2DEC(A843)+B843,1))</f>
        <v>4</v>
      </c>
      <c r="D843" s="1" t="str">
        <f t="shared" si="136"/>
        <v>349</v>
      </c>
      <c r="E843">
        <f>HEX2DEC(MID(Hex!$C$8,1+HEX2DEC(Edit!D843)*2,2))</f>
        <v>0</v>
      </c>
      <c r="F843">
        <f t="shared" si="137"/>
        <v>841</v>
      </c>
      <c r="G843" t="str">
        <f>_xlfn.LET(_xlpm.custom,_xlfn.XLOOKUP(F843,Data!A:A,Data!C:C),IF(_xlpm.custom="",_xlfn.XLOOKUP(F843,Data!A:A,Data!B:B),_xlpm.custom))</f>
        <v>Forage Bag</v>
      </c>
      <c r="H843" t="str">
        <f>_xlfn.XLOOKUP(C843,Data!A:A,Data!E:E)</f>
        <v>Key</v>
      </c>
      <c r="J843">
        <f>IF(I843="",C843,_xlfn.XLOOKUP(I843,Data!E:E,Data!A:A,""))</f>
        <v>4</v>
      </c>
      <c r="L843">
        <f t="shared" si="131"/>
        <v>0</v>
      </c>
      <c r="M843">
        <f t="shared" si="132"/>
        <v>0</v>
      </c>
      <c r="N843">
        <f t="shared" si="130"/>
        <v>0</v>
      </c>
      <c r="O843">
        <f t="shared" si="133"/>
        <v>0</v>
      </c>
      <c r="P843">
        <f t="shared" si="134"/>
        <v>0</v>
      </c>
      <c r="R843" t="str">
        <f t="shared" si="135"/>
        <v>00</v>
      </c>
    </row>
    <row r="844" spans="1:18" x14ac:dyDescent="0.4">
      <c r="A844" s="1" t="str">
        <f t="shared" si="138"/>
        <v>1A5</v>
      </c>
      <c r="B844">
        <f t="shared" si="139"/>
        <v>0</v>
      </c>
      <c r="C844">
        <f>VALUE(MID(Hex!$C$2,1+2*HEX2DEC(A844)+B844,1))</f>
        <v>4</v>
      </c>
      <c r="D844" s="1" t="str">
        <f t="shared" si="136"/>
        <v>34A</v>
      </c>
      <c r="E844">
        <f>HEX2DEC(MID(Hex!$C$8,1+HEX2DEC(Edit!D844)*2,2))</f>
        <v>0</v>
      </c>
      <c r="F844">
        <f t="shared" si="137"/>
        <v>842</v>
      </c>
      <c r="G844" t="str">
        <f>_xlfn.LET(_xlpm.custom,_xlfn.XLOOKUP(F844,Data!A:A,Data!C:C),IF(_xlpm.custom="",_xlfn.XLOOKUP(F844,Data!A:A,Data!B:B),_xlpm.custom))</f>
        <v>Fishing Rod</v>
      </c>
      <c r="H844" t="str">
        <f>_xlfn.XLOOKUP(C844,Data!A:A,Data!E:E)</f>
        <v>Key</v>
      </c>
      <c r="J844">
        <f>IF(I844="",C844,_xlfn.XLOOKUP(I844,Data!E:E,Data!A:A,""))</f>
        <v>4</v>
      </c>
      <c r="L844">
        <f t="shared" si="131"/>
        <v>0</v>
      </c>
      <c r="M844">
        <f t="shared" si="132"/>
        <v>0</v>
      </c>
      <c r="N844">
        <f t="shared" si="130"/>
        <v>0</v>
      </c>
      <c r="O844">
        <f t="shared" si="133"/>
        <v>0</v>
      </c>
      <c r="P844">
        <f t="shared" si="134"/>
        <v>0</v>
      </c>
      <c r="R844" t="str">
        <f t="shared" si="135"/>
        <v>00</v>
      </c>
    </row>
    <row r="845" spans="1:18" x14ac:dyDescent="0.4">
      <c r="A845" s="1" t="str">
        <f t="shared" si="138"/>
        <v>1A5</v>
      </c>
      <c r="B845">
        <f t="shared" si="139"/>
        <v>1</v>
      </c>
      <c r="C845">
        <f>VALUE(MID(Hex!$C$2,1+2*HEX2DEC(A845)+B845,1))</f>
        <v>4</v>
      </c>
      <c r="D845" s="1" t="str">
        <f t="shared" si="136"/>
        <v>34B</v>
      </c>
      <c r="E845">
        <f>HEX2DEC(MID(Hex!$C$8,1+HEX2DEC(Edit!D845)*2,2))</f>
        <v>0</v>
      </c>
      <c r="F845">
        <f t="shared" si="137"/>
        <v>843</v>
      </c>
      <c r="G845" t="str">
        <f>_xlfn.LET(_xlpm.custom,_xlfn.XLOOKUP(F845,Data!A:A,Data!C:C),IF(_xlpm.custom="",_xlfn.XLOOKUP(F845,Data!A:A,Data!B:B),_xlpm.custom))</f>
        <v>Professor’s Mask</v>
      </c>
      <c r="H845" t="str">
        <f>_xlfn.XLOOKUP(C845,Data!A:A,Data!E:E)</f>
        <v>Key</v>
      </c>
      <c r="J845">
        <f>IF(I845="",C845,_xlfn.XLOOKUP(I845,Data!E:E,Data!A:A,""))</f>
        <v>4</v>
      </c>
      <c r="L845">
        <f t="shared" si="131"/>
        <v>0</v>
      </c>
      <c r="M845">
        <f t="shared" si="132"/>
        <v>0</v>
      </c>
      <c r="N845">
        <f t="shared" si="130"/>
        <v>0</v>
      </c>
      <c r="O845">
        <f t="shared" si="133"/>
        <v>0</v>
      </c>
      <c r="P845">
        <f t="shared" si="134"/>
        <v>0</v>
      </c>
      <c r="R845" t="str">
        <f t="shared" si="135"/>
        <v>00</v>
      </c>
    </row>
    <row r="846" spans="1:18" x14ac:dyDescent="0.4">
      <c r="A846" s="1" t="str">
        <f t="shared" si="138"/>
        <v>1A6</v>
      </c>
      <c r="B846">
        <f t="shared" si="139"/>
        <v>0</v>
      </c>
      <c r="C846">
        <f>VALUE(MID(Hex!$C$2,1+2*HEX2DEC(A846)+B846,1))</f>
        <v>0</v>
      </c>
      <c r="D846" s="1" t="str">
        <f t="shared" si="136"/>
        <v>34C</v>
      </c>
      <c r="E846">
        <f>HEX2DEC(MID(Hex!$C$8,1+HEX2DEC(Edit!D846)*2,2))</f>
        <v>0</v>
      </c>
      <c r="F846">
        <f t="shared" si="137"/>
        <v>844</v>
      </c>
      <c r="G846" t="str">
        <f>_xlfn.LET(_xlpm.custom,_xlfn.XLOOKUP(F846,Data!A:A,Data!C:C),IF(_xlpm.custom="",_xlfn.XLOOKUP(F846,Data!A:A,Data!B:B),_xlpm.custom))</f>
        <v>Festival Ticket</v>
      </c>
      <c r="H846" t="str">
        <f>_xlfn.XLOOKUP(C846,Data!A:A,Data!E:E)</f>
        <v>General</v>
      </c>
      <c r="J846">
        <f>IF(I846="",C846,_xlfn.XLOOKUP(I846,Data!E:E,Data!A:A,""))</f>
        <v>0</v>
      </c>
      <c r="L846">
        <f t="shared" si="131"/>
        <v>0</v>
      </c>
      <c r="M846">
        <f t="shared" si="132"/>
        <v>0</v>
      </c>
      <c r="N846">
        <f t="shared" si="130"/>
        <v>0</v>
      </c>
      <c r="O846">
        <f t="shared" si="133"/>
        <v>0</v>
      </c>
      <c r="P846">
        <f t="shared" si="134"/>
        <v>0</v>
      </c>
      <c r="R846" t="str">
        <f t="shared" si="135"/>
        <v>00</v>
      </c>
    </row>
    <row r="847" spans="1:18" x14ac:dyDescent="0.4">
      <c r="A847" s="1" t="str">
        <f t="shared" si="138"/>
        <v>1A6</v>
      </c>
      <c r="B847">
        <f t="shared" si="139"/>
        <v>1</v>
      </c>
      <c r="C847">
        <f>VALUE(MID(Hex!$C$2,1+2*HEX2DEC(A847)+B847,1))</f>
        <v>4</v>
      </c>
      <c r="D847" s="1" t="str">
        <f t="shared" si="136"/>
        <v>34D</v>
      </c>
      <c r="E847">
        <f>HEX2DEC(MID(Hex!$C$8,1+HEX2DEC(Edit!D847)*2,2))</f>
        <v>0</v>
      </c>
      <c r="F847">
        <f t="shared" si="137"/>
        <v>845</v>
      </c>
      <c r="G847" t="str">
        <f>_xlfn.LET(_xlpm.custom,_xlfn.XLOOKUP(F847,Data!A:A,Data!C:C),IF(_xlpm.custom="",_xlfn.XLOOKUP(F847,Data!A:A,Data!B:B),_xlpm.custom))</f>
        <v>Sparkling Stone</v>
      </c>
      <c r="H847" t="str">
        <f>_xlfn.XLOOKUP(C847,Data!A:A,Data!E:E)</f>
        <v>Key</v>
      </c>
      <c r="J847">
        <f>IF(I847="",C847,_xlfn.XLOOKUP(I847,Data!E:E,Data!A:A,""))</f>
        <v>4</v>
      </c>
      <c r="L847">
        <f t="shared" si="131"/>
        <v>0</v>
      </c>
      <c r="M847">
        <f t="shared" si="132"/>
        <v>0</v>
      </c>
      <c r="N847">
        <f t="shared" si="130"/>
        <v>0</v>
      </c>
      <c r="O847">
        <f t="shared" si="133"/>
        <v>0</v>
      </c>
      <c r="P847">
        <f t="shared" si="134"/>
        <v>0</v>
      </c>
      <c r="R847" t="str">
        <f t="shared" si="135"/>
        <v>00</v>
      </c>
    </row>
    <row r="848" spans="1:18" x14ac:dyDescent="0.4">
      <c r="A848" s="1" t="str">
        <f t="shared" si="138"/>
        <v>1A7</v>
      </c>
      <c r="B848">
        <f t="shared" si="139"/>
        <v>0</v>
      </c>
      <c r="C848">
        <f>VALUE(MID(Hex!$C$2,1+2*HEX2DEC(A848)+B848,1))</f>
        <v>0</v>
      </c>
      <c r="D848" s="1" t="str">
        <f t="shared" si="136"/>
        <v>34E</v>
      </c>
      <c r="E848">
        <f>HEX2DEC(MID(Hex!$C$8,1+HEX2DEC(Edit!D848)*2,2))</f>
        <v>2</v>
      </c>
      <c r="F848">
        <f t="shared" si="137"/>
        <v>846</v>
      </c>
      <c r="G848" t="str">
        <f>_xlfn.LET(_xlpm.custom,_xlfn.XLOOKUP(F848,Data!A:A,Data!C:C),IF(_xlpm.custom="",_xlfn.XLOOKUP(F848,Data!A:A,Data!B:B),_xlpm.custom))</f>
        <v>Adrenaline Orb</v>
      </c>
      <c r="H848" t="str">
        <f>_xlfn.XLOOKUP(C848,Data!A:A,Data!E:E)</f>
        <v>General</v>
      </c>
      <c r="J848">
        <f>IF(I848="",C848,_xlfn.XLOOKUP(I848,Data!E:E,Data!A:A,""))</f>
        <v>0</v>
      </c>
      <c r="L848">
        <f t="shared" si="131"/>
        <v>0</v>
      </c>
      <c r="M848">
        <f t="shared" si="132"/>
        <v>2</v>
      </c>
      <c r="N848">
        <f t="shared" si="130"/>
        <v>0</v>
      </c>
      <c r="O848">
        <f t="shared" si="133"/>
        <v>0</v>
      </c>
      <c r="P848">
        <f t="shared" si="134"/>
        <v>0</v>
      </c>
      <c r="R848" t="str">
        <f t="shared" si="135"/>
        <v>02</v>
      </c>
    </row>
    <row r="849" spans="1:18" x14ac:dyDescent="0.4">
      <c r="A849" s="1" t="str">
        <f t="shared" si="138"/>
        <v>1A7</v>
      </c>
      <c r="B849">
        <f t="shared" si="139"/>
        <v>1</v>
      </c>
      <c r="C849">
        <f>VALUE(MID(Hex!$C$2,1+2*HEX2DEC(A849)+B849,1))</f>
        <v>4</v>
      </c>
      <c r="D849" s="1" t="str">
        <f t="shared" si="136"/>
        <v>34F</v>
      </c>
      <c r="E849">
        <f>HEX2DEC(MID(Hex!$C$8,1+HEX2DEC(Edit!D849)*2,2))</f>
        <v>0</v>
      </c>
      <c r="F849">
        <f t="shared" si="137"/>
        <v>847</v>
      </c>
      <c r="G849" t="str">
        <f>_xlfn.LET(_xlpm.custom,_xlfn.XLOOKUP(F849,Data!A:A,Data!C:C),IF(_xlpm.custom="",_xlfn.XLOOKUP(F849,Data!A:A,Data!B:B),_xlpm.custom))</f>
        <v>Zygarde Cube</v>
      </c>
      <c r="H849" t="str">
        <f>_xlfn.XLOOKUP(C849,Data!A:A,Data!E:E)</f>
        <v>Key</v>
      </c>
      <c r="J849">
        <f>IF(I849="",C849,_xlfn.XLOOKUP(I849,Data!E:E,Data!A:A,""))</f>
        <v>4</v>
      </c>
      <c r="L849">
        <f t="shared" si="131"/>
        <v>0</v>
      </c>
      <c r="M849">
        <f t="shared" si="132"/>
        <v>0</v>
      </c>
      <c r="N849">
        <f t="shared" si="130"/>
        <v>0</v>
      </c>
      <c r="O849">
        <f t="shared" si="133"/>
        <v>0</v>
      </c>
      <c r="P849">
        <f t="shared" si="134"/>
        <v>0</v>
      </c>
      <c r="R849" t="str">
        <f t="shared" si="135"/>
        <v>00</v>
      </c>
    </row>
    <row r="850" spans="1:18" x14ac:dyDescent="0.4">
      <c r="A850" s="1" t="str">
        <f t="shared" si="138"/>
        <v>1A8</v>
      </c>
      <c r="B850">
        <f t="shared" si="139"/>
        <v>0</v>
      </c>
      <c r="C850">
        <f>VALUE(MID(Hex!$C$2,1+2*HEX2DEC(A850)+B850,1))</f>
        <v>0</v>
      </c>
      <c r="D850" s="1" t="str">
        <f t="shared" si="136"/>
        <v>350</v>
      </c>
      <c r="E850">
        <f>HEX2DEC(MID(Hex!$C$8,1+HEX2DEC(Edit!D850)*2,2))</f>
        <v>0</v>
      </c>
      <c r="F850">
        <f t="shared" si="137"/>
        <v>848</v>
      </c>
      <c r="G850" t="str">
        <f>_xlfn.LET(_xlpm.custom,_xlfn.XLOOKUP(F850,Data!A:A,Data!C:C),IF(_xlpm.custom="",_xlfn.XLOOKUP(F850,Data!A:A,Data!B:B),_xlpm.custom))</f>
        <v>Marvelous Cloak</v>
      </c>
      <c r="H850" t="str">
        <f>_xlfn.XLOOKUP(C850,Data!A:A,Data!E:E)</f>
        <v>General</v>
      </c>
      <c r="J850">
        <f>IF(I850="",C850,_xlfn.XLOOKUP(I850,Data!E:E,Data!A:A,""))</f>
        <v>0</v>
      </c>
      <c r="L850">
        <f t="shared" si="131"/>
        <v>0</v>
      </c>
      <c r="M850">
        <f t="shared" si="132"/>
        <v>0</v>
      </c>
      <c r="N850">
        <f t="shared" si="130"/>
        <v>0</v>
      </c>
      <c r="O850">
        <f t="shared" si="133"/>
        <v>0</v>
      </c>
      <c r="P850">
        <f t="shared" si="134"/>
        <v>0</v>
      </c>
      <c r="R850" t="str">
        <f t="shared" si="135"/>
        <v>00</v>
      </c>
    </row>
    <row r="851" spans="1:18" x14ac:dyDescent="0.4">
      <c r="A851" s="1" t="str">
        <f t="shared" si="138"/>
        <v>1A8</v>
      </c>
      <c r="B851">
        <f t="shared" si="139"/>
        <v>1</v>
      </c>
      <c r="C851">
        <f>VALUE(MID(Hex!$C$2,1+2*HEX2DEC(A851)+B851,1))</f>
        <v>0</v>
      </c>
      <c r="D851" s="1" t="str">
        <f t="shared" si="136"/>
        <v>351</v>
      </c>
      <c r="E851">
        <f>HEX2DEC(MID(Hex!$C$8,1+HEX2DEC(Edit!D851)*2,2))</f>
        <v>0</v>
      </c>
      <c r="F851">
        <f t="shared" si="137"/>
        <v>849</v>
      </c>
      <c r="G851" t="str">
        <f>_xlfn.LET(_xlpm.custom,_xlfn.XLOOKUP(F851,Data!A:A,Data!C:C),IF(_xlpm.custom="",_xlfn.XLOOKUP(F851,Data!A:A,Data!B:B),_xlpm.custom))</f>
        <v>Ice Stone</v>
      </c>
      <c r="H851" t="str">
        <f>_xlfn.XLOOKUP(C851,Data!A:A,Data!E:E)</f>
        <v>General</v>
      </c>
      <c r="J851">
        <f>IF(I851="",C851,_xlfn.XLOOKUP(I851,Data!E:E,Data!A:A,""))</f>
        <v>0</v>
      </c>
      <c r="L851">
        <f t="shared" si="131"/>
        <v>0</v>
      </c>
      <c r="M851">
        <f t="shared" si="132"/>
        <v>0</v>
      </c>
      <c r="N851">
        <f t="shared" si="130"/>
        <v>0</v>
      </c>
      <c r="O851">
        <f t="shared" si="133"/>
        <v>0</v>
      </c>
      <c r="P851">
        <f t="shared" si="134"/>
        <v>0</v>
      </c>
      <c r="R851" t="str">
        <f t="shared" si="135"/>
        <v>00</v>
      </c>
    </row>
    <row r="852" spans="1:18" x14ac:dyDescent="0.4">
      <c r="A852" s="1" t="str">
        <f t="shared" si="138"/>
        <v>1A9</v>
      </c>
      <c r="B852">
        <f t="shared" si="139"/>
        <v>0</v>
      </c>
      <c r="C852">
        <f>VALUE(MID(Hex!$C$2,1+2*HEX2DEC(A852)+B852,1))</f>
        <v>4</v>
      </c>
      <c r="D852" s="1" t="str">
        <f t="shared" si="136"/>
        <v>352</v>
      </c>
      <c r="E852">
        <f>HEX2DEC(MID(Hex!$C$8,1+HEX2DEC(Edit!D852)*2,2))</f>
        <v>0</v>
      </c>
      <c r="F852">
        <f t="shared" si="137"/>
        <v>850</v>
      </c>
      <c r="G852" t="str">
        <f>_xlfn.LET(_xlpm.custom,_xlfn.XLOOKUP(F852,Data!A:A,Data!C:C),IF(_xlpm.custom="",_xlfn.XLOOKUP(F852,Data!A:A,Data!B:B),_xlpm.custom))</f>
        <v>Ride Pager</v>
      </c>
      <c r="H852" t="str">
        <f>_xlfn.XLOOKUP(C852,Data!A:A,Data!E:E)</f>
        <v>Key</v>
      </c>
      <c r="J852">
        <f>IF(I852="",C852,_xlfn.XLOOKUP(I852,Data!E:E,Data!A:A,""))</f>
        <v>4</v>
      </c>
      <c r="L852">
        <f t="shared" si="131"/>
        <v>0</v>
      </c>
      <c r="M852">
        <f t="shared" si="132"/>
        <v>0</v>
      </c>
      <c r="N852">
        <f t="shared" si="130"/>
        <v>0</v>
      </c>
      <c r="O852">
        <f t="shared" si="133"/>
        <v>0</v>
      </c>
      <c r="P852">
        <f t="shared" si="134"/>
        <v>0</v>
      </c>
      <c r="R852" t="str">
        <f t="shared" si="135"/>
        <v>00</v>
      </c>
    </row>
    <row r="853" spans="1:18" x14ac:dyDescent="0.4">
      <c r="A853" s="1" t="str">
        <f t="shared" si="138"/>
        <v>1A9</v>
      </c>
      <c r="B853">
        <f t="shared" si="139"/>
        <v>1</v>
      </c>
      <c r="C853">
        <f>VALUE(MID(Hex!$C$2,1+2*HEX2DEC(A853)+B853,1))</f>
        <v>0</v>
      </c>
      <c r="D853" s="1" t="str">
        <f t="shared" si="136"/>
        <v>353</v>
      </c>
      <c r="E853">
        <f>HEX2DEC(MID(Hex!$C$8,1+HEX2DEC(Edit!D853)*2,2))</f>
        <v>1</v>
      </c>
      <c r="F853">
        <f t="shared" si="137"/>
        <v>851</v>
      </c>
      <c r="G853" t="str">
        <f>_xlfn.LET(_xlpm.custom,_xlfn.XLOOKUP(F853,Data!A:A,Data!C:C),IF(_xlpm.custom="",_xlfn.XLOOKUP(F853,Data!A:A,Data!B:B),_xlpm.custom))</f>
        <v>Beast Ball</v>
      </c>
      <c r="H853" t="str">
        <f>_xlfn.XLOOKUP(C853,Data!A:A,Data!E:E)</f>
        <v>General</v>
      </c>
      <c r="J853">
        <f>IF(I853="",C853,_xlfn.XLOOKUP(I853,Data!E:E,Data!A:A,""))</f>
        <v>0</v>
      </c>
      <c r="L853">
        <f t="shared" si="131"/>
        <v>1</v>
      </c>
      <c r="M853">
        <f t="shared" si="132"/>
        <v>0</v>
      </c>
      <c r="N853">
        <f t="shared" ref="N853:N916" si="140">_xlfn.BITAND($E853,4)</f>
        <v>0</v>
      </c>
      <c r="O853">
        <f t="shared" si="133"/>
        <v>0</v>
      </c>
      <c r="P853">
        <f t="shared" si="134"/>
        <v>0</v>
      </c>
      <c r="R853" t="str">
        <f t="shared" si="135"/>
        <v>01</v>
      </c>
    </row>
    <row r="854" spans="1:18" x14ac:dyDescent="0.4">
      <c r="A854" s="1" t="str">
        <f t="shared" si="138"/>
        <v>1AA</v>
      </c>
      <c r="B854">
        <f t="shared" si="139"/>
        <v>0</v>
      </c>
      <c r="C854">
        <f>VALUE(MID(Hex!$C$2,1+2*HEX2DEC(A854)+B854,1))</f>
        <v>1</v>
      </c>
      <c r="D854" s="1" t="str">
        <f t="shared" si="136"/>
        <v>354</v>
      </c>
      <c r="E854">
        <f>HEX2DEC(MID(Hex!$C$8,1+HEX2DEC(Edit!D854)*2,2))</f>
        <v>8</v>
      </c>
      <c r="F854">
        <f t="shared" si="137"/>
        <v>852</v>
      </c>
      <c r="G854" t="str">
        <f>_xlfn.LET(_xlpm.custom,_xlfn.XLOOKUP(F854,Data!A:A,Data!C:C),IF(_xlpm.custom="",_xlfn.XLOOKUP(F854,Data!A:A,Data!B:B),_xlpm.custom))</f>
        <v>Big Malasada</v>
      </c>
      <c r="H854" t="str">
        <f>_xlfn.XLOOKUP(C854,Data!A:A,Data!E:E)</f>
        <v>Medicine</v>
      </c>
      <c r="J854">
        <f>IF(I854="",C854,_xlfn.XLOOKUP(I854,Data!E:E,Data!A:A,""))</f>
        <v>1</v>
      </c>
      <c r="L854">
        <f t="shared" si="131"/>
        <v>0</v>
      </c>
      <c r="M854">
        <f t="shared" si="132"/>
        <v>0</v>
      </c>
      <c r="N854">
        <f t="shared" si="140"/>
        <v>0</v>
      </c>
      <c r="O854">
        <f t="shared" si="133"/>
        <v>8</v>
      </c>
      <c r="P854">
        <f t="shared" si="134"/>
        <v>0</v>
      </c>
      <c r="R854" t="str">
        <f t="shared" si="135"/>
        <v>08</v>
      </c>
    </row>
    <row r="855" spans="1:18" x14ac:dyDescent="0.4">
      <c r="A855" s="1" t="str">
        <f t="shared" si="138"/>
        <v>1AA</v>
      </c>
      <c r="B855">
        <f t="shared" si="139"/>
        <v>1</v>
      </c>
      <c r="C855">
        <f>VALUE(MID(Hex!$C$2,1+2*HEX2DEC(A855)+B855,1))</f>
        <v>0</v>
      </c>
      <c r="D855" s="1" t="str">
        <f t="shared" si="136"/>
        <v>355</v>
      </c>
      <c r="E855">
        <f>HEX2DEC(MID(Hex!$C$8,1+HEX2DEC(Edit!D855)*2,2))</f>
        <v>0</v>
      </c>
      <c r="F855">
        <f t="shared" si="137"/>
        <v>853</v>
      </c>
      <c r="G855" t="str">
        <f>_xlfn.LET(_xlpm.custom,_xlfn.XLOOKUP(F855,Data!A:A,Data!C:C),IF(_xlpm.custom="",_xlfn.XLOOKUP(F855,Data!A:A,Data!B:B),_xlpm.custom))</f>
        <v>Red Nectar</v>
      </c>
      <c r="H855" t="str">
        <f>_xlfn.XLOOKUP(C855,Data!A:A,Data!E:E)</f>
        <v>General</v>
      </c>
      <c r="J855">
        <f>IF(I855="",C855,_xlfn.XLOOKUP(I855,Data!E:E,Data!A:A,""))</f>
        <v>0</v>
      </c>
      <c r="L855">
        <f t="shared" si="131"/>
        <v>0</v>
      </c>
      <c r="M855">
        <f t="shared" si="132"/>
        <v>0</v>
      </c>
      <c r="N855">
        <f t="shared" si="140"/>
        <v>0</v>
      </c>
      <c r="O855">
        <f t="shared" si="133"/>
        <v>0</v>
      </c>
      <c r="P855">
        <f t="shared" si="134"/>
        <v>0</v>
      </c>
      <c r="R855" t="str">
        <f t="shared" si="135"/>
        <v>00</v>
      </c>
    </row>
    <row r="856" spans="1:18" x14ac:dyDescent="0.4">
      <c r="A856" s="1" t="str">
        <f t="shared" si="138"/>
        <v>1AB</v>
      </c>
      <c r="B856">
        <f t="shared" si="139"/>
        <v>0</v>
      </c>
      <c r="C856">
        <f>VALUE(MID(Hex!$C$2,1+2*HEX2DEC(A856)+B856,1))</f>
        <v>0</v>
      </c>
      <c r="D856" s="1" t="str">
        <f t="shared" si="136"/>
        <v>356</v>
      </c>
      <c r="E856">
        <f>HEX2DEC(MID(Hex!$C$8,1+HEX2DEC(Edit!D856)*2,2))</f>
        <v>0</v>
      </c>
      <c r="F856">
        <f t="shared" si="137"/>
        <v>854</v>
      </c>
      <c r="G856" t="str">
        <f>_xlfn.LET(_xlpm.custom,_xlfn.XLOOKUP(F856,Data!A:A,Data!C:C),IF(_xlpm.custom="",_xlfn.XLOOKUP(F856,Data!A:A,Data!B:B),_xlpm.custom))</f>
        <v>Yellow Nectar</v>
      </c>
      <c r="H856" t="str">
        <f>_xlfn.XLOOKUP(C856,Data!A:A,Data!E:E)</f>
        <v>General</v>
      </c>
      <c r="J856">
        <f>IF(I856="",C856,_xlfn.XLOOKUP(I856,Data!E:E,Data!A:A,""))</f>
        <v>0</v>
      </c>
      <c r="L856">
        <f t="shared" si="131"/>
        <v>0</v>
      </c>
      <c r="M856">
        <f t="shared" si="132"/>
        <v>0</v>
      </c>
      <c r="N856">
        <f t="shared" si="140"/>
        <v>0</v>
      </c>
      <c r="O856">
        <f t="shared" si="133"/>
        <v>0</v>
      </c>
      <c r="P856">
        <f t="shared" si="134"/>
        <v>0</v>
      </c>
      <c r="R856" t="str">
        <f t="shared" si="135"/>
        <v>00</v>
      </c>
    </row>
    <row r="857" spans="1:18" x14ac:dyDescent="0.4">
      <c r="A857" s="1" t="str">
        <f t="shared" si="138"/>
        <v>1AB</v>
      </c>
      <c r="B857">
        <f t="shared" si="139"/>
        <v>1</v>
      </c>
      <c r="C857">
        <f>VALUE(MID(Hex!$C$2,1+2*HEX2DEC(A857)+B857,1))</f>
        <v>0</v>
      </c>
      <c r="D857" s="1" t="str">
        <f t="shared" si="136"/>
        <v>357</v>
      </c>
      <c r="E857">
        <f>HEX2DEC(MID(Hex!$C$8,1+HEX2DEC(Edit!D857)*2,2))</f>
        <v>0</v>
      </c>
      <c r="F857">
        <f t="shared" si="137"/>
        <v>855</v>
      </c>
      <c r="G857" t="str">
        <f>_xlfn.LET(_xlpm.custom,_xlfn.XLOOKUP(F857,Data!A:A,Data!C:C),IF(_xlpm.custom="",_xlfn.XLOOKUP(F857,Data!A:A,Data!B:B),_xlpm.custom))</f>
        <v>Pink Nectar</v>
      </c>
      <c r="H857" t="str">
        <f>_xlfn.XLOOKUP(C857,Data!A:A,Data!E:E)</f>
        <v>General</v>
      </c>
      <c r="J857">
        <f>IF(I857="",C857,_xlfn.XLOOKUP(I857,Data!E:E,Data!A:A,""))</f>
        <v>0</v>
      </c>
      <c r="L857">
        <f t="shared" si="131"/>
        <v>0</v>
      </c>
      <c r="M857">
        <f t="shared" si="132"/>
        <v>0</v>
      </c>
      <c r="N857">
        <f t="shared" si="140"/>
        <v>0</v>
      </c>
      <c r="O857">
        <f t="shared" si="133"/>
        <v>0</v>
      </c>
      <c r="P857">
        <f t="shared" si="134"/>
        <v>0</v>
      </c>
      <c r="R857" t="str">
        <f t="shared" si="135"/>
        <v>00</v>
      </c>
    </row>
    <row r="858" spans="1:18" x14ac:dyDescent="0.4">
      <c r="A858" s="1" t="str">
        <f t="shared" si="138"/>
        <v>1AC</v>
      </c>
      <c r="B858">
        <f t="shared" si="139"/>
        <v>0</v>
      </c>
      <c r="C858">
        <f>VALUE(MID(Hex!$C$2,1+2*HEX2DEC(A858)+B858,1))</f>
        <v>0</v>
      </c>
      <c r="D858" s="1" t="str">
        <f t="shared" si="136"/>
        <v>358</v>
      </c>
      <c r="E858">
        <f>HEX2DEC(MID(Hex!$C$8,1+HEX2DEC(Edit!D858)*2,2))</f>
        <v>0</v>
      </c>
      <c r="F858">
        <f t="shared" si="137"/>
        <v>856</v>
      </c>
      <c r="G858" t="str">
        <f>_xlfn.LET(_xlpm.custom,_xlfn.XLOOKUP(F858,Data!A:A,Data!C:C),IF(_xlpm.custom="",_xlfn.XLOOKUP(F858,Data!A:A,Data!B:B),_xlpm.custom))</f>
        <v>Purple Nectar</v>
      </c>
      <c r="H858" t="str">
        <f>_xlfn.XLOOKUP(C858,Data!A:A,Data!E:E)</f>
        <v>General</v>
      </c>
      <c r="J858">
        <f>IF(I858="",C858,_xlfn.XLOOKUP(I858,Data!E:E,Data!A:A,""))</f>
        <v>0</v>
      </c>
      <c r="L858">
        <f t="shared" si="131"/>
        <v>0</v>
      </c>
      <c r="M858">
        <f t="shared" si="132"/>
        <v>0</v>
      </c>
      <c r="N858">
        <f t="shared" si="140"/>
        <v>0</v>
      </c>
      <c r="O858">
        <f t="shared" si="133"/>
        <v>0</v>
      </c>
      <c r="P858">
        <f t="shared" si="134"/>
        <v>0</v>
      </c>
      <c r="R858" t="str">
        <f t="shared" si="135"/>
        <v>00</v>
      </c>
    </row>
    <row r="859" spans="1:18" x14ac:dyDescent="0.4">
      <c r="A859" s="1" t="str">
        <f t="shared" si="138"/>
        <v>1AC</v>
      </c>
      <c r="B859">
        <f t="shared" si="139"/>
        <v>1</v>
      </c>
      <c r="C859">
        <f>VALUE(MID(Hex!$C$2,1+2*HEX2DEC(A859)+B859,1))</f>
        <v>4</v>
      </c>
      <c r="D859" s="1" t="str">
        <f t="shared" si="136"/>
        <v>359</v>
      </c>
      <c r="E859">
        <f>HEX2DEC(MID(Hex!$C$8,1+HEX2DEC(Edit!D859)*2,2))</f>
        <v>0</v>
      </c>
      <c r="F859">
        <f t="shared" si="137"/>
        <v>857</v>
      </c>
      <c r="G859" t="str">
        <f>_xlfn.LET(_xlpm.custom,_xlfn.XLOOKUP(F859,Data!A:A,Data!C:C),IF(_xlpm.custom="",_xlfn.XLOOKUP(F859,Data!A:A,Data!B:B),_xlpm.custom))</f>
        <v>Sun Flute</v>
      </c>
      <c r="H859" t="str">
        <f>_xlfn.XLOOKUP(C859,Data!A:A,Data!E:E)</f>
        <v>Key</v>
      </c>
      <c r="J859">
        <f>IF(I859="",C859,_xlfn.XLOOKUP(I859,Data!E:E,Data!A:A,""))</f>
        <v>4</v>
      </c>
      <c r="L859">
        <f t="shared" si="131"/>
        <v>0</v>
      </c>
      <c r="M859">
        <f t="shared" si="132"/>
        <v>0</v>
      </c>
      <c r="N859">
        <f t="shared" si="140"/>
        <v>0</v>
      </c>
      <c r="O859">
        <f t="shared" si="133"/>
        <v>0</v>
      </c>
      <c r="P859">
        <f t="shared" si="134"/>
        <v>0</v>
      </c>
      <c r="R859" t="str">
        <f t="shared" si="135"/>
        <v>00</v>
      </c>
    </row>
    <row r="860" spans="1:18" x14ac:dyDescent="0.4">
      <c r="A860" s="1" t="str">
        <f t="shared" si="138"/>
        <v>1AD</v>
      </c>
      <c r="B860">
        <f t="shared" si="139"/>
        <v>0</v>
      </c>
      <c r="C860">
        <f>VALUE(MID(Hex!$C$2,1+2*HEX2DEC(A860)+B860,1))</f>
        <v>4</v>
      </c>
      <c r="D860" s="1" t="str">
        <f t="shared" si="136"/>
        <v>35A</v>
      </c>
      <c r="E860">
        <f>HEX2DEC(MID(Hex!$C$8,1+HEX2DEC(Edit!D860)*2,2))</f>
        <v>0</v>
      </c>
      <c r="F860">
        <f t="shared" si="137"/>
        <v>858</v>
      </c>
      <c r="G860" t="str">
        <f>_xlfn.LET(_xlpm.custom,_xlfn.XLOOKUP(F860,Data!A:A,Data!C:C),IF(_xlpm.custom="",_xlfn.XLOOKUP(F860,Data!A:A,Data!B:B),_xlpm.custom))</f>
        <v>Moon Flute</v>
      </c>
      <c r="H860" t="str">
        <f>_xlfn.XLOOKUP(C860,Data!A:A,Data!E:E)</f>
        <v>Key</v>
      </c>
      <c r="J860">
        <f>IF(I860="",C860,_xlfn.XLOOKUP(I860,Data!E:E,Data!A:A,""))</f>
        <v>4</v>
      </c>
      <c r="L860">
        <f t="shared" si="131"/>
        <v>0</v>
      </c>
      <c r="M860">
        <f t="shared" si="132"/>
        <v>0</v>
      </c>
      <c r="N860">
        <f t="shared" si="140"/>
        <v>0</v>
      </c>
      <c r="O860">
        <f t="shared" si="133"/>
        <v>0</v>
      </c>
      <c r="P860">
        <f t="shared" si="134"/>
        <v>0</v>
      </c>
      <c r="R860" t="str">
        <f t="shared" si="135"/>
        <v>00</v>
      </c>
    </row>
    <row r="861" spans="1:18" x14ac:dyDescent="0.4">
      <c r="A861" s="1" t="str">
        <f t="shared" si="138"/>
        <v>1AD</v>
      </c>
      <c r="B861">
        <f t="shared" si="139"/>
        <v>1</v>
      </c>
      <c r="C861">
        <f>VALUE(MID(Hex!$C$2,1+2*HEX2DEC(A861)+B861,1))</f>
        <v>0</v>
      </c>
      <c r="D861" s="1" t="str">
        <f t="shared" si="136"/>
        <v>35B</v>
      </c>
      <c r="E861">
        <f>HEX2DEC(MID(Hex!$C$8,1+HEX2DEC(Edit!D861)*2,2))</f>
        <v>0</v>
      </c>
      <c r="F861">
        <f t="shared" si="137"/>
        <v>859</v>
      </c>
      <c r="G861" t="str">
        <f>_xlfn.LET(_xlpm.custom,_xlfn.XLOOKUP(F861,Data!A:A,Data!C:C),IF(_xlpm.custom="",_xlfn.XLOOKUP(F861,Data!A:A,Data!B:B),_xlpm.custom))</f>
        <v>Dragoninite</v>
      </c>
      <c r="H861" t="str">
        <f>_xlfn.XLOOKUP(C861,Data!A:A,Data!E:E)</f>
        <v>General</v>
      </c>
      <c r="J861">
        <f>IF(I861="",C861,_xlfn.XLOOKUP(I861,Data!E:E,Data!A:A,""))</f>
        <v>0</v>
      </c>
      <c r="L861">
        <f t="shared" si="131"/>
        <v>0</v>
      </c>
      <c r="M861">
        <f t="shared" si="132"/>
        <v>0</v>
      </c>
      <c r="N861">
        <f t="shared" si="140"/>
        <v>0</v>
      </c>
      <c r="O861">
        <f t="shared" si="133"/>
        <v>0</v>
      </c>
      <c r="P861">
        <f t="shared" si="134"/>
        <v>0</v>
      </c>
      <c r="R861" t="str">
        <f t="shared" si="135"/>
        <v>00</v>
      </c>
    </row>
    <row r="862" spans="1:18" x14ac:dyDescent="0.4">
      <c r="A862" s="1" t="str">
        <f t="shared" si="138"/>
        <v>1AE</v>
      </c>
      <c r="B862">
        <f t="shared" si="139"/>
        <v>0</v>
      </c>
      <c r="C862">
        <f>VALUE(MID(Hex!$C$2,1+2*HEX2DEC(A862)+B862,1))</f>
        <v>4</v>
      </c>
      <c r="D862" s="1" t="str">
        <f t="shared" si="136"/>
        <v>35C</v>
      </c>
      <c r="E862">
        <f>HEX2DEC(MID(Hex!$C$8,1+HEX2DEC(Edit!D862)*2,2))</f>
        <v>0</v>
      </c>
      <c r="F862">
        <f t="shared" si="137"/>
        <v>860</v>
      </c>
      <c r="G862" t="str">
        <f>_xlfn.LET(_xlpm.custom,_xlfn.XLOOKUP(F862,Data!A:A,Data!C:C),IF(_xlpm.custom="",_xlfn.XLOOKUP(F862,Data!A:A,Data!B:B),_xlpm.custom))</f>
        <v>Enigmatic Card</v>
      </c>
      <c r="H862" t="str">
        <f>_xlfn.XLOOKUP(C862,Data!A:A,Data!E:E)</f>
        <v>Key</v>
      </c>
      <c r="J862">
        <f>IF(I862="",C862,_xlfn.XLOOKUP(I862,Data!E:E,Data!A:A,""))</f>
        <v>4</v>
      </c>
      <c r="L862">
        <f t="shared" si="131"/>
        <v>0</v>
      </c>
      <c r="M862">
        <f t="shared" si="132"/>
        <v>0</v>
      </c>
      <c r="N862">
        <f t="shared" si="140"/>
        <v>0</v>
      </c>
      <c r="O862">
        <f t="shared" si="133"/>
        <v>0</v>
      </c>
      <c r="P862">
        <f t="shared" si="134"/>
        <v>0</v>
      </c>
      <c r="R862" t="str">
        <f t="shared" si="135"/>
        <v>00</v>
      </c>
    </row>
    <row r="863" spans="1:18" x14ac:dyDescent="0.4">
      <c r="A863" s="1" t="str">
        <f t="shared" si="138"/>
        <v>1AE</v>
      </c>
      <c r="B863">
        <f t="shared" si="139"/>
        <v>1</v>
      </c>
      <c r="C863">
        <f>VALUE(MID(Hex!$C$2,1+2*HEX2DEC(A863)+B863,1))</f>
        <v>0</v>
      </c>
      <c r="D863" s="1" t="str">
        <f t="shared" si="136"/>
        <v>35D</v>
      </c>
      <c r="E863">
        <f>HEX2DEC(MID(Hex!$C$8,1+HEX2DEC(Edit!D863)*2,2))</f>
        <v>0</v>
      </c>
      <c r="F863">
        <f t="shared" si="137"/>
        <v>861</v>
      </c>
      <c r="G863" t="str">
        <f>_xlfn.LET(_xlpm.custom,_xlfn.XLOOKUP(F863,Data!A:A,Data!C:C),IF(_xlpm.custom="",_xlfn.XLOOKUP(F863,Data!A:A,Data!B:B),_xlpm.custom))</f>
        <v>Snorlaxite</v>
      </c>
      <c r="H863" t="str">
        <f>_xlfn.XLOOKUP(C863,Data!A:A,Data!E:E)</f>
        <v>General</v>
      </c>
      <c r="J863">
        <f>IF(I863="",C863,_xlfn.XLOOKUP(I863,Data!E:E,Data!A:A,""))</f>
        <v>0</v>
      </c>
      <c r="L863">
        <f t="shared" si="131"/>
        <v>0</v>
      </c>
      <c r="M863">
        <f t="shared" si="132"/>
        <v>0</v>
      </c>
      <c r="N863">
        <f t="shared" si="140"/>
        <v>0</v>
      </c>
      <c r="O863">
        <f t="shared" si="133"/>
        <v>0</v>
      </c>
      <c r="P863">
        <f t="shared" si="134"/>
        <v>0</v>
      </c>
      <c r="R863" t="str">
        <f t="shared" si="135"/>
        <v>00</v>
      </c>
    </row>
    <row r="864" spans="1:18" x14ac:dyDescent="0.4">
      <c r="A864" s="1" t="str">
        <f t="shared" si="138"/>
        <v>1AF</v>
      </c>
      <c r="B864">
        <f t="shared" si="139"/>
        <v>0</v>
      </c>
      <c r="C864">
        <f>VALUE(MID(Hex!$C$2,1+2*HEX2DEC(A864)+B864,1))</f>
        <v>0</v>
      </c>
      <c r="D864" s="1" t="str">
        <f t="shared" si="136"/>
        <v>35E</v>
      </c>
      <c r="E864">
        <f>HEX2DEC(MID(Hex!$C$8,1+HEX2DEC(Edit!D864)*2,2))</f>
        <v>0</v>
      </c>
      <c r="F864">
        <f t="shared" si="137"/>
        <v>862</v>
      </c>
      <c r="G864" t="str">
        <f>_xlfn.LET(_xlpm.custom,_xlfn.XLOOKUP(F864,Data!A:A,Data!C:C),IF(_xlpm.custom="",_xlfn.XLOOKUP(F864,Data!A:A,Data!B:B),_xlpm.custom))</f>
        <v>Salazzlite</v>
      </c>
      <c r="H864" t="str">
        <f>_xlfn.XLOOKUP(C864,Data!A:A,Data!E:E)</f>
        <v>General</v>
      </c>
      <c r="J864">
        <f>IF(I864="",C864,_xlfn.XLOOKUP(I864,Data!E:E,Data!A:A,""))</f>
        <v>0</v>
      </c>
      <c r="L864">
        <f t="shared" si="131"/>
        <v>0</v>
      </c>
      <c r="M864">
        <f t="shared" si="132"/>
        <v>0</v>
      </c>
      <c r="N864">
        <f t="shared" si="140"/>
        <v>0</v>
      </c>
      <c r="O864">
        <f t="shared" si="133"/>
        <v>0</v>
      </c>
      <c r="P864">
        <f t="shared" si="134"/>
        <v>0</v>
      </c>
      <c r="R864" t="str">
        <f t="shared" si="135"/>
        <v>00</v>
      </c>
    </row>
    <row r="865" spans="1:18" x14ac:dyDescent="0.4">
      <c r="A865" s="1" t="str">
        <f t="shared" si="138"/>
        <v>1AF</v>
      </c>
      <c r="B865">
        <f t="shared" si="139"/>
        <v>1</v>
      </c>
      <c r="C865">
        <f>VALUE(MID(Hex!$C$2,1+2*HEX2DEC(A865)+B865,1))</f>
        <v>0</v>
      </c>
      <c r="D865" s="1" t="str">
        <f t="shared" si="136"/>
        <v>35F</v>
      </c>
      <c r="E865">
        <f>HEX2DEC(MID(Hex!$C$8,1+HEX2DEC(Edit!D865)*2,2))</f>
        <v>0</v>
      </c>
      <c r="F865">
        <f t="shared" si="137"/>
        <v>863</v>
      </c>
      <c r="G865" t="str">
        <f>_xlfn.LET(_xlpm.custom,_xlfn.XLOOKUP(F865,Data!A:A,Data!C:C),IF(_xlpm.custom="",_xlfn.XLOOKUP(F865,Data!A:A,Data!B:B),_xlpm.custom))</f>
        <v>Tyrantrumite</v>
      </c>
      <c r="H865" t="str">
        <f>_xlfn.XLOOKUP(C865,Data!A:A,Data!E:E)</f>
        <v>General</v>
      </c>
      <c r="J865">
        <f>IF(I865="",C865,_xlfn.XLOOKUP(I865,Data!E:E,Data!A:A,""))</f>
        <v>0</v>
      </c>
      <c r="L865">
        <f t="shared" si="131"/>
        <v>0</v>
      </c>
      <c r="M865">
        <f t="shared" si="132"/>
        <v>0</v>
      </c>
      <c r="N865">
        <f t="shared" si="140"/>
        <v>0</v>
      </c>
      <c r="O865">
        <f t="shared" si="133"/>
        <v>0</v>
      </c>
      <c r="P865">
        <f t="shared" si="134"/>
        <v>0</v>
      </c>
      <c r="R865" t="str">
        <f t="shared" si="135"/>
        <v>00</v>
      </c>
    </row>
    <row r="866" spans="1:18" x14ac:dyDescent="0.4">
      <c r="A866" s="1" t="str">
        <f t="shared" si="138"/>
        <v>1B0</v>
      </c>
      <c r="B866">
        <f t="shared" si="139"/>
        <v>0</v>
      </c>
      <c r="C866">
        <f>VALUE(MID(Hex!$C$2,1+2*HEX2DEC(A866)+B866,1))</f>
        <v>0</v>
      </c>
      <c r="D866" s="1" t="str">
        <f t="shared" si="136"/>
        <v>360</v>
      </c>
      <c r="E866">
        <f>HEX2DEC(MID(Hex!$C$8,1+HEX2DEC(Edit!D866)*2,2))</f>
        <v>0</v>
      </c>
      <c r="F866">
        <f t="shared" si="137"/>
        <v>864</v>
      </c>
      <c r="G866" t="str">
        <f>_xlfn.LET(_xlpm.custom,_xlfn.XLOOKUP(F866,Data!A:A,Data!C:C),IF(_xlpm.custom="",_xlfn.XLOOKUP(F866,Data!A:A,Data!B:B),_xlpm.custom))</f>
        <v>Magearnite</v>
      </c>
      <c r="H866" t="str">
        <f>_xlfn.XLOOKUP(C866,Data!A:A,Data!E:E)</f>
        <v>General</v>
      </c>
      <c r="J866">
        <f>IF(I866="",C866,_xlfn.XLOOKUP(I866,Data!E:E,Data!A:A,""))</f>
        <v>0</v>
      </c>
      <c r="L866">
        <f t="shared" si="131"/>
        <v>0</v>
      </c>
      <c r="M866">
        <f t="shared" si="132"/>
        <v>0</v>
      </c>
      <c r="N866">
        <f t="shared" si="140"/>
        <v>0</v>
      </c>
      <c r="O866">
        <f t="shared" si="133"/>
        <v>0</v>
      </c>
      <c r="P866">
        <f t="shared" si="134"/>
        <v>0</v>
      </c>
      <c r="R866" t="str">
        <f t="shared" si="135"/>
        <v>00</v>
      </c>
    </row>
    <row r="867" spans="1:18" x14ac:dyDescent="0.4">
      <c r="A867" s="1" t="str">
        <f t="shared" si="138"/>
        <v>1B0</v>
      </c>
      <c r="B867">
        <f t="shared" si="139"/>
        <v>1</v>
      </c>
      <c r="C867">
        <f>VALUE(MID(Hex!$C$2,1+2*HEX2DEC(A867)+B867,1))</f>
        <v>0</v>
      </c>
      <c r="D867" s="1" t="str">
        <f t="shared" si="136"/>
        <v>361</v>
      </c>
      <c r="E867">
        <f>HEX2DEC(MID(Hex!$C$8,1+HEX2DEC(Edit!D867)*2,2))</f>
        <v>0</v>
      </c>
      <c r="F867">
        <f t="shared" si="137"/>
        <v>865</v>
      </c>
      <c r="G867" t="str">
        <f>_xlfn.LET(_xlpm.custom,_xlfn.XLOOKUP(F867,Data!A:A,Data!C:C),IF(_xlpm.custom="",_xlfn.XLOOKUP(F867,Data!A:A,Data!B:B),_xlpm.custom))</f>
        <v>Chandelurite</v>
      </c>
      <c r="H867" t="str">
        <f>_xlfn.XLOOKUP(C867,Data!A:A,Data!E:E)</f>
        <v>General</v>
      </c>
      <c r="J867">
        <f>IF(I867="",C867,_xlfn.XLOOKUP(I867,Data!E:E,Data!A:A,""))</f>
        <v>0</v>
      </c>
      <c r="L867">
        <f t="shared" si="131"/>
        <v>0</v>
      </c>
      <c r="M867">
        <f t="shared" si="132"/>
        <v>0</v>
      </c>
      <c r="N867">
        <f t="shared" si="140"/>
        <v>0</v>
      </c>
      <c r="O867">
        <f t="shared" si="133"/>
        <v>0</v>
      </c>
      <c r="P867">
        <f t="shared" si="134"/>
        <v>0</v>
      </c>
      <c r="R867" t="str">
        <f t="shared" si="135"/>
        <v>00</v>
      </c>
    </row>
    <row r="868" spans="1:18" x14ac:dyDescent="0.4">
      <c r="A868" s="1" t="str">
        <f t="shared" si="138"/>
        <v>1B1</v>
      </c>
      <c r="B868">
        <f t="shared" si="139"/>
        <v>0</v>
      </c>
      <c r="C868">
        <f>VALUE(MID(Hex!$C$2,1+2*HEX2DEC(A868)+B868,1))</f>
        <v>0</v>
      </c>
      <c r="D868" s="1" t="str">
        <f t="shared" si="136"/>
        <v>362</v>
      </c>
      <c r="E868">
        <f>HEX2DEC(MID(Hex!$C$8,1+HEX2DEC(Edit!D868)*2,2))</f>
        <v>0</v>
      </c>
      <c r="F868">
        <f t="shared" si="137"/>
        <v>866</v>
      </c>
      <c r="G868" t="str">
        <f>_xlfn.LET(_xlpm.custom,_xlfn.XLOOKUP(F868,Data!A:A,Data!C:C),IF(_xlpm.custom="",_xlfn.XLOOKUP(F868,Data!A:A,Data!B:B),_xlpm.custom))</f>
        <v>Chimechite</v>
      </c>
      <c r="H868" t="str">
        <f>_xlfn.XLOOKUP(C868,Data!A:A,Data!E:E)</f>
        <v>General</v>
      </c>
      <c r="J868">
        <f>IF(I868="",C868,_xlfn.XLOOKUP(I868,Data!E:E,Data!A:A,""))</f>
        <v>0</v>
      </c>
      <c r="L868">
        <f t="shared" si="131"/>
        <v>0</v>
      </c>
      <c r="M868">
        <f t="shared" si="132"/>
        <v>0</v>
      </c>
      <c r="N868">
        <f t="shared" si="140"/>
        <v>0</v>
      </c>
      <c r="O868">
        <f t="shared" si="133"/>
        <v>0</v>
      </c>
      <c r="P868">
        <f t="shared" si="134"/>
        <v>0</v>
      </c>
      <c r="R868" t="str">
        <f t="shared" si="135"/>
        <v>00</v>
      </c>
    </row>
    <row r="869" spans="1:18" x14ac:dyDescent="0.4">
      <c r="A869" s="1" t="str">
        <f t="shared" si="138"/>
        <v>1B1</v>
      </c>
      <c r="B869">
        <f t="shared" si="139"/>
        <v>1</v>
      </c>
      <c r="C869">
        <f>VALUE(MID(Hex!$C$2,1+2*HEX2DEC(A869)+B869,1))</f>
        <v>0</v>
      </c>
      <c r="D869" s="1" t="str">
        <f t="shared" si="136"/>
        <v>363</v>
      </c>
      <c r="E869">
        <f>HEX2DEC(MID(Hex!$C$8,1+HEX2DEC(Edit!D869)*2,2))</f>
        <v>0</v>
      </c>
      <c r="F869">
        <f t="shared" si="137"/>
        <v>867</v>
      </c>
      <c r="G869" t="str">
        <f>_xlfn.LET(_xlpm.custom,_xlfn.XLOOKUP(F869,Data!A:A,Data!C:C),IF(_xlpm.custom="",_xlfn.XLOOKUP(F869,Data!A:A,Data!B:B),_xlpm.custom))</f>
        <v>Clefablite</v>
      </c>
      <c r="H869" t="str">
        <f>_xlfn.XLOOKUP(C869,Data!A:A,Data!E:E)</f>
        <v>General</v>
      </c>
      <c r="J869">
        <f>IF(I869="",C869,_xlfn.XLOOKUP(I869,Data!E:E,Data!A:A,""))</f>
        <v>0</v>
      </c>
      <c r="L869">
        <f t="shared" si="131"/>
        <v>0</v>
      </c>
      <c r="M869">
        <f t="shared" si="132"/>
        <v>0</v>
      </c>
      <c r="N869">
        <f t="shared" si="140"/>
        <v>0</v>
      </c>
      <c r="O869">
        <f t="shared" si="133"/>
        <v>0</v>
      </c>
      <c r="P869">
        <f t="shared" si="134"/>
        <v>0</v>
      </c>
      <c r="R869" t="str">
        <f t="shared" si="135"/>
        <v>00</v>
      </c>
    </row>
    <row r="870" spans="1:18" x14ac:dyDescent="0.4">
      <c r="A870" s="1" t="str">
        <f t="shared" si="138"/>
        <v>1B2</v>
      </c>
      <c r="B870">
        <f t="shared" si="139"/>
        <v>0</v>
      </c>
      <c r="C870">
        <f>VALUE(MID(Hex!$C$2,1+2*HEX2DEC(A870)+B870,1))</f>
        <v>0</v>
      </c>
      <c r="D870" s="1" t="str">
        <f t="shared" si="136"/>
        <v>364</v>
      </c>
      <c r="E870">
        <f>HEX2DEC(MID(Hex!$C$8,1+HEX2DEC(Edit!D870)*2,2))</f>
        <v>0</v>
      </c>
      <c r="F870">
        <f t="shared" si="137"/>
        <v>868</v>
      </c>
      <c r="G870" t="str">
        <f>_xlfn.LET(_xlpm.custom,_xlfn.XLOOKUP(F870,Data!A:A,Data!C:C),IF(_xlpm.custom="",_xlfn.XLOOKUP(F870,Data!A:A,Data!B:B),_xlpm.custom))</f>
        <v>Feraligite</v>
      </c>
      <c r="H870" t="str">
        <f>_xlfn.XLOOKUP(C870,Data!A:A,Data!E:E)</f>
        <v>General</v>
      </c>
      <c r="J870">
        <f>IF(I870="",C870,_xlfn.XLOOKUP(I870,Data!E:E,Data!A:A,""))</f>
        <v>0</v>
      </c>
      <c r="L870">
        <f t="shared" si="131"/>
        <v>0</v>
      </c>
      <c r="M870">
        <f t="shared" si="132"/>
        <v>0</v>
      </c>
      <c r="N870">
        <f t="shared" si="140"/>
        <v>0</v>
      </c>
      <c r="O870">
        <f t="shared" si="133"/>
        <v>0</v>
      </c>
      <c r="P870">
        <f t="shared" si="134"/>
        <v>0</v>
      </c>
      <c r="R870" t="str">
        <f t="shared" si="135"/>
        <v>00</v>
      </c>
    </row>
    <row r="871" spans="1:18" x14ac:dyDescent="0.4">
      <c r="A871" s="1" t="str">
        <f t="shared" si="138"/>
        <v>1B2</v>
      </c>
      <c r="B871">
        <f t="shared" si="139"/>
        <v>1</v>
      </c>
      <c r="C871">
        <f>VALUE(MID(Hex!$C$2,1+2*HEX2DEC(A871)+B871,1))</f>
        <v>0</v>
      </c>
      <c r="D871" s="1" t="str">
        <f t="shared" si="136"/>
        <v>365</v>
      </c>
      <c r="E871">
        <f>HEX2DEC(MID(Hex!$C$8,1+HEX2DEC(Edit!D871)*2,2))</f>
        <v>0</v>
      </c>
      <c r="F871">
        <f t="shared" si="137"/>
        <v>869</v>
      </c>
      <c r="G871" t="str">
        <f>_xlfn.LET(_xlpm.custom,_xlfn.XLOOKUP(F871,Data!A:A,Data!C:C),IF(_xlpm.custom="",_xlfn.XLOOKUP(F871,Data!A:A,Data!B:B),_xlpm.custom))</f>
        <v>Skarmorite</v>
      </c>
      <c r="H871" t="str">
        <f>_xlfn.XLOOKUP(C871,Data!A:A,Data!E:E)</f>
        <v>General</v>
      </c>
      <c r="J871">
        <f>IF(I871="",C871,_xlfn.XLOOKUP(I871,Data!E:E,Data!A:A,""))</f>
        <v>0</v>
      </c>
      <c r="L871">
        <f t="shared" si="131"/>
        <v>0</v>
      </c>
      <c r="M871">
        <f t="shared" si="132"/>
        <v>0</v>
      </c>
      <c r="N871">
        <f t="shared" si="140"/>
        <v>0</v>
      </c>
      <c r="O871">
        <f t="shared" si="133"/>
        <v>0</v>
      </c>
      <c r="P871">
        <f t="shared" si="134"/>
        <v>0</v>
      </c>
      <c r="R871" t="str">
        <f t="shared" si="135"/>
        <v>00</v>
      </c>
    </row>
    <row r="872" spans="1:18" x14ac:dyDescent="0.4">
      <c r="A872" s="1" t="str">
        <f t="shared" si="138"/>
        <v>1B3</v>
      </c>
      <c r="B872">
        <f t="shared" si="139"/>
        <v>0</v>
      </c>
      <c r="C872">
        <f>VALUE(MID(Hex!$C$2,1+2*HEX2DEC(A872)+B872,1))</f>
        <v>0</v>
      </c>
      <c r="D872" s="1" t="str">
        <f t="shared" si="136"/>
        <v>366</v>
      </c>
      <c r="E872">
        <f>HEX2DEC(MID(Hex!$C$8,1+HEX2DEC(Edit!D872)*2,2))</f>
        <v>0</v>
      </c>
      <c r="F872">
        <f t="shared" si="137"/>
        <v>870</v>
      </c>
      <c r="G872" t="str">
        <f>_xlfn.LET(_xlpm.custom,_xlfn.XLOOKUP(F872,Data!A:A,Data!C:C),IF(_xlpm.custom="",_xlfn.XLOOKUP(F872,Data!A:A,Data!B:B),_xlpm.custom))</f>
        <v>Froslassite</v>
      </c>
      <c r="H872" t="str">
        <f>_xlfn.XLOOKUP(C872,Data!A:A,Data!E:E)</f>
        <v>General</v>
      </c>
      <c r="J872">
        <f>IF(I872="",C872,_xlfn.XLOOKUP(I872,Data!E:E,Data!A:A,""))</f>
        <v>0</v>
      </c>
      <c r="L872">
        <f t="shared" si="131"/>
        <v>0</v>
      </c>
      <c r="M872">
        <f t="shared" si="132"/>
        <v>0</v>
      </c>
      <c r="N872">
        <f t="shared" si="140"/>
        <v>0</v>
      </c>
      <c r="O872">
        <f t="shared" si="133"/>
        <v>0</v>
      </c>
      <c r="P872">
        <f t="shared" si="134"/>
        <v>0</v>
      </c>
      <c r="R872" t="str">
        <f t="shared" si="135"/>
        <v>00</v>
      </c>
    </row>
    <row r="873" spans="1:18" x14ac:dyDescent="0.4">
      <c r="A873" s="1" t="str">
        <f t="shared" si="138"/>
        <v>1B3</v>
      </c>
      <c r="B873">
        <f t="shared" si="139"/>
        <v>1</v>
      </c>
      <c r="C873">
        <f>VALUE(MID(Hex!$C$2,1+2*HEX2DEC(A873)+B873,1))</f>
        <v>0</v>
      </c>
      <c r="D873" s="1" t="str">
        <f t="shared" si="136"/>
        <v>367</v>
      </c>
      <c r="E873">
        <f>HEX2DEC(MID(Hex!$C$8,1+HEX2DEC(Edit!D873)*2,2))</f>
        <v>0</v>
      </c>
      <c r="F873">
        <f t="shared" si="137"/>
        <v>871</v>
      </c>
      <c r="G873" t="str">
        <f>_xlfn.LET(_xlpm.custom,_xlfn.XLOOKUP(F873,Data!A:A,Data!C:C),IF(_xlpm.custom="",_xlfn.XLOOKUP(F873,Data!A:A,Data!B:B),_xlpm.custom))</f>
        <v>Garbodorite</v>
      </c>
      <c r="H873" t="str">
        <f>_xlfn.XLOOKUP(C873,Data!A:A,Data!E:E)</f>
        <v>General</v>
      </c>
      <c r="J873">
        <f>IF(I873="",C873,_xlfn.XLOOKUP(I873,Data!E:E,Data!A:A,""))</f>
        <v>0</v>
      </c>
      <c r="L873">
        <f t="shared" si="131"/>
        <v>0</v>
      </c>
      <c r="M873">
        <f t="shared" si="132"/>
        <v>0</v>
      </c>
      <c r="N873">
        <f t="shared" si="140"/>
        <v>0</v>
      </c>
      <c r="O873">
        <f t="shared" si="133"/>
        <v>0</v>
      </c>
      <c r="P873">
        <f t="shared" si="134"/>
        <v>0</v>
      </c>
      <c r="R873" t="str">
        <f t="shared" si="135"/>
        <v>00</v>
      </c>
    </row>
    <row r="874" spans="1:18" x14ac:dyDescent="0.4">
      <c r="A874" s="1" t="str">
        <f t="shared" si="138"/>
        <v>1B4</v>
      </c>
      <c r="B874">
        <f t="shared" si="139"/>
        <v>0</v>
      </c>
      <c r="C874">
        <f>VALUE(MID(Hex!$C$2,1+2*HEX2DEC(A874)+B874,1))</f>
        <v>0</v>
      </c>
      <c r="D874" s="1" t="str">
        <f t="shared" si="136"/>
        <v>368</v>
      </c>
      <c r="E874">
        <f>HEX2DEC(MID(Hex!$C$8,1+HEX2DEC(Edit!D874)*2,2))</f>
        <v>0</v>
      </c>
      <c r="F874">
        <f t="shared" si="137"/>
        <v>872</v>
      </c>
      <c r="G874" t="str">
        <f>_xlfn.LET(_xlpm.custom,_xlfn.XLOOKUP(F874,Data!A:A,Data!C:C),IF(_xlpm.custom="",_xlfn.XLOOKUP(F874,Data!A:A,Data!B:B),_xlpm.custom))</f>
        <v>Meganiumite</v>
      </c>
      <c r="H874" t="str">
        <f>_xlfn.XLOOKUP(C874,Data!A:A,Data!E:E)</f>
        <v>General</v>
      </c>
      <c r="J874">
        <f>IF(I874="",C874,_xlfn.XLOOKUP(I874,Data!E:E,Data!A:A,""))</f>
        <v>0</v>
      </c>
      <c r="L874">
        <f t="shared" si="131"/>
        <v>0</v>
      </c>
      <c r="M874">
        <f t="shared" si="132"/>
        <v>0</v>
      </c>
      <c r="N874">
        <f t="shared" si="140"/>
        <v>0</v>
      </c>
      <c r="O874">
        <f t="shared" si="133"/>
        <v>0</v>
      </c>
      <c r="P874">
        <f t="shared" si="134"/>
        <v>0</v>
      </c>
      <c r="R874" t="str">
        <f t="shared" si="135"/>
        <v>00</v>
      </c>
    </row>
    <row r="875" spans="1:18" x14ac:dyDescent="0.4">
      <c r="A875" s="1" t="str">
        <f t="shared" si="138"/>
        <v>1B4</v>
      </c>
      <c r="B875">
        <f t="shared" si="139"/>
        <v>1</v>
      </c>
      <c r="C875">
        <f>VALUE(MID(Hex!$C$2,1+2*HEX2DEC(A875)+B875,1))</f>
        <v>0</v>
      </c>
      <c r="D875" s="1" t="str">
        <f t="shared" si="136"/>
        <v>369</v>
      </c>
      <c r="E875">
        <f>HEX2DEC(MID(Hex!$C$8,1+HEX2DEC(Edit!D875)*2,2))</f>
        <v>0</v>
      </c>
      <c r="F875">
        <f t="shared" si="137"/>
        <v>873</v>
      </c>
      <c r="G875" t="str">
        <f>_xlfn.LET(_xlpm.custom,_xlfn.XLOOKUP(F875,Data!A:A,Data!C:C),IF(_xlpm.custom="",_xlfn.XLOOKUP(F875,Data!A:A,Data!B:B),_xlpm.custom))</f>
        <v>Machampinite</v>
      </c>
      <c r="H875" t="str">
        <f>_xlfn.XLOOKUP(C875,Data!A:A,Data!E:E)</f>
        <v>General</v>
      </c>
      <c r="J875">
        <f>IF(I875="",C875,_xlfn.XLOOKUP(I875,Data!E:E,Data!A:A,""))</f>
        <v>0</v>
      </c>
      <c r="L875">
        <f t="shared" si="131"/>
        <v>0</v>
      </c>
      <c r="M875">
        <f t="shared" si="132"/>
        <v>0</v>
      </c>
      <c r="N875">
        <f t="shared" si="140"/>
        <v>0</v>
      </c>
      <c r="O875">
        <f t="shared" si="133"/>
        <v>0</v>
      </c>
      <c r="P875">
        <f t="shared" si="134"/>
        <v>0</v>
      </c>
      <c r="R875" t="str">
        <f t="shared" si="135"/>
        <v>00</v>
      </c>
    </row>
    <row r="876" spans="1:18" x14ac:dyDescent="0.4">
      <c r="A876" s="1" t="str">
        <f t="shared" si="138"/>
        <v>1B5</v>
      </c>
      <c r="B876">
        <f t="shared" si="139"/>
        <v>0</v>
      </c>
      <c r="C876">
        <f>VALUE(MID(Hex!$C$2,1+2*HEX2DEC(A876)+B876,1))</f>
        <v>0</v>
      </c>
      <c r="D876" s="1" t="str">
        <f t="shared" si="136"/>
        <v>36A</v>
      </c>
      <c r="E876">
        <f>HEX2DEC(MID(Hex!$C$8,1+HEX2DEC(Edit!D876)*2,2))</f>
        <v>0</v>
      </c>
      <c r="F876">
        <f t="shared" si="137"/>
        <v>874</v>
      </c>
      <c r="G876" t="str">
        <f>_xlfn.LET(_xlpm.custom,_xlfn.XLOOKUP(F876,Data!A:A,Data!C:C),IF(_xlpm.custom="",_xlfn.XLOOKUP(F876,Data!A:A,Data!B:B),_xlpm.custom))</f>
        <v>Lurantinite</v>
      </c>
      <c r="H876" t="str">
        <f>_xlfn.XLOOKUP(C876,Data!A:A,Data!E:E)</f>
        <v>General</v>
      </c>
      <c r="J876">
        <f>IF(I876="",C876,_xlfn.XLOOKUP(I876,Data!E:E,Data!A:A,""))</f>
        <v>0</v>
      </c>
      <c r="L876">
        <f t="shared" si="131"/>
        <v>0</v>
      </c>
      <c r="M876">
        <f t="shared" si="132"/>
        <v>0</v>
      </c>
      <c r="N876">
        <f t="shared" si="140"/>
        <v>0</v>
      </c>
      <c r="O876">
        <f t="shared" si="133"/>
        <v>0</v>
      </c>
      <c r="P876">
        <f t="shared" si="134"/>
        <v>0</v>
      </c>
      <c r="R876" t="str">
        <f t="shared" si="135"/>
        <v>00</v>
      </c>
    </row>
    <row r="877" spans="1:18" x14ac:dyDescent="0.4">
      <c r="A877" s="1" t="str">
        <f t="shared" si="138"/>
        <v>1B5</v>
      </c>
      <c r="B877">
        <f t="shared" si="139"/>
        <v>1</v>
      </c>
      <c r="C877">
        <f>VALUE(MID(Hex!$C$2,1+2*HEX2DEC(A877)+B877,1))</f>
        <v>0</v>
      </c>
      <c r="D877" s="1" t="str">
        <f t="shared" si="136"/>
        <v>36B</v>
      </c>
      <c r="E877">
        <f>HEX2DEC(MID(Hex!$C$8,1+HEX2DEC(Edit!D877)*2,2))</f>
        <v>0</v>
      </c>
      <c r="F877">
        <f t="shared" si="137"/>
        <v>875</v>
      </c>
      <c r="G877" t="str">
        <f>_xlfn.LET(_xlpm.custom,_xlfn.XLOOKUP(F877,Data!A:A,Data!C:C),IF(_xlpm.custom="",_xlfn.XLOOKUP(F877,Data!A:A,Data!B:B),_xlpm.custom))</f>
        <v>Araquanite</v>
      </c>
      <c r="H877" t="str">
        <f>_xlfn.XLOOKUP(C877,Data!A:A,Data!E:E)</f>
        <v>General</v>
      </c>
      <c r="J877">
        <f>IF(I877="",C877,_xlfn.XLOOKUP(I877,Data!E:E,Data!A:A,""))</f>
        <v>0</v>
      </c>
      <c r="L877">
        <f t="shared" si="131"/>
        <v>0</v>
      </c>
      <c r="M877">
        <f t="shared" si="132"/>
        <v>0</v>
      </c>
      <c r="N877">
        <f t="shared" si="140"/>
        <v>0</v>
      </c>
      <c r="O877">
        <f t="shared" si="133"/>
        <v>0</v>
      </c>
      <c r="P877">
        <f t="shared" si="134"/>
        <v>0</v>
      </c>
      <c r="R877" t="str">
        <f t="shared" si="135"/>
        <v>00</v>
      </c>
    </row>
    <row r="878" spans="1:18" x14ac:dyDescent="0.4">
      <c r="A878" s="1" t="str">
        <f t="shared" si="138"/>
        <v>1B6</v>
      </c>
      <c r="B878">
        <f t="shared" si="139"/>
        <v>0</v>
      </c>
      <c r="C878">
        <f>VALUE(MID(Hex!$C$2,1+2*HEX2DEC(A878)+B878,1))</f>
        <v>0</v>
      </c>
      <c r="D878" s="1" t="str">
        <f t="shared" si="136"/>
        <v>36C</v>
      </c>
      <c r="E878">
        <f>HEX2DEC(MID(Hex!$C$8,1+HEX2DEC(Edit!D878)*2,2))</f>
        <v>0</v>
      </c>
      <c r="F878">
        <f t="shared" si="137"/>
        <v>876</v>
      </c>
      <c r="G878" t="str">
        <f>_xlfn.LET(_xlpm.custom,_xlfn.XLOOKUP(F878,Data!A:A,Data!C:C),IF(_xlpm.custom="",_xlfn.XLOOKUP(F878,Data!A:A,Data!B:B),_xlpm.custom))</f>
        <v>Cherriminite</v>
      </c>
      <c r="H878" t="str">
        <f>_xlfn.XLOOKUP(C878,Data!A:A,Data!E:E)</f>
        <v>General</v>
      </c>
      <c r="J878">
        <f>IF(I878="",C878,_xlfn.XLOOKUP(I878,Data!E:E,Data!A:A,""))</f>
        <v>0</v>
      </c>
      <c r="L878">
        <f t="shared" si="131"/>
        <v>0</v>
      </c>
      <c r="M878">
        <f t="shared" si="132"/>
        <v>0</v>
      </c>
      <c r="N878">
        <f t="shared" si="140"/>
        <v>0</v>
      </c>
      <c r="O878">
        <f t="shared" si="133"/>
        <v>0</v>
      </c>
      <c r="P878">
        <f t="shared" si="134"/>
        <v>0</v>
      </c>
      <c r="R878" t="str">
        <f t="shared" si="135"/>
        <v>00</v>
      </c>
    </row>
    <row r="879" spans="1:18" x14ac:dyDescent="0.4">
      <c r="A879" s="1" t="str">
        <f t="shared" si="138"/>
        <v>1B6</v>
      </c>
      <c r="B879">
        <f t="shared" si="139"/>
        <v>1</v>
      </c>
      <c r="C879">
        <f>VALUE(MID(Hex!$C$2,1+2*HEX2DEC(A879)+B879,1))</f>
        <v>0</v>
      </c>
      <c r="D879" s="1" t="str">
        <f t="shared" si="136"/>
        <v>36D</v>
      </c>
      <c r="E879">
        <f>HEX2DEC(MID(Hex!$C$8,1+HEX2DEC(Edit!D879)*2,2))</f>
        <v>0</v>
      </c>
      <c r="F879">
        <f t="shared" si="137"/>
        <v>877</v>
      </c>
      <c r="G879" t="str">
        <f>_xlfn.LET(_xlpm.custom,_xlfn.XLOOKUP(F879,Data!A:A,Data!C:C),IF(_xlpm.custom="",_xlfn.XLOOKUP(F879,Data!A:A,Data!B:B),_xlpm.custom))</f>
        <v>Ribombinite</v>
      </c>
      <c r="H879" t="str">
        <f>_xlfn.XLOOKUP(C879,Data!A:A,Data!E:E)</f>
        <v>General</v>
      </c>
      <c r="J879">
        <f>IF(I879="",C879,_xlfn.XLOOKUP(I879,Data!E:E,Data!A:A,""))</f>
        <v>0</v>
      </c>
      <c r="L879">
        <f t="shared" si="131"/>
        <v>0</v>
      </c>
      <c r="M879">
        <f t="shared" si="132"/>
        <v>0</v>
      </c>
      <c r="N879">
        <f t="shared" si="140"/>
        <v>0</v>
      </c>
      <c r="O879">
        <f t="shared" si="133"/>
        <v>0</v>
      </c>
      <c r="P879">
        <f t="shared" si="134"/>
        <v>0</v>
      </c>
      <c r="R879" t="str">
        <f t="shared" si="135"/>
        <v>00</v>
      </c>
    </row>
    <row r="880" spans="1:18" x14ac:dyDescent="0.4">
      <c r="A880" s="1" t="str">
        <f t="shared" si="138"/>
        <v>1B7</v>
      </c>
      <c r="B880">
        <f t="shared" si="139"/>
        <v>0</v>
      </c>
      <c r="C880">
        <f>VALUE(MID(Hex!$C$2,1+2*HEX2DEC(A880)+B880,1))</f>
        <v>0</v>
      </c>
      <c r="D880" s="1" t="str">
        <f t="shared" si="136"/>
        <v>36E</v>
      </c>
      <c r="E880">
        <f>HEX2DEC(MID(Hex!$C$8,1+HEX2DEC(Edit!D880)*2,2))</f>
        <v>0</v>
      </c>
      <c r="F880">
        <f t="shared" si="137"/>
        <v>878</v>
      </c>
      <c r="G880" t="str">
        <f>_xlfn.LET(_xlpm.custom,_xlfn.XLOOKUP(F880,Data!A:A,Data!C:C),IF(_xlpm.custom="",_xlfn.XLOOKUP(F880,Data!A:A,Data!B:B),_xlpm.custom))</f>
        <v>Raichunite X</v>
      </c>
      <c r="H880" t="str">
        <f>_xlfn.XLOOKUP(C880,Data!A:A,Data!E:E)</f>
        <v>General</v>
      </c>
      <c r="J880">
        <f>IF(I880="",C880,_xlfn.XLOOKUP(I880,Data!E:E,Data!A:A,""))</f>
        <v>0</v>
      </c>
      <c r="L880">
        <f t="shared" si="131"/>
        <v>0</v>
      </c>
      <c r="M880">
        <f t="shared" si="132"/>
        <v>0</v>
      </c>
      <c r="N880">
        <f t="shared" si="140"/>
        <v>0</v>
      </c>
      <c r="O880">
        <f t="shared" si="133"/>
        <v>0</v>
      </c>
      <c r="P880">
        <f t="shared" si="134"/>
        <v>0</v>
      </c>
      <c r="R880" t="str">
        <f t="shared" si="135"/>
        <v>00</v>
      </c>
    </row>
    <row r="881" spans="1:18" x14ac:dyDescent="0.4">
      <c r="A881" s="1" t="str">
        <f t="shared" si="138"/>
        <v>1B7</v>
      </c>
      <c r="B881">
        <f t="shared" si="139"/>
        <v>1</v>
      </c>
      <c r="C881">
        <f>VALUE(MID(Hex!$C$2,1+2*HEX2DEC(A881)+B881,1))</f>
        <v>0</v>
      </c>
      <c r="D881" s="1" t="str">
        <f t="shared" si="136"/>
        <v>36F</v>
      </c>
      <c r="E881">
        <f>HEX2DEC(MID(Hex!$C$8,1+HEX2DEC(Edit!D881)*2,2))</f>
        <v>0</v>
      </c>
      <c r="F881">
        <f t="shared" si="137"/>
        <v>879</v>
      </c>
      <c r="G881" t="str">
        <f>_xlfn.LET(_xlpm.custom,_xlfn.XLOOKUP(F881,Data!A:A,Data!C:C),IF(_xlpm.custom="",_xlfn.XLOOKUP(F881,Data!A:A,Data!B:B),_xlpm.custom))</f>
        <v>Terrain Extender</v>
      </c>
      <c r="H881" t="str">
        <f>_xlfn.XLOOKUP(C881,Data!A:A,Data!E:E)</f>
        <v>General</v>
      </c>
      <c r="J881">
        <f>IF(I881="",C881,_xlfn.XLOOKUP(I881,Data!E:E,Data!A:A,""))</f>
        <v>0</v>
      </c>
      <c r="L881">
        <f t="shared" si="131"/>
        <v>0</v>
      </c>
      <c r="M881">
        <f t="shared" si="132"/>
        <v>0</v>
      </c>
      <c r="N881">
        <f t="shared" si="140"/>
        <v>0</v>
      </c>
      <c r="O881">
        <f t="shared" si="133"/>
        <v>0</v>
      </c>
      <c r="P881">
        <f t="shared" si="134"/>
        <v>0</v>
      </c>
      <c r="R881" t="str">
        <f t="shared" si="135"/>
        <v>00</v>
      </c>
    </row>
    <row r="882" spans="1:18" x14ac:dyDescent="0.4">
      <c r="A882" s="1" t="str">
        <f t="shared" si="138"/>
        <v>1B8</v>
      </c>
      <c r="B882">
        <f t="shared" si="139"/>
        <v>0</v>
      </c>
      <c r="C882">
        <f>VALUE(MID(Hex!$C$2,1+2*HEX2DEC(A882)+B882,1))</f>
        <v>0</v>
      </c>
      <c r="D882" s="1" t="str">
        <f t="shared" si="136"/>
        <v>370</v>
      </c>
      <c r="E882">
        <f>HEX2DEC(MID(Hex!$C$8,1+HEX2DEC(Edit!D882)*2,2))</f>
        <v>0</v>
      </c>
      <c r="F882">
        <f t="shared" si="137"/>
        <v>880</v>
      </c>
      <c r="G882" t="str">
        <f>_xlfn.LET(_xlpm.custom,_xlfn.XLOOKUP(F882,Data!A:A,Data!C:C),IF(_xlpm.custom="",_xlfn.XLOOKUP(F882,Data!A:A,Data!B:B),_xlpm.custom))</f>
        <v>Protective Pads</v>
      </c>
      <c r="H882" t="str">
        <f>_xlfn.XLOOKUP(C882,Data!A:A,Data!E:E)</f>
        <v>General</v>
      </c>
      <c r="J882">
        <f>IF(I882="",C882,_xlfn.XLOOKUP(I882,Data!E:E,Data!A:A,""))</f>
        <v>0</v>
      </c>
      <c r="L882">
        <f t="shared" si="131"/>
        <v>0</v>
      </c>
      <c r="M882">
        <f t="shared" si="132"/>
        <v>0</v>
      </c>
      <c r="N882">
        <f t="shared" si="140"/>
        <v>0</v>
      </c>
      <c r="O882">
        <f t="shared" si="133"/>
        <v>0</v>
      </c>
      <c r="P882">
        <f t="shared" si="134"/>
        <v>0</v>
      </c>
      <c r="R882" t="str">
        <f t="shared" si="135"/>
        <v>00</v>
      </c>
    </row>
    <row r="883" spans="1:18" x14ac:dyDescent="0.4">
      <c r="A883" s="1" t="str">
        <f t="shared" si="138"/>
        <v>1B8</v>
      </c>
      <c r="B883">
        <f t="shared" si="139"/>
        <v>1</v>
      </c>
      <c r="C883">
        <f>VALUE(MID(Hex!$C$2,1+2*HEX2DEC(A883)+B883,1))</f>
        <v>0</v>
      </c>
      <c r="D883" s="1" t="str">
        <f t="shared" si="136"/>
        <v>371</v>
      </c>
      <c r="E883">
        <f>HEX2DEC(MID(Hex!$C$8,1+HEX2DEC(Edit!D883)*2,2))</f>
        <v>0</v>
      </c>
      <c r="F883">
        <f t="shared" si="137"/>
        <v>881</v>
      </c>
      <c r="G883" t="str">
        <f>_xlfn.LET(_xlpm.custom,_xlfn.XLOOKUP(F883,Data!A:A,Data!C:C),IF(_xlpm.custom="",_xlfn.XLOOKUP(F883,Data!A:A,Data!B:B),_xlpm.custom))</f>
        <v>Electric Seed</v>
      </c>
      <c r="H883" t="str">
        <f>_xlfn.XLOOKUP(C883,Data!A:A,Data!E:E)</f>
        <v>General</v>
      </c>
      <c r="J883">
        <f>IF(I883="",C883,_xlfn.XLOOKUP(I883,Data!E:E,Data!A:A,""))</f>
        <v>0</v>
      </c>
      <c r="L883">
        <f t="shared" si="131"/>
        <v>0</v>
      </c>
      <c r="M883">
        <f t="shared" si="132"/>
        <v>0</v>
      </c>
      <c r="N883">
        <f t="shared" si="140"/>
        <v>0</v>
      </c>
      <c r="O883">
        <f t="shared" si="133"/>
        <v>0</v>
      </c>
      <c r="P883">
        <f t="shared" si="134"/>
        <v>0</v>
      </c>
      <c r="R883" t="str">
        <f t="shared" si="135"/>
        <v>00</v>
      </c>
    </row>
    <row r="884" spans="1:18" x14ac:dyDescent="0.4">
      <c r="A884" s="1" t="str">
        <f t="shared" si="138"/>
        <v>1B9</v>
      </c>
      <c r="B884">
        <f t="shared" si="139"/>
        <v>0</v>
      </c>
      <c r="C884">
        <f>VALUE(MID(Hex!$C$2,1+2*HEX2DEC(A884)+B884,1))</f>
        <v>0</v>
      </c>
      <c r="D884" s="1" t="str">
        <f t="shared" si="136"/>
        <v>372</v>
      </c>
      <c r="E884">
        <f>HEX2DEC(MID(Hex!$C$8,1+HEX2DEC(Edit!D884)*2,2))</f>
        <v>0</v>
      </c>
      <c r="F884">
        <f t="shared" si="137"/>
        <v>882</v>
      </c>
      <c r="G884" t="str">
        <f>_xlfn.LET(_xlpm.custom,_xlfn.XLOOKUP(F884,Data!A:A,Data!C:C),IF(_xlpm.custom="",_xlfn.XLOOKUP(F884,Data!A:A,Data!B:B),_xlpm.custom))</f>
        <v>Psychic Seed</v>
      </c>
      <c r="H884" t="str">
        <f>_xlfn.XLOOKUP(C884,Data!A:A,Data!E:E)</f>
        <v>General</v>
      </c>
      <c r="J884">
        <f>IF(I884="",C884,_xlfn.XLOOKUP(I884,Data!E:E,Data!A:A,""))</f>
        <v>0</v>
      </c>
      <c r="L884">
        <f t="shared" si="131"/>
        <v>0</v>
      </c>
      <c r="M884">
        <f t="shared" si="132"/>
        <v>0</v>
      </c>
      <c r="N884">
        <f t="shared" si="140"/>
        <v>0</v>
      </c>
      <c r="O884">
        <f t="shared" si="133"/>
        <v>0</v>
      </c>
      <c r="P884">
        <f t="shared" si="134"/>
        <v>0</v>
      </c>
      <c r="R884" t="str">
        <f t="shared" si="135"/>
        <v>00</v>
      </c>
    </row>
    <row r="885" spans="1:18" x14ac:dyDescent="0.4">
      <c r="A885" s="1" t="str">
        <f t="shared" si="138"/>
        <v>1B9</v>
      </c>
      <c r="B885">
        <f t="shared" si="139"/>
        <v>1</v>
      </c>
      <c r="C885">
        <f>VALUE(MID(Hex!$C$2,1+2*HEX2DEC(A885)+B885,1))</f>
        <v>0</v>
      </c>
      <c r="D885" s="1" t="str">
        <f t="shared" si="136"/>
        <v>373</v>
      </c>
      <c r="E885">
        <f>HEX2DEC(MID(Hex!$C$8,1+HEX2DEC(Edit!D885)*2,2))</f>
        <v>0</v>
      </c>
      <c r="F885">
        <f t="shared" si="137"/>
        <v>883</v>
      </c>
      <c r="G885" t="str">
        <f>_xlfn.LET(_xlpm.custom,_xlfn.XLOOKUP(F885,Data!A:A,Data!C:C),IF(_xlpm.custom="",_xlfn.XLOOKUP(F885,Data!A:A,Data!B:B),_xlpm.custom))</f>
        <v>Misty Seed</v>
      </c>
      <c r="H885" t="str">
        <f>_xlfn.XLOOKUP(C885,Data!A:A,Data!E:E)</f>
        <v>General</v>
      </c>
      <c r="J885">
        <f>IF(I885="",C885,_xlfn.XLOOKUP(I885,Data!E:E,Data!A:A,""))</f>
        <v>0</v>
      </c>
      <c r="L885">
        <f t="shared" si="131"/>
        <v>0</v>
      </c>
      <c r="M885">
        <f t="shared" si="132"/>
        <v>0</v>
      </c>
      <c r="N885">
        <f t="shared" si="140"/>
        <v>0</v>
      </c>
      <c r="O885">
        <f t="shared" si="133"/>
        <v>0</v>
      </c>
      <c r="P885">
        <f t="shared" si="134"/>
        <v>0</v>
      </c>
      <c r="R885" t="str">
        <f t="shared" si="135"/>
        <v>00</v>
      </c>
    </row>
    <row r="886" spans="1:18" x14ac:dyDescent="0.4">
      <c r="A886" s="1" t="str">
        <f t="shared" si="138"/>
        <v>1BA</v>
      </c>
      <c r="B886">
        <f t="shared" si="139"/>
        <v>0</v>
      </c>
      <c r="C886">
        <f>VALUE(MID(Hex!$C$2,1+2*HEX2DEC(A886)+B886,1))</f>
        <v>0</v>
      </c>
      <c r="D886" s="1" t="str">
        <f t="shared" si="136"/>
        <v>374</v>
      </c>
      <c r="E886">
        <f>HEX2DEC(MID(Hex!$C$8,1+HEX2DEC(Edit!D886)*2,2))</f>
        <v>0</v>
      </c>
      <c r="F886">
        <f t="shared" si="137"/>
        <v>884</v>
      </c>
      <c r="G886" t="str">
        <f>_xlfn.LET(_xlpm.custom,_xlfn.XLOOKUP(F886,Data!A:A,Data!C:C),IF(_xlpm.custom="",_xlfn.XLOOKUP(F886,Data!A:A,Data!B:B),_xlpm.custom))</f>
        <v>Grassy Seed</v>
      </c>
      <c r="H886" t="str">
        <f>_xlfn.XLOOKUP(C886,Data!A:A,Data!E:E)</f>
        <v>General</v>
      </c>
      <c r="J886">
        <f>IF(I886="",C886,_xlfn.XLOOKUP(I886,Data!E:E,Data!A:A,""))</f>
        <v>0</v>
      </c>
      <c r="L886">
        <f t="shared" si="131"/>
        <v>0</v>
      </c>
      <c r="M886">
        <f t="shared" si="132"/>
        <v>0</v>
      </c>
      <c r="N886">
        <f t="shared" si="140"/>
        <v>0</v>
      </c>
      <c r="O886">
        <f t="shared" si="133"/>
        <v>0</v>
      </c>
      <c r="P886">
        <f t="shared" si="134"/>
        <v>0</v>
      </c>
      <c r="R886" t="str">
        <f t="shared" si="135"/>
        <v>00</v>
      </c>
    </row>
    <row r="887" spans="1:18" x14ac:dyDescent="0.4">
      <c r="A887" s="1" t="str">
        <f t="shared" si="138"/>
        <v>1BA</v>
      </c>
      <c r="B887">
        <f t="shared" si="139"/>
        <v>1</v>
      </c>
      <c r="C887">
        <f>VALUE(MID(Hex!$C$2,1+2*HEX2DEC(A887)+B887,1))</f>
        <v>0</v>
      </c>
      <c r="D887" s="1" t="str">
        <f t="shared" si="136"/>
        <v>375</v>
      </c>
      <c r="E887">
        <f>HEX2DEC(MID(Hex!$C$8,1+HEX2DEC(Edit!D887)*2,2))</f>
        <v>0</v>
      </c>
      <c r="F887">
        <f t="shared" si="137"/>
        <v>885</v>
      </c>
      <c r="G887" t="str">
        <f>_xlfn.LET(_xlpm.custom,_xlfn.XLOOKUP(F887,Data!A:A,Data!C:C),IF(_xlpm.custom="",_xlfn.XLOOKUP(F887,Data!A:A,Data!B:B),_xlpm.custom))</f>
        <v>Crabominite</v>
      </c>
      <c r="H887" t="str">
        <f>_xlfn.XLOOKUP(C887,Data!A:A,Data!E:E)</f>
        <v>General</v>
      </c>
      <c r="J887">
        <f>IF(I887="",C887,_xlfn.XLOOKUP(I887,Data!E:E,Data!A:A,""))</f>
        <v>0</v>
      </c>
      <c r="L887">
        <f t="shared" si="131"/>
        <v>0</v>
      </c>
      <c r="M887">
        <f t="shared" si="132"/>
        <v>0</v>
      </c>
      <c r="N887">
        <f t="shared" si="140"/>
        <v>0</v>
      </c>
      <c r="O887">
        <f t="shared" si="133"/>
        <v>0</v>
      </c>
      <c r="P887">
        <f t="shared" si="134"/>
        <v>0</v>
      </c>
      <c r="R887" t="str">
        <f t="shared" si="135"/>
        <v>00</v>
      </c>
    </row>
    <row r="888" spans="1:18" x14ac:dyDescent="0.4">
      <c r="A888" s="1" t="str">
        <f t="shared" si="138"/>
        <v>1BB</v>
      </c>
      <c r="B888">
        <f t="shared" si="139"/>
        <v>0</v>
      </c>
      <c r="C888">
        <f>VALUE(MID(Hex!$C$2,1+2*HEX2DEC(A888)+B888,1))</f>
        <v>0</v>
      </c>
      <c r="D888" s="1" t="str">
        <f t="shared" si="136"/>
        <v>376</v>
      </c>
      <c r="E888">
        <f>HEX2DEC(MID(Hex!$C$8,1+HEX2DEC(Edit!D888)*2,2))</f>
        <v>0</v>
      </c>
      <c r="F888">
        <f t="shared" si="137"/>
        <v>886</v>
      </c>
      <c r="G888" t="str">
        <f>_xlfn.LET(_xlpm.custom,_xlfn.XLOOKUP(F888,Data!A:A,Data!C:C),IF(_xlpm.custom="",_xlfn.XLOOKUP(F888,Data!A:A,Data!B:B),_xlpm.custom))</f>
        <v>Drampanite</v>
      </c>
      <c r="H888" t="str">
        <f>_xlfn.XLOOKUP(C888,Data!A:A,Data!E:E)</f>
        <v>General</v>
      </c>
      <c r="J888">
        <f>IF(I888="",C888,_xlfn.XLOOKUP(I888,Data!E:E,Data!A:A,""))</f>
        <v>0</v>
      </c>
      <c r="L888">
        <f t="shared" si="131"/>
        <v>0</v>
      </c>
      <c r="M888">
        <f t="shared" si="132"/>
        <v>0</v>
      </c>
      <c r="N888">
        <f t="shared" si="140"/>
        <v>0</v>
      </c>
      <c r="O888">
        <f t="shared" si="133"/>
        <v>0</v>
      </c>
      <c r="P888">
        <f t="shared" si="134"/>
        <v>0</v>
      </c>
      <c r="R888" t="str">
        <f t="shared" si="135"/>
        <v>00</v>
      </c>
    </row>
    <row r="889" spans="1:18" x14ac:dyDescent="0.4">
      <c r="A889" s="1" t="str">
        <f t="shared" si="138"/>
        <v>1BB</v>
      </c>
      <c r="B889">
        <f t="shared" si="139"/>
        <v>1</v>
      </c>
      <c r="C889">
        <f>VALUE(MID(Hex!$C$2,1+2*HEX2DEC(A889)+B889,1))</f>
        <v>0</v>
      </c>
      <c r="D889" s="1" t="str">
        <f t="shared" si="136"/>
        <v>377</v>
      </c>
      <c r="E889">
        <f>HEX2DEC(MID(Hex!$C$8,1+HEX2DEC(Edit!D889)*2,2))</f>
        <v>0</v>
      </c>
      <c r="F889">
        <f t="shared" si="137"/>
        <v>887</v>
      </c>
      <c r="G889" t="str">
        <f>_xlfn.LET(_xlpm.custom,_xlfn.XLOOKUP(F889,Data!A:A,Data!C:C),IF(_xlpm.custom="",_xlfn.XLOOKUP(F889,Data!A:A,Data!B:B),_xlpm.custom))</f>
        <v>Excadrite</v>
      </c>
      <c r="H889" t="str">
        <f>_xlfn.XLOOKUP(C889,Data!A:A,Data!E:E)</f>
        <v>General</v>
      </c>
      <c r="J889">
        <f>IF(I889="",C889,_xlfn.XLOOKUP(I889,Data!E:E,Data!A:A,""))</f>
        <v>0</v>
      </c>
      <c r="L889">
        <f t="shared" si="131"/>
        <v>0</v>
      </c>
      <c r="M889">
        <f t="shared" si="132"/>
        <v>0</v>
      </c>
      <c r="N889">
        <f t="shared" si="140"/>
        <v>0</v>
      </c>
      <c r="O889">
        <f t="shared" si="133"/>
        <v>0</v>
      </c>
      <c r="P889">
        <f t="shared" si="134"/>
        <v>0</v>
      </c>
      <c r="R889" t="str">
        <f t="shared" si="135"/>
        <v>00</v>
      </c>
    </row>
    <row r="890" spans="1:18" x14ac:dyDescent="0.4">
      <c r="A890" s="1" t="str">
        <f t="shared" si="138"/>
        <v>1BC</v>
      </c>
      <c r="B890">
        <f t="shared" si="139"/>
        <v>0</v>
      </c>
      <c r="C890">
        <f>VALUE(MID(Hex!$C$2,1+2*HEX2DEC(A890)+B890,1))</f>
        <v>0</v>
      </c>
      <c r="D890" s="1" t="str">
        <f t="shared" si="136"/>
        <v>378</v>
      </c>
      <c r="E890">
        <f>HEX2DEC(MID(Hex!$C$8,1+HEX2DEC(Edit!D890)*2,2))</f>
        <v>0</v>
      </c>
      <c r="F890">
        <f t="shared" si="137"/>
        <v>888</v>
      </c>
      <c r="G890" t="str">
        <f>_xlfn.LET(_xlpm.custom,_xlfn.XLOOKUP(F890,Data!A:A,Data!C:C),IF(_xlpm.custom="",_xlfn.XLOOKUP(F890,Data!A:A,Data!B:B),_xlpm.custom))</f>
        <v>Emboarite</v>
      </c>
      <c r="H890" t="str">
        <f>_xlfn.XLOOKUP(C890,Data!A:A,Data!E:E)</f>
        <v>General</v>
      </c>
      <c r="J890">
        <f>IF(I890="",C890,_xlfn.XLOOKUP(I890,Data!E:E,Data!A:A,""))</f>
        <v>0</v>
      </c>
      <c r="L890">
        <f t="shared" si="131"/>
        <v>0</v>
      </c>
      <c r="M890">
        <f t="shared" si="132"/>
        <v>0</v>
      </c>
      <c r="N890">
        <f t="shared" si="140"/>
        <v>0</v>
      </c>
      <c r="O890">
        <f t="shared" si="133"/>
        <v>0</v>
      </c>
      <c r="P890">
        <f t="shared" si="134"/>
        <v>0</v>
      </c>
      <c r="R890" t="str">
        <f t="shared" si="135"/>
        <v>00</v>
      </c>
    </row>
    <row r="891" spans="1:18" x14ac:dyDescent="0.4">
      <c r="A891" s="1" t="str">
        <f t="shared" si="138"/>
        <v>1BC</v>
      </c>
      <c r="B891">
        <f t="shared" si="139"/>
        <v>1</v>
      </c>
      <c r="C891">
        <f>VALUE(MID(Hex!$C$2,1+2*HEX2DEC(A891)+B891,1))</f>
        <v>0</v>
      </c>
      <c r="D891" s="1" t="str">
        <f t="shared" si="136"/>
        <v>379</v>
      </c>
      <c r="E891">
        <f>HEX2DEC(MID(Hex!$C$8,1+HEX2DEC(Edit!D891)*2,2))</f>
        <v>0</v>
      </c>
      <c r="F891">
        <f t="shared" si="137"/>
        <v>889</v>
      </c>
      <c r="G891" t="str">
        <f>_xlfn.LET(_xlpm.custom,_xlfn.XLOOKUP(F891,Data!A:A,Data!C:C),IF(_xlpm.custom="",_xlfn.XLOOKUP(F891,Data!A:A,Data!B:B),_xlpm.custom))</f>
        <v>Hawluchanite</v>
      </c>
      <c r="H891" t="str">
        <f>_xlfn.XLOOKUP(C891,Data!A:A,Data!E:E)</f>
        <v>General</v>
      </c>
      <c r="J891">
        <f>IF(I891="",C891,_xlfn.XLOOKUP(I891,Data!E:E,Data!A:A,""))</f>
        <v>0</v>
      </c>
      <c r="L891">
        <f t="shared" si="131"/>
        <v>0</v>
      </c>
      <c r="M891">
        <f t="shared" si="132"/>
        <v>0</v>
      </c>
      <c r="N891">
        <f t="shared" si="140"/>
        <v>0</v>
      </c>
      <c r="O891">
        <f t="shared" si="133"/>
        <v>0</v>
      </c>
      <c r="P891">
        <f t="shared" si="134"/>
        <v>0</v>
      </c>
      <c r="R891" t="str">
        <f t="shared" si="135"/>
        <v>00</v>
      </c>
    </row>
    <row r="892" spans="1:18" x14ac:dyDescent="0.4">
      <c r="A892" s="1" t="str">
        <f t="shared" si="138"/>
        <v>1BD</v>
      </c>
      <c r="B892">
        <f t="shared" si="139"/>
        <v>0</v>
      </c>
      <c r="C892">
        <f>VALUE(MID(Hex!$C$2,1+2*HEX2DEC(A892)+B892,1))</f>
        <v>0</v>
      </c>
      <c r="D892" s="1" t="str">
        <f t="shared" si="136"/>
        <v>37A</v>
      </c>
      <c r="E892">
        <f>HEX2DEC(MID(Hex!$C$8,1+HEX2DEC(Edit!D892)*2,2))</f>
        <v>0</v>
      </c>
      <c r="F892">
        <f t="shared" si="137"/>
        <v>890</v>
      </c>
      <c r="G892" t="str">
        <f>_xlfn.LET(_xlpm.custom,_xlfn.XLOOKUP(F892,Data!A:A,Data!C:C),IF(_xlpm.custom="",_xlfn.XLOOKUP(F892,Data!A:A,Data!B:B),_xlpm.custom))</f>
        <v>Meowsticite</v>
      </c>
      <c r="H892" t="str">
        <f>_xlfn.XLOOKUP(C892,Data!A:A,Data!E:E)</f>
        <v>General</v>
      </c>
      <c r="J892">
        <f>IF(I892="",C892,_xlfn.XLOOKUP(I892,Data!E:E,Data!A:A,""))</f>
        <v>0</v>
      </c>
      <c r="L892">
        <f t="shared" si="131"/>
        <v>0</v>
      </c>
      <c r="M892">
        <f t="shared" si="132"/>
        <v>0</v>
      </c>
      <c r="N892">
        <f t="shared" si="140"/>
        <v>0</v>
      </c>
      <c r="O892">
        <f t="shared" si="133"/>
        <v>0</v>
      </c>
      <c r="P892">
        <f t="shared" si="134"/>
        <v>0</v>
      </c>
      <c r="R892" t="str">
        <f t="shared" si="135"/>
        <v>00</v>
      </c>
    </row>
    <row r="893" spans="1:18" x14ac:dyDescent="0.4">
      <c r="A893" s="1" t="str">
        <f t="shared" si="138"/>
        <v>1BD</v>
      </c>
      <c r="B893">
        <f t="shared" si="139"/>
        <v>1</v>
      </c>
      <c r="C893">
        <f>VALUE(MID(Hex!$C$2,1+2*HEX2DEC(A893)+B893,1))</f>
        <v>0</v>
      </c>
      <c r="D893" s="1" t="str">
        <f t="shared" si="136"/>
        <v>37B</v>
      </c>
      <c r="E893">
        <f>HEX2DEC(MID(Hex!$C$8,1+HEX2DEC(Edit!D893)*2,2))</f>
        <v>0</v>
      </c>
      <c r="F893">
        <f t="shared" si="137"/>
        <v>891</v>
      </c>
      <c r="G893" t="str">
        <f>_xlfn.LET(_xlpm.custom,_xlfn.XLOOKUP(F893,Data!A:A,Data!C:C),IF(_xlpm.custom="",_xlfn.XLOOKUP(F893,Data!A:A,Data!B:B),_xlpm.custom))</f>
        <v>Starminite</v>
      </c>
      <c r="H893" t="str">
        <f>_xlfn.XLOOKUP(C893,Data!A:A,Data!E:E)</f>
        <v>General</v>
      </c>
      <c r="J893">
        <f>IF(I893="",C893,_xlfn.XLOOKUP(I893,Data!E:E,Data!A:A,""))</f>
        <v>0</v>
      </c>
      <c r="L893">
        <f t="shared" si="131"/>
        <v>0</v>
      </c>
      <c r="M893">
        <f t="shared" si="132"/>
        <v>0</v>
      </c>
      <c r="N893">
        <f t="shared" si="140"/>
        <v>0</v>
      </c>
      <c r="O893">
        <f t="shared" si="133"/>
        <v>0</v>
      </c>
      <c r="P893">
        <f t="shared" si="134"/>
        <v>0</v>
      </c>
      <c r="R893" t="str">
        <f t="shared" si="135"/>
        <v>00</v>
      </c>
    </row>
    <row r="894" spans="1:18" x14ac:dyDescent="0.4">
      <c r="A894" s="1" t="str">
        <f t="shared" si="138"/>
        <v>1BE</v>
      </c>
      <c r="B894">
        <f t="shared" si="139"/>
        <v>0</v>
      </c>
      <c r="C894">
        <f>VALUE(MID(Hex!$C$2,1+2*HEX2DEC(A894)+B894,1))</f>
        <v>0</v>
      </c>
      <c r="D894" s="1" t="str">
        <f t="shared" si="136"/>
        <v>37C</v>
      </c>
      <c r="E894">
        <f>HEX2DEC(MID(Hex!$C$8,1+HEX2DEC(Edit!D894)*2,2))</f>
        <v>0</v>
      </c>
      <c r="F894">
        <f t="shared" si="137"/>
        <v>892</v>
      </c>
      <c r="G894" t="str">
        <f>_xlfn.LET(_xlpm.custom,_xlfn.XLOOKUP(F894,Data!A:A,Data!C:C),IF(_xlpm.custom="",_xlfn.XLOOKUP(F894,Data!A:A,Data!B:B),_xlpm.custom))</f>
        <v>Raichunite X</v>
      </c>
      <c r="H894" t="str">
        <f>_xlfn.XLOOKUP(C894,Data!A:A,Data!E:E)</f>
        <v>General</v>
      </c>
      <c r="J894">
        <f>IF(I894="",C894,_xlfn.XLOOKUP(I894,Data!E:E,Data!A:A,""))</f>
        <v>0</v>
      </c>
      <c r="L894">
        <f t="shared" si="131"/>
        <v>0</v>
      </c>
      <c r="M894">
        <f t="shared" si="132"/>
        <v>0</v>
      </c>
      <c r="N894">
        <f t="shared" si="140"/>
        <v>0</v>
      </c>
      <c r="O894">
        <f t="shared" si="133"/>
        <v>0</v>
      </c>
      <c r="P894">
        <f t="shared" si="134"/>
        <v>0</v>
      </c>
      <c r="R894" t="str">
        <f t="shared" si="135"/>
        <v>00</v>
      </c>
    </row>
    <row r="895" spans="1:18" x14ac:dyDescent="0.4">
      <c r="A895" s="1" t="str">
        <f t="shared" si="138"/>
        <v>1BE</v>
      </c>
      <c r="B895">
        <f t="shared" si="139"/>
        <v>1</v>
      </c>
      <c r="C895">
        <f>VALUE(MID(Hex!$C$2,1+2*HEX2DEC(A895)+B895,1))</f>
        <v>5</v>
      </c>
      <c r="D895" s="1" t="str">
        <f t="shared" si="136"/>
        <v>37D</v>
      </c>
      <c r="E895">
        <f>HEX2DEC(MID(Hex!$C$8,1+HEX2DEC(Edit!D895)*2,2))</f>
        <v>0</v>
      </c>
      <c r="F895">
        <f t="shared" si="137"/>
        <v>893</v>
      </c>
      <c r="G895" t="str">
        <f>_xlfn.LET(_xlpm.custom,_xlfn.XLOOKUP(F895,Data!A:A,Data!C:C),IF(_xlpm.custom="",_xlfn.XLOOKUP(F895,Data!A:A,Data!B:B),_xlpm.custom))</f>
        <v>Squirtilium U</v>
      </c>
      <c r="H895" t="str">
        <f>_xlfn.XLOOKUP(C895,Data!A:A,Data!E:E)</f>
        <v>Z-Crystal (Bag Version)</v>
      </c>
      <c r="J895">
        <f>IF(I895="",C895,_xlfn.XLOOKUP(I895,Data!E:E,Data!A:A,""))</f>
        <v>5</v>
      </c>
      <c r="L895">
        <f t="shared" si="131"/>
        <v>0</v>
      </c>
      <c r="M895">
        <f t="shared" si="132"/>
        <v>0</v>
      </c>
      <c r="N895">
        <f t="shared" si="140"/>
        <v>0</v>
      </c>
      <c r="O895">
        <f t="shared" si="133"/>
        <v>0</v>
      </c>
      <c r="P895">
        <f t="shared" si="134"/>
        <v>0</v>
      </c>
      <c r="R895" t="str">
        <f t="shared" si="135"/>
        <v>00</v>
      </c>
    </row>
    <row r="896" spans="1:18" x14ac:dyDescent="0.4">
      <c r="A896" s="1" t="str">
        <f t="shared" si="138"/>
        <v>1BF</v>
      </c>
      <c r="B896">
        <f t="shared" si="139"/>
        <v>0</v>
      </c>
      <c r="C896">
        <f>VALUE(MID(Hex!$C$2,1+2*HEX2DEC(A896)+B896,1))</f>
        <v>0</v>
      </c>
      <c r="D896" s="1" t="str">
        <f t="shared" si="136"/>
        <v>37E</v>
      </c>
      <c r="E896">
        <f>HEX2DEC(MID(Hex!$C$8,1+HEX2DEC(Edit!D896)*2,2))</f>
        <v>0</v>
      </c>
      <c r="F896">
        <f t="shared" si="137"/>
        <v>894</v>
      </c>
      <c r="G896" t="str">
        <f>_xlfn.LET(_xlpm.custom,_xlfn.XLOOKUP(F896,Data!A:A,Data!C:C),IF(_xlpm.custom="",_xlfn.XLOOKUP(F896,Data!A:A,Data!B:B),_xlpm.custom))</f>
        <v>Dragalgite</v>
      </c>
      <c r="H896" t="str">
        <f>_xlfn.XLOOKUP(C896,Data!A:A,Data!E:E)</f>
        <v>General</v>
      </c>
      <c r="J896">
        <f>IF(I896="",C896,_xlfn.XLOOKUP(I896,Data!E:E,Data!A:A,""))</f>
        <v>0</v>
      </c>
      <c r="L896">
        <f t="shared" si="131"/>
        <v>0</v>
      </c>
      <c r="M896">
        <f t="shared" si="132"/>
        <v>0</v>
      </c>
      <c r="N896">
        <f t="shared" si="140"/>
        <v>0</v>
      </c>
      <c r="O896">
        <f t="shared" si="133"/>
        <v>0</v>
      </c>
      <c r="P896">
        <f t="shared" si="134"/>
        <v>0</v>
      </c>
      <c r="R896" t="str">
        <f t="shared" si="135"/>
        <v>00</v>
      </c>
    </row>
    <row r="897" spans="1:18" x14ac:dyDescent="0.4">
      <c r="A897" s="1" t="str">
        <f t="shared" si="138"/>
        <v>1BF</v>
      </c>
      <c r="B897">
        <f t="shared" si="139"/>
        <v>1</v>
      </c>
      <c r="C897">
        <f>VALUE(MID(Hex!$C$2,1+2*HEX2DEC(A897)+B897,1))</f>
        <v>0</v>
      </c>
      <c r="D897" s="1" t="str">
        <f t="shared" si="136"/>
        <v>37F</v>
      </c>
      <c r="E897">
        <f>HEX2DEC(MID(Hex!$C$8,1+HEX2DEC(Edit!D897)*2,2))</f>
        <v>0</v>
      </c>
      <c r="F897">
        <f t="shared" si="137"/>
        <v>895</v>
      </c>
      <c r="G897" t="str">
        <f>_xlfn.LET(_xlpm.custom,_xlfn.XLOOKUP(F897,Data!A:A,Data!C:C),IF(_xlpm.custom="",_xlfn.XLOOKUP(F897,Data!A:A,Data!B:B),_xlpm.custom))</f>
        <v>Eelektrossite</v>
      </c>
      <c r="H897" t="str">
        <f>_xlfn.XLOOKUP(C897,Data!A:A,Data!E:E)</f>
        <v>General</v>
      </c>
      <c r="J897">
        <f>IF(I897="",C897,_xlfn.XLOOKUP(I897,Data!E:E,Data!A:A,""))</f>
        <v>0</v>
      </c>
      <c r="L897">
        <f t="shared" si="131"/>
        <v>0</v>
      </c>
      <c r="M897">
        <f t="shared" si="132"/>
        <v>0</v>
      </c>
      <c r="N897">
        <f t="shared" si="140"/>
        <v>0</v>
      </c>
      <c r="O897">
        <f t="shared" si="133"/>
        <v>0</v>
      </c>
      <c r="P897">
        <f t="shared" si="134"/>
        <v>0</v>
      </c>
      <c r="R897" t="str">
        <f t="shared" si="135"/>
        <v>00</v>
      </c>
    </row>
    <row r="898" spans="1:18" x14ac:dyDescent="0.4">
      <c r="A898" s="1" t="str">
        <f t="shared" si="138"/>
        <v>1C0</v>
      </c>
      <c r="B898">
        <f t="shared" si="139"/>
        <v>0</v>
      </c>
      <c r="C898">
        <f>VALUE(MID(Hex!$C$2,1+2*HEX2DEC(A898)+B898,1))</f>
        <v>0</v>
      </c>
      <c r="D898" s="1" t="str">
        <f t="shared" si="136"/>
        <v>380</v>
      </c>
      <c r="E898">
        <f>HEX2DEC(MID(Hex!$C$8,1+HEX2DEC(Edit!D898)*2,2))</f>
        <v>0</v>
      </c>
      <c r="F898">
        <f t="shared" si="137"/>
        <v>896</v>
      </c>
      <c r="G898" t="str">
        <f>_xlfn.LET(_xlpm.custom,_xlfn.XLOOKUP(F898,Data!A:A,Data!C:C),IF(_xlpm.custom="",_xlfn.XLOOKUP(F898,Data!A:A,Data!B:B),_xlpm.custom))</f>
        <v>Gumshoosinite</v>
      </c>
      <c r="H898" t="str">
        <f>_xlfn.XLOOKUP(C898,Data!A:A,Data!E:E)</f>
        <v>General</v>
      </c>
      <c r="J898">
        <f>IF(I898="",C898,_xlfn.XLOOKUP(I898,Data!E:E,Data!A:A,""))</f>
        <v>0</v>
      </c>
      <c r="L898">
        <f t="shared" si="131"/>
        <v>0</v>
      </c>
      <c r="M898">
        <f t="shared" si="132"/>
        <v>0</v>
      </c>
      <c r="N898">
        <f t="shared" si="140"/>
        <v>0</v>
      </c>
      <c r="O898">
        <f t="shared" si="133"/>
        <v>0</v>
      </c>
      <c r="P898">
        <f t="shared" si="134"/>
        <v>0</v>
      </c>
      <c r="R898" t="str">
        <f t="shared" si="135"/>
        <v>00</v>
      </c>
    </row>
    <row r="899" spans="1:18" x14ac:dyDescent="0.4">
      <c r="A899" s="1" t="str">
        <f t="shared" si="138"/>
        <v>1C0</v>
      </c>
      <c r="B899">
        <f t="shared" si="139"/>
        <v>1</v>
      </c>
      <c r="C899">
        <f>VALUE(MID(Hex!$C$2,1+2*HEX2DEC(A899)+B899,1))</f>
        <v>0</v>
      </c>
      <c r="D899" s="1" t="str">
        <f t="shared" si="136"/>
        <v>381</v>
      </c>
      <c r="E899">
        <f>HEX2DEC(MID(Hex!$C$8,1+HEX2DEC(Edit!D899)*2,2))</f>
        <v>0</v>
      </c>
      <c r="F899">
        <f t="shared" si="137"/>
        <v>897</v>
      </c>
      <c r="G899" t="str">
        <f>_xlfn.LET(_xlpm.custom,_xlfn.XLOOKUP(F899,Data!A:A,Data!C:C),IF(_xlpm.custom="",_xlfn.XLOOKUP(F899,Data!A:A,Data!B:B),_xlpm.custom))</f>
        <v>Malamarite</v>
      </c>
      <c r="H899" t="str">
        <f>_xlfn.XLOOKUP(C899,Data!A:A,Data!E:E)</f>
        <v>General</v>
      </c>
      <c r="J899">
        <f>IF(I899="",C899,_xlfn.XLOOKUP(I899,Data!E:E,Data!A:A,""))</f>
        <v>0</v>
      </c>
      <c r="L899">
        <f t="shared" ref="L899:L962" si="141">_xlfn.BITAND(E899,1)</f>
        <v>0</v>
      </c>
      <c r="M899">
        <f t="shared" ref="M899:M962" si="142">_xlfn.BITAND($E899,2)</f>
        <v>0</v>
      </c>
      <c r="N899">
        <f t="shared" si="140"/>
        <v>0</v>
      </c>
      <c r="O899">
        <f t="shared" ref="O899:O962" si="143">_xlfn.BITAND($E899,8)</f>
        <v>0</v>
      </c>
      <c r="P899">
        <f t="shared" ref="P899:P962" si="144">_xlfn.BITAND($E899,16)</f>
        <v>0</v>
      </c>
      <c r="R899" t="str">
        <f t="shared" ref="R899:R962" si="145">DEC2HEX(SUM(L899:P899),2)</f>
        <v>00</v>
      </c>
    </row>
    <row r="900" spans="1:18" x14ac:dyDescent="0.4">
      <c r="A900" s="1" t="str">
        <f t="shared" si="138"/>
        <v>1C1</v>
      </c>
      <c r="B900">
        <f t="shared" si="139"/>
        <v>0</v>
      </c>
      <c r="C900">
        <f>VALUE(MID(Hex!$C$2,1+2*HEX2DEC(A900)+B900,1))</f>
        <v>0</v>
      </c>
      <c r="D900" s="1" t="str">
        <f t="shared" ref="D900:D963" si="146">DEC2HEX(1+HEX2DEC(D899),3)</f>
        <v>382</v>
      </c>
      <c r="E900">
        <f>HEX2DEC(MID(Hex!$C$8,1+HEX2DEC(Edit!D900)*2,2))</f>
        <v>0</v>
      </c>
      <c r="F900">
        <f t="shared" ref="F900:F963" si="147">F899+1</f>
        <v>898</v>
      </c>
      <c r="G900" t="str">
        <f>_xlfn.LET(_xlpm.custom,_xlfn.XLOOKUP(F900,Data!A:A,Data!C:C),IF(_xlpm.custom="",_xlfn.XLOOKUP(F900,Data!A:A,Data!B:B),_xlpm.custom))</f>
        <v>Pyroarite</v>
      </c>
      <c r="H900" t="str">
        <f>_xlfn.XLOOKUP(C900,Data!A:A,Data!E:E)</f>
        <v>General</v>
      </c>
      <c r="J900">
        <f>IF(I900="",C900,_xlfn.XLOOKUP(I900,Data!E:E,Data!A:A,""))</f>
        <v>0</v>
      </c>
      <c r="L900">
        <f t="shared" si="141"/>
        <v>0</v>
      </c>
      <c r="M900">
        <f t="shared" si="142"/>
        <v>0</v>
      </c>
      <c r="N900">
        <f t="shared" si="140"/>
        <v>0</v>
      </c>
      <c r="O900">
        <f t="shared" si="143"/>
        <v>0</v>
      </c>
      <c r="P900">
        <f t="shared" si="144"/>
        <v>0</v>
      </c>
      <c r="R900" t="str">
        <f t="shared" si="145"/>
        <v>00</v>
      </c>
    </row>
    <row r="901" spans="1:18" x14ac:dyDescent="0.4">
      <c r="A901" s="1" t="str">
        <f t="shared" ref="A901:A964" si="148">DEC2HEX(1+HEX2DEC(A899),3)</f>
        <v>1C1</v>
      </c>
      <c r="B901">
        <f t="shared" ref="B901:B964" si="149">B899</f>
        <v>1</v>
      </c>
      <c r="C901">
        <f>VALUE(MID(Hex!$C$2,1+2*HEX2DEC(A901)+B901,1))</f>
        <v>0</v>
      </c>
      <c r="D901" s="1" t="str">
        <f t="shared" si="146"/>
        <v>383</v>
      </c>
      <c r="E901">
        <f>HEX2DEC(MID(Hex!$C$8,1+HEX2DEC(Edit!D901)*2,2))</f>
        <v>0</v>
      </c>
      <c r="F901">
        <f t="shared" si="147"/>
        <v>899</v>
      </c>
      <c r="G901" t="str">
        <f>_xlfn.LET(_xlpm.custom,_xlfn.XLOOKUP(F901,Data!A:A,Data!C:C),IF(_xlpm.custom="",_xlfn.XLOOKUP(F901,Data!A:A,Data!B:B),_xlpm.custom))</f>
        <v>Scolipite</v>
      </c>
      <c r="H901" t="str">
        <f>_xlfn.XLOOKUP(C901,Data!A:A,Data!E:E)</f>
        <v>General</v>
      </c>
      <c r="J901">
        <f>IF(I901="",C901,_xlfn.XLOOKUP(I901,Data!E:E,Data!A:A,""))</f>
        <v>0</v>
      </c>
      <c r="L901">
        <f t="shared" si="141"/>
        <v>0</v>
      </c>
      <c r="M901">
        <f t="shared" si="142"/>
        <v>0</v>
      </c>
      <c r="N901">
        <f t="shared" si="140"/>
        <v>0</v>
      </c>
      <c r="O901">
        <f t="shared" si="143"/>
        <v>0</v>
      </c>
      <c r="P901">
        <f t="shared" si="144"/>
        <v>0</v>
      </c>
      <c r="R901" t="str">
        <f t="shared" si="145"/>
        <v>00</v>
      </c>
    </row>
    <row r="902" spans="1:18" x14ac:dyDescent="0.4">
      <c r="A902" s="1" t="str">
        <f t="shared" si="148"/>
        <v>1C2</v>
      </c>
      <c r="B902">
        <f t="shared" si="149"/>
        <v>0</v>
      </c>
      <c r="C902">
        <f>VALUE(MID(Hex!$C$2,1+2*HEX2DEC(A902)+B902,1))</f>
        <v>0</v>
      </c>
      <c r="D902" s="1" t="str">
        <f t="shared" si="146"/>
        <v>384</v>
      </c>
      <c r="E902">
        <f>HEX2DEC(MID(Hex!$C$8,1+HEX2DEC(Edit!D902)*2,2))</f>
        <v>0</v>
      </c>
      <c r="F902">
        <f t="shared" si="147"/>
        <v>900</v>
      </c>
      <c r="G902" t="str">
        <f>_xlfn.LET(_xlpm.custom,_xlfn.XLOOKUP(F902,Data!A:A,Data!C:C),IF(_xlpm.custom="",_xlfn.XLOOKUP(F902,Data!A:A,Data!B:B),_xlpm.custom))</f>
        <v>Scraftinite</v>
      </c>
      <c r="H902" t="str">
        <f>_xlfn.XLOOKUP(C902,Data!A:A,Data!E:E)</f>
        <v>General</v>
      </c>
      <c r="J902">
        <f>IF(I902="",C902,_xlfn.XLOOKUP(I902,Data!E:E,Data!A:A,""))</f>
        <v>0</v>
      </c>
      <c r="L902">
        <f t="shared" si="141"/>
        <v>0</v>
      </c>
      <c r="M902">
        <f t="shared" si="142"/>
        <v>0</v>
      </c>
      <c r="N902">
        <f t="shared" si="140"/>
        <v>0</v>
      </c>
      <c r="O902">
        <f t="shared" si="143"/>
        <v>0</v>
      </c>
      <c r="P902">
        <f t="shared" si="144"/>
        <v>0</v>
      </c>
      <c r="R902" t="str">
        <f t="shared" si="145"/>
        <v>00</v>
      </c>
    </row>
    <row r="903" spans="1:18" x14ac:dyDescent="0.4">
      <c r="A903" s="1" t="str">
        <f t="shared" si="148"/>
        <v>1C2</v>
      </c>
      <c r="B903">
        <f t="shared" si="149"/>
        <v>1</v>
      </c>
      <c r="C903">
        <f>VALUE(MID(Hex!$C$2,1+2*HEX2DEC(A903)+B903,1))</f>
        <v>0</v>
      </c>
      <c r="D903" s="1" t="str">
        <f t="shared" si="146"/>
        <v>385</v>
      </c>
      <c r="E903">
        <f>HEX2DEC(MID(Hex!$C$8,1+HEX2DEC(Edit!D903)*2,2))</f>
        <v>0</v>
      </c>
      <c r="F903">
        <f t="shared" si="147"/>
        <v>901</v>
      </c>
      <c r="G903" t="str">
        <f>_xlfn.LET(_xlpm.custom,_xlfn.XLOOKUP(F903,Data!A:A,Data!C:C),IF(_xlpm.custom="",_xlfn.XLOOKUP(F903,Data!A:A,Data!B:B),_xlpm.custom))</f>
        <v>Staraptite</v>
      </c>
      <c r="H903" t="str">
        <f>_xlfn.XLOOKUP(C903,Data!A:A,Data!E:E)</f>
        <v>General</v>
      </c>
      <c r="J903">
        <f>IF(I903="",C903,_xlfn.XLOOKUP(I903,Data!E:E,Data!A:A,""))</f>
        <v>0</v>
      </c>
      <c r="L903">
        <f t="shared" si="141"/>
        <v>0</v>
      </c>
      <c r="M903">
        <f t="shared" si="142"/>
        <v>0</v>
      </c>
      <c r="N903">
        <f t="shared" si="140"/>
        <v>0</v>
      </c>
      <c r="O903">
        <f t="shared" si="143"/>
        <v>0</v>
      </c>
      <c r="P903">
        <f t="shared" si="144"/>
        <v>0</v>
      </c>
      <c r="R903" t="str">
        <f t="shared" si="145"/>
        <v>00</v>
      </c>
    </row>
    <row r="904" spans="1:18" x14ac:dyDescent="0.4">
      <c r="A904" s="1" t="str">
        <f t="shared" si="148"/>
        <v>1C3</v>
      </c>
      <c r="B904">
        <f t="shared" si="149"/>
        <v>0</v>
      </c>
      <c r="C904">
        <f>VALUE(MID(Hex!$C$2,1+2*HEX2DEC(A904)+B904,1))</f>
        <v>0</v>
      </c>
      <c r="D904" s="1" t="str">
        <f t="shared" si="146"/>
        <v>386</v>
      </c>
      <c r="E904">
        <f>HEX2DEC(MID(Hex!$C$8,1+HEX2DEC(Edit!D904)*2,2))</f>
        <v>0</v>
      </c>
      <c r="F904">
        <f t="shared" si="147"/>
        <v>902</v>
      </c>
      <c r="G904" t="str">
        <f>_xlfn.LET(_xlpm.custom,_xlfn.XLOOKUP(F904,Data!A:A,Data!C:C),IF(_xlpm.custom="",_xlfn.XLOOKUP(F904,Data!A:A,Data!B:B),_xlpm.custom))</f>
        <v>???</v>
      </c>
      <c r="H904" t="str">
        <f>_xlfn.XLOOKUP(C904,Data!A:A,Data!E:E)</f>
        <v>General</v>
      </c>
      <c r="J904">
        <f>IF(I904="",C904,_xlfn.XLOOKUP(I904,Data!E:E,Data!A:A,""))</f>
        <v>0</v>
      </c>
      <c r="L904">
        <f t="shared" si="141"/>
        <v>0</v>
      </c>
      <c r="M904">
        <f t="shared" si="142"/>
        <v>0</v>
      </c>
      <c r="N904">
        <f t="shared" si="140"/>
        <v>0</v>
      </c>
      <c r="O904">
        <f t="shared" si="143"/>
        <v>0</v>
      </c>
      <c r="P904">
        <f t="shared" si="144"/>
        <v>0</v>
      </c>
      <c r="R904" t="str">
        <f t="shared" si="145"/>
        <v>00</v>
      </c>
    </row>
    <row r="905" spans="1:18" x14ac:dyDescent="0.4">
      <c r="A905" s="1" t="str">
        <f t="shared" si="148"/>
        <v>1C3</v>
      </c>
      <c r="B905">
        <f t="shared" si="149"/>
        <v>1</v>
      </c>
      <c r="C905">
        <f>VALUE(MID(Hex!$C$2,1+2*HEX2DEC(A905)+B905,1))</f>
        <v>0</v>
      </c>
      <c r="D905" s="1" t="str">
        <f t="shared" si="146"/>
        <v>387</v>
      </c>
      <c r="E905">
        <f>HEX2DEC(MID(Hex!$C$8,1+HEX2DEC(Edit!D905)*2,2))</f>
        <v>0</v>
      </c>
      <c r="F905">
        <f t="shared" si="147"/>
        <v>903</v>
      </c>
      <c r="G905" t="str">
        <f>_xlfn.LET(_xlpm.custom,_xlfn.XLOOKUP(F905,Data!A:A,Data!C:C),IF(_xlpm.custom="",_xlfn.XLOOKUP(F905,Data!A:A,Data!B:B),_xlpm.custom))</f>
        <v>???</v>
      </c>
      <c r="H905" t="str">
        <f>_xlfn.XLOOKUP(C905,Data!A:A,Data!E:E)</f>
        <v>General</v>
      </c>
      <c r="J905">
        <f>IF(I905="",C905,_xlfn.XLOOKUP(I905,Data!E:E,Data!A:A,""))</f>
        <v>0</v>
      </c>
      <c r="L905">
        <f t="shared" si="141"/>
        <v>0</v>
      </c>
      <c r="M905">
        <f t="shared" si="142"/>
        <v>0</v>
      </c>
      <c r="N905">
        <f t="shared" si="140"/>
        <v>0</v>
      </c>
      <c r="O905">
        <f t="shared" si="143"/>
        <v>0</v>
      </c>
      <c r="P905">
        <f t="shared" si="144"/>
        <v>0</v>
      </c>
      <c r="R905" t="str">
        <f t="shared" si="145"/>
        <v>00</v>
      </c>
    </row>
    <row r="906" spans="1:18" x14ac:dyDescent="0.4">
      <c r="A906" s="1" t="str">
        <f t="shared" si="148"/>
        <v>1C4</v>
      </c>
      <c r="B906">
        <f t="shared" si="149"/>
        <v>0</v>
      </c>
      <c r="C906">
        <f>VALUE(MID(Hex!$C$2,1+2*HEX2DEC(A906)+B906,1))</f>
        <v>0</v>
      </c>
      <c r="D906" s="1" t="str">
        <f t="shared" si="146"/>
        <v>388</v>
      </c>
      <c r="E906">
        <f>HEX2DEC(MID(Hex!$C$8,1+HEX2DEC(Edit!D906)*2,2))</f>
        <v>0</v>
      </c>
      <c r="F906">
        <f t="shared" si="147"/>
        <v>904</v>
      </c>
      <c r="G906" t="str">
        <f>_xlfn.LET(_xlpm.custom,_xlfn.XLOOKUP(F906,Data!A:A,Data!C:C),IF(_xlpm.custom="",_xlfn.XLOOKUP(F906,Data!A:A,Data!B:B),_xlpm.custom))</f>
        <v>Fighting Memory</v>
      </c>
      <c r="H906" t="str">
        <f>_xlfn.XLOOKUP(C906,Data!A:A,Data!E:E)</f>
        <v>General</v>
      </c>
      <c r="J906">
        <f>IF(I906="",C906,_xlfn.XLOOKUP(I906,Data!E:E,Data!A:A,""))</f>
        <v>0</v>
      </c>
      <c r="L906">
        <f t="shared" si="141"/>
        <v>0</v>
      </c>
      <c r="M906">
        <f t="shared" si="142"/>
        <v>0</v>
      </c>
      <c r="N906">
        <f t="shared" si="140"/>
        <v>0</v>
      </c>
      <c r="O906">
        <f t="shared" si="143"/>
        <v>0</v>
      </c>
      <c r="P906">
        <f t="shared" si="144"/>
        <v>0</v>
      </c>
      <c r="R906" t="str">
        <f t="shared" si="145"/>
        <v>00</v>
      </c>
    </row>
    <row r="907" spans="1:18" x14ac:dyDescent="0.4">
      <c r="A907" s="1" t="str">
        <f t="shared" si="148"/>
        <v>1C4</v>
      </c>
      <c r="B907">
        <f t="shared" si="149"/>
        <v>1</v>
      </c>
      <c r="C907">
        <f>VALUE(MID(Hex!$C$2,1+2*HEX2DEC(A907)+B907,1))</f>
        <v>0</v>
      </c>
      <c r="D907" s="1" t="str">
        <f t="shared" si="146"/>
        <v>389</v>
      </c>
      <c r="E907">
        <f>HEX2DEC(MID(Hex!$C$8,1+HEX2DEC(Edit!D907)*2,2))</f>
        <v>0</v>
      </c>
      <c r="F907">
        <f t="shared" si="147"/>
        <v>905</v>
      </c>
      <c r="G907" t="str">
        <f>_xlfn.LET(_xlpm.custom,_xlfn.XLOOKUP(F907,Data!A:A,Data!C:C),IF(_xlpm.custom="",_xlfn.XLOOKUP(F907,Data!A:A,Data!B:B),_xlpm.custom))</f>
        <v>Flying Memory</v>
      </c>
      <c r="H907" t="str">
        <f>_xlfn.XLOOKUP(C907,Data!A:A,Data!E:E)</f>
        <v>General</v>
      </c>
      <c r="J907">
        <f>IF(I907="",C907,_xlfn.XLOOKUP(I907,Data!E:E,Data!A:A,""))</f>
        <v>0</v>
      </c>
      <c r="L907">
        <f t="shared" si="141"/>
        <v>0</v>
      </c>
      <c r="M907">
        <f t="shared" si="142"/>
        <v>0</v>
      </c>
      <c r="N907">
        <f t="shared" si="140"/>
        <v>0</v>
      </c>
      <c r="O907">
        <f t="shared" si="143"/>
        <v>0</v>
      </c>
      <c r="P907">
        <f t="shared" si="144"/>
        <v>0</v>
      </c>
      <c r="R907" t="str">
        <f t="shared" si="145"/>
        <v>00</v>
      </c>
    </row>
    <row r="908" spans="1:18" x14ac:dyDescent="0.4">
      <c r="A908" s="1" t="str">
        <f t="shared" si="148"/>
        <v>1C5</v>
      </c>
      <c r="B908">
        <f t="shared" si="149"/>
        <v>0</v>
      </c>
      <c r="C908">
        <f>VALUE(MID(Hex!$C$2,1+2*HEX2DEC(A908)+B908,1))</f>
        <v>0</v>
      </c>
      <c r="D908" s="1" t="str">
        <f t="shared" si="146"/>
        <v>38A</v>
      </c>
      <c r="E908">
        <f>HEX2DEC(MID(Hex!$C$8,1+HEX2DEC(Edit!D908)*2,2))</f>
        <v>0</v>
      </c>
      <c r="F908">
        <f t="shared" si="147"/>
        <v>906</v>
      </c>
      <c r="G908" t="str">
        <f>_xlfn.LET(_xlpm.custom,_xlfn.XLOOKUP(F908,Data!A:A,Data!C:C),IF(_xlpm.custom="",_xlfn.XLOOKUP(F908,Data!A:A,Data!B:B),_xlpm.custom))</f>
        <v>Poison Memory</v>
      </c>
      <c r="H908" t="str">
        <f>_xlfn.XLOOKUP(C908,Data!A:A,Data!E:E)</f>
        <v>General</v>
      </c>
      <c r="J908">
        <f>IF(I908="",C908,_xlfn.XLOOKUP(I908,Data!E:E,Data!A:A,""))</f>
        <v>0</v>
      </c>
      <c r="L908">
        <f t="shared" si="141"/>
        <v>0</v>
      </c>
      <c r="M908">
        <f t="shared" si="142"/>
        <v>0</v>
      </c>
      <c r="N908">
        <f t="shared" si="140"/>
        <v>0</v>
      </c>
      <c r="O908">
        <f t="shared" si="143"/>
        <v>0</v>
      </c>
      <c r="P908">
        <f t="shared" si="144"/>
        <v>0</v>
      </c>
      <c r="R908" t="str">
        <f t="shared" si="145"/>
        <v>00</v>
      </c>
    </row>
    <row r="909" spans="1:18" x14ac:dyDescent="0.4">
      <c r="A909" s="1" t="str">
        <f t="shared" si="148"/>
        <v>1C5</v>
      </c>
      <c r="B909">
        <f t="shared" si="149"/>
        <v>1</v>
      </c>
      <c r="C909">
        <f>VALUE(MID(Hex!$C$2,1+2*HEX2DEC(A909)+B909,1))</f>
        <v>0</v>
      </c>
      <c r="D909" s="1" t="str">
        <f t="shared" si="146"/>
        <v>38B</v>
      </c>
      <c r="E909">
        <f>HEX2DEC(MID(Hex!$C$8,1+HEX2DEC(Edit!D909)*2,2))</f>
        <v>0</v>
      </c>
      <c r="F909">
        <f t="shared" si="147"/>
        <v>907</v>
      </c>
      <c r="G909" t="str">
        <f>_xlfn.LET(_xlpm.custom,_xlfn.XLOOKUP(F909,Data!A:A,Data!C:C),IF(_xlpm.custom="",_xlfn.XLOOKUP(F909,Data!A:A,Data!B:B),_xlpm.custom))</f>
        <v>Ground Memory</v>
      </c>
      <c r="H909" t="str">
        <f>_xlfn.XLOOKUP(C909,Data!A:A,Data!E:E)</f>
        <v>General</v>
      </c>
      <c r="J909">
        <f>IF(I909="",C909,_xlfn.XLOOKUP(I909,Data!E:E,Data!A:A,""))</f>
        <v>0</v>
      </c>
      <c r="L909">
        <f t="shared" si="141"/>
        <v>0</v>
      </c>
      <c r="M909">
        <f t="shared" si="142"/>
        <v>0</v>
      </c>
      <c r="N909">
        <f t="shared" si="140"/>
        <v>0</v>
      </c>
      <c r="O909">
        <f t="shared" si="143"/>
        <v>0</v>
      </c>
      <c r="P909">
        <f t="shared" si="144"/>
        <v>0</v>
      </c>
      <c r="R909" t="str">
        <f t="shared" si="145"/>
        <v>00</v>
      </c>
    </row>
    <row r="910" spans="1:18" x14ac:dyDescent="0.4">
      <c r="A910" s="1" t="str">
        <f t="shared" si="148"/>
        <v>1C6</v>
      </c>
      <c r="B910">
        <f t="shared" si="149"/>
        <v>0</v>
      </c>
      <c r="C910">
        <f>VALUE(MID(Hex!$C$2,1+2*HEX2DEC(A910)+B910,1))</f>
        <v>0</v>
      </c>
      <c r="D910" s="1" t="str">
        <f t="shared" si="146"/>
        <v>38C</v>
      </c>
      <c r="E910">
        <f>HEX2DEC(MID(Hex!$C$8,1+HEX2DEC(Edit!D910)*2,2))</f>
        <v>0</v>
      </c>
      <c r="F910">
        <f t="shared" si="147"/>
        <v>908</v>
      </c>
      <c r="G910" t="str">
        <f>_xlfn.LET(_xlpm.custom,_xlfn.XLOOKUP(F910,Data!A:A,Data!C:C),IF(_xlpm.custom="",_xlfn.XLOOKUP(F910,Data!A:A,Data!B:B),_xlpm.custom))</f>
        <v>Rock Memory</v>
      </c>
      <c r="H910" t="str">
        <f>_xlfn.XLOOKUP(C910,Data!A:A,Data!E:E)</f>
        <v>General</v>
      </c>
      <c r="J910">
        <f>IF(I910="",C910,_xlfn.XLOOKUP(I910,Data!E:E,Data!A:A,""))</f>
        <v>0</v>
      </c>
      <c r="L910">
        <f t="shared" si="141"/>
        <v>0</v>
      </c>
      <c r="M910">
        <f t="shared" si="142"/>
        <v>0</v>
      </c>
      <c r="N910">
        <f t="shared" si="140"/>
        <v>0</v>
      </c>
      <c r="O910">
        <f t="shared" si="143"/>
        <v>0</v>
      </c>
      <c r="P910">
        <f t="shared" si="144"/>
        <v>0</v>
      </c>
      <c r="R910" t="str">
        <f t="shared" si="145"/>
        <v>00</v>
      </c>
    </row>
    <row r="911" spans="1:18" x14ac:dyDescent="0.4">
      <c r="A911" s="1" t="str">
        <f t="shared" si="148"/>
        <v>1C6</v>
      </c>
      <c r="B911">
        <f t="shared" si="149"/>
        <v>1</v>
      </c>
      <c r="C911">
        <f>VALUE(MID(Hex!$C$2,1+2*HEX2DEC(A911)+B911,1))</f>
        <v>0</v>
      </c>
      <c r="D911" s="1" t="str">
        <f t="shared" si="146"/>
        <v>38D</v>
      </c>
      <c r="E911">
        <f>HEX2DEC(MID(Hex!$C$8,1+HEX2DEC(Edit!D911)*2,2))</f>
        <v>0</v>
      </c>
      <c r="F911">
        <f t="shared" si="147"/>
        <v>909</v>
      </c>
      <c r="G911" t="str">
        <f>_xlfn.LET(_xlpm.custom,_xlfn.XLOOKUP(F911,Data!A:A,Data!C:C),IF(_xlpm.custom="",_xlfn.XLOOKUP(F911,Data!A:A,Data!B:B),_xlpm.custom))</f>
        <v>Bug Memory</v>
      </c>
      <c r="H911" t="str">
        <f>_xlfn.XLOOKUP(C911,Data!A:A,Data!E:E)</f>
        <v>General</v>
      </c>
      <c r="J911">
        <f>IF(I911="",C911,_xlfn.XLOOKUP(I911,Data!E:E,Data!A:A,""))</f>
        <v>0</v>
      </c>
      <c r="L911">
        <f t="shared" si="141"/>
        <v>0</v>
      </c>
      <c r="M911">
        <f t="shared" si="142"/>
        <v>0</v>
      </c>
      <c r="N911">
        <f t="shared" si="140"/>
        <v>0</v>
      </c>
      <c r="O911">
        <f t="shared" si="143"/>
        <v>0</v>
      </c>
      <c r="P911">
        <f t="shared" si="144"/>
        <v>0</v>
      </c>
      <c r="R911" t="str">
        <f t="shared" si="145"/>
        <v>00</v>
      </c>
    </row>
    <row r="912" spans="1:18" x14ac:dyDescent="0.4">
      <c r="A912" s="1" t="str">
        <f t="shared" si="148"/>
        <v>1C7</v>
      </c>
      <c r="B912">
        <f t="shared" si="149"/>
        <v>0</v>
      </c>
      <c r="C912">
        <f>VALUE(MID(Hex!$C$2,1+2*HEX2DEC(A912)+B912,1))</f>
        <v>0</v>
      </c>
      <c r="D912" s="1" t="str">
        <f t="shared" si="146"/>
        <v>38E</v>
      </c>
      <c r="E912">
        <f>HEX2DEC(MID(Hex!$C$8,1+HEX2DEC(Edit!D912)*2,2))</f>
        <v>0</v>
      </c>
      <c r="F912">
        <f t="shared" si="147"/>
        <v>910</v>
      </c>
      <c r="G912" t="str">
        <f>_xlfn.LET(_xlpm.custom,_xlfn.XLOOKUP(F912,Data!A:A,Data!C:C),IF(_xlpm.custom="",_xlfn.XLOOKUP(F912,Data!A:A,Data!B:B),_xlpm.custom))</f>
        <v>Ghost Memory</v>
      </c>
      <c r="H912" t="str">
        <f>_xlfn.XLOOKUP(C912,Data!A:A,Data!E:E)</f>
        <v>General</v>
      </c>
      <c r="J912">
        <f>IF(I912="",C912,_xlfn.XLOOKUP(I912,Data!E:E,Data!A:A,""))</f>
        <v>0</v>
      </c>
      <c r="L912">
        <f t="shared" si="141"/>
        <v>0</v>
      </c>
      <c r="M912">
        <f t="shared" si="142"/>
        <v>0</v>
      </c>
      <c r="N912">
        <f t="shared" si="140"/>
        <v>0</v>
      </c>
      <c r="O912">
        <f t="shared" si="143"/>
        <v>0</v>
      </c>
      <c r="P912">
        <f t="shared" si="144"/>
        <v>0</v>
      </c>
      <c r="R912" t="str">
        <f t="shared" si="145"/>
        <v>00</v>
      </c>
    </row>
    <row r="913" spans="1:18" x14ac:dyDescent="0.4">
      <c r="A913" s="1" t="str">
        <f t="shared" si="148"/>
        <v>1C7</v>
      </c>
      <c r="B913">
        <f t="shared" si="149"/>
        <v>1</v>
      </c>
      <c r="C913">
        <f>VALUE(MID(Hex!$C$2,1+2*HEX2DEC(A913)+B913,1))</f>
        <v>0</v>
      </c>
      <c r="D913" s="1" t="str">
        <f t="shared" si="146"/>
        <v>38F</v>
      </c>
      <c r="E913">
        <f>HEX2DEC(MID(Hex!$C$8,1+HEX2DEC(Edit!D913)*2,2))</f>
        <v>0</v>
      </c>
      <c r="F913">
        <f t="shared" si="147"/>
        <v>911</v>
      </c>
      <c r="G913" t="str">
        <f>_xlfn.LET(_xlpm.custom,_xlfn.XLOOKUP(F913,Data!A:A,Data!C:C),IF(_xlpm.custom="",_xlfn.XLOOKUP(F913,Data!A:A,Data!B:B),_xlpm.custom))</f>
        <v>Steel Memory</v>
      </c>
      <c r="H913" t="str">
        <f>_xlfn.XLOOKUP(C913,Data!A:A,Data!E:E)</f>
        <v>General</v>
      </c>
      <c r="J913">
        <f>IF(I913="",C913,_xlfn.XLOOKUP(I913,Data!E:E,Data!A:A,""))</f>
        <v>0</v>
      </c>
      <c r="L913">
        <f t="shared" si="141"/>
        <v>0</v>
      </c>
      <c r="M913">
        <f t="shared" si="142"/>
        <v>0</v>
      </c>
      <c r="N913">
        <f t="shared" si="140"/>
        <v>0</v>
      </c>
      <c r="O913">
        <f t="shared" si="143"/>
        <v>0</v>
      </c>
      <c r="P913">
        <f t="shared" si="144"/>
        <v>0</v>
      </c>
      <c r="R913" t="str">
        <f t="shared" si="145"/>
        <v>00</v>
      </c>
    </row>
    <row r="914" spans="1:18" x14ac:dyDescent="0.4">
      <c r="A914" s="1" t="str">
        <f t="shared" si="148"/>
        <v>1C8</v>
      </c>
      <c r="B914">
        <f t="shared" si="149"/>
        <v>0</v>
      </c>
      <c r="C914">
        <f>VALUE(MID(Hex!$C$2,1+2*HEX2DEC(A914)+B914,1))</f>
        <v>0</v>
      </c>
      <c r="D914" s="1" t="str">
        <f t="shared" si="146"/>
        <v>390</v>
      </c>
      <c r="E914">
        <f>HEX2DEC(MID(Hex!$C$8,1+HEX2DEC(Edit!D914)*2,2))</f>
        <v>0</v>
      </c>
      <c r="F914">
        <f t="shared" si="147"/>
        <v>912</v>
      </c>
      <c r="G914" t="str">
        <f>_xlfn.LET(_xlpm.custom,_xlfn.XLOOKUP(F914,Data!A:A,Data!C:C),IF(_xlpm.custom="",_xlfn.XLOOKUP(F914,Data!A:A,Data!B:B),_xlpm.custom))</f>
        <v>Fire Memory</v>
      </c>
      <c r="H914" t="str">
        <f>_xlfn.XLOOKUP(C914,Data!A:A,Data!E:E)</f>
        <v>General</v>
      </c>
      <c r="J914">
        <f>IF(I914="",C914,_xlfn.XLOOKUP(I914,Data!E:E,Data!A:A,""))</f>
        <v>0</v>
      </c>
      <c r="L914">
        <f t="shared" si="141"/>
        <v>0</v>
      </c>
      <c r="M914">
        <f t="shared" si="142"/>
        <v>0</v>
      </c>
      <c r="N914">
        <f t="shared" si="140"/>
        <v>0</v>
      </c>
      <c r="O914">
        <f t="shared" si="143"/>
        <v>0</v>
      </c>
      <c r="P914">
        <f t="shared" si="144"/>
        <v>0</v>
      </c>
      <c r="R914" t="str">
        <f t="shared" si="145"/>
        <v>00</v>
      </c>
    </row>
    <row r="915" spans="1:18" x14ac:dyDescent="0.4">
      <c r="A915" s="1" t="str">
        <f t="shared" si="148"/>
        <v>1C8</v>
      </c>
      <c r="B915">
        <f t="shared" si="149"/>
        <v>1</v>
      </c>
      <c r="C915">
        <f>VALUE(MID(Hex!$C$2,1+2*HEX2DEC(A915)+B915,1))</f>
        <v>0</v>
      </c>
      <c r="D915" s="1" t="str">
        <f t="shared" si="146"/>
        <v>391</v>
      </c>
      <c r="E915">
        <f>HEX2DEC(MID(Hex!$C$8,1+HEX2DEC(Edit!D915)*2,2))</f>
        <v>0</v>
      </c>
      <c r="F915">
        <f t="shared" si="147"/>
        <v>913</v>
      </c>
      <c r="G915" t="str">
        <f>_xlfn.LET(_xlpm.custom,_xlfn.XLOOKUP(F915,Data!A:A,Data!C:C),IF(_xlpm.custom="",_xlfn.XLOOKUP(F915,Data!A:A,Data!B:B),_xlpm.custom))</f>
        <v>Water Memory</v>
      </c>
      <c r="H915" t="str">
        <f>_xlfn.XLOOKUP(C915,Data!A:A,Data!E:E)</f>
        <v>General</v>
      </c>
      <c r="J915">
        <f>IF(I915="",C915,_xlfn.XLOOKUP(I915,Data!E:E,Data!A:A,""))</f>
        <v>0</v>
      </c>
      <c r="L915">
        <f t="shared" si="141"/>
        <v>0</v>
      </c>
      <c r="M915">
        <f t="shared" si="142"/>
        <v>0</v>
      </c>
      <c r="N915">
        <f t="shared" si="140"/>
        <v>0</v>
      </c>
      <c r="O915">
        <f t="shared" si="143"/>
        <v>0</v>
      </c>
      <c r="P915">
        <f t="shared" si="144"/>
        <v>0</v>
      </c>
      <c r="R915" t="str">
        <f t="shared" si="145"/>
        <v>00</v>
      </c>
    </row>
    <row r="916" spans="1:18" x14ac:dyDescent="0.4">
      <c r="A916" s="1" t="str">
        <f t="shared" si="148"/>
        <v>1C9</v>
      </c>
      <c r="B916">
        <f t="shared" si="149"/>
        <v>0</v>
      </c>
      <c r="C916">
        <f>VALUE(MID(Hex!$C$2,1+2*HEX2DEC(A916)+B916,1))</f>
        <v>0</v>
      </c>
      <c r="D916" s="1" t="str">
        <f t="shared" si="146"/>
        <v>392</v>
      </c>
      <c r="E916">
        <f>HEX2DEC(MID(Hex!$C$8,1+HEX2DEC(Edit!D916)*2,2))</f>
        <v>0</v>
      </c>
      <c r="F916">
        <f t="shared" si="147"/>
        <v>914</v>
      </c>
      <c r="G916" t="str">
        <f>_xlfn.LET(_xlpm.custom,_xlfn.XLOOKUP(F916,Data!A:A,Data!C:C),IF(_xlpm.custom="",_xlfn.XLOOKUP(F916,Data!A:A,Data!B:B),_xlpm.custom))</f>
        <v>Grass Memory</v>
      </c>
      <c r="H916" t="str">
        <f>_xlfn.XLOOKUP(C916,Data!A:A,Data!E:E)</f>
        <v>General</v>
      </c>
      <c r="J916">
        <f>IF(I916="",C916,_xlfn.XLOOKUP(I916,Data!E:E,Data!A:A,""))</f>
        <v>0</v>
      </c>
      <c r="L916">
        <f t="shared" si="141"/>
        <v>0</v>
      </c>
      <c r="M916">
        <f t="shared" si="142"/>
        <v>0</v>
      </c>
      <c r="N916">
        <f t="shared" si="140"/>
        <v>0</v>
      </c>
      <c r="O916">
        <f t="shared" si="143"/>
        <v>0</v>
      </c>
      <c r="P916">
        <f t="shared" si="144"/>
        <v>0</v>
      </c>
      <c r="R916" t="str">
        <f t="shared" si="145"/>
        <v>00</v>
      </c>
    </row>
    <row r="917" spans="1:18" x14ac:dyDescent="0.4">
      <c r="A917" s="1" t="str">
        <f t="shared" si="148"/>
        <v>1C9</v>
      </c>
      <c r="B917">
        <f t="shared" si="149"/>
        <v>1</v>
      </c>
      <c r="C917">
        <f>VALUE(MID(Hex!$C$2,1+2*HEX2DEC(A917)+B917,1))</f>
        <v>0</v>
      </c>
      <c r="D917" s="1" t="str">
        <f t="shared" si="146"/>
        <v>393</v>
      </c>
      <c r="E917">
        <f>HEX2DEC(MID(Hex!$C$8,1+HEX2DEC(Edit!D917)*2,2))</f>
        <v>0</v>
      </c>
      <c r="F917">
        <f t="shared" si="147"/>
        <v>915</v>
      </c>
      <c r="G917" t="str">
        <f>_xlfn.LET(_xlpm.custom,_xlfn.XLOOKUP(F917,Data!A:A,Data!C:C),IF(_xlpm.custom="",_xlfn.XLOOKUP(F917,Data!A:A,Data!B:B),_xlpm.custom))</f>
        <v>Electric Memory</v>
      </c>
      <c r="H917" t="str">
        <f>_xlfn.XLOOKUP(C917,Data!A:A,Data!E:E)</f>
        <v>General</v>
      </c>
      <c r="J917">
        <f>IF(I917="",C917,_xlfn.XLOOKUP(I917,Data!E:E,Data!A:A,""))</f>
        <v>0</v>
      </c>
      <c r="L917">
        <f t="shared" si="141"/>
        <v>0</v>
      </c>
      <c r="M917">
        <f t="shared" si="142"/>
        <v>0</v>
      </c>
      <c r="N917">
        <f t="shared" ref="N917:N980" si="150">_xlfn.BITAND($E917,4)</f>
        <v>0</v>
      </c>
      <c r="O917">
        <f t="shared" si="143"/>
        <v>0</v>
      </c>
      <c r="P917">
        <f t="shared" si="144"/>
        <v>0</v>
      </c>
      <c r="R917" t="str">
        <f t="shared" si="145"/>
        <v>00</v>
      </c>
    </row>
    <row r="918" spans="1:18" x14ac:dyDescent="0.4">
      <c r="A918" s="1" t="str">
        <f t="shared" si="148"/>
        <v>1CA</v>
      </c>
      <c r="B918">
        <f t="shared" si="149"/>
        <v>0</v>
      </c>
      <c r="C918">
        <f>VALUE(MID(Hex!$C$2,1+2*HEX2DEC(A918)+B918,1))</f>
        <v>0</v>
      </c>
      <c r="D918" s="1" t="str">
        <f t="shared" si="146"/>
        <v>394</v>
      </c>
      <c r="E918">
        <f>HEX2DEC(MID(Hex!$C$8,1+HEX2DEC(Edit!D918)*2,2))</f>
        <v>0</v>
      </c>
      <c r="F918">
        <f t="shared" si="147"/>
        <v>916</v>
      </c>
      <c r="G918" t="str">
        <f>_xlfn.LET(_xlpm.custom,_xlfn.XLOOKUP(F918,Data!A:A,Data!C:C),IF(_xlpm.custom="",_xlfn.XLOOKUP(F918,Data!A:A,Data!B:B),_xlpm.custom))</f>
        <v>Psychic Memory</v>
      </c>
      <c r="H918" t="str">
        <f>_xlfn.XLOOKUP(C918,Data!A:A,Data!E:E)</f>
        <v>General</v>
      </c>
      <c r="J918">
        <f>IF(I918="",C918,_xlfn.XLOOKUP(I918,Data!E:E,Data!A:A,""))</f>
        <v>0</v>
      </c>
      <c r="L918">
        <f t="shared" si="141"/>
        <v>0</v>
      </c>
      <c r="M918">
        <f t="shared" si="142"/>
        <v>0</v>
      </c>
      <c r="N918">
        <f t="shared" si="150"/>
        <v>0</v>
      </c>
      <c r="O918">
        <f t="shared" si="143"/>
        <v>0</v>
      </c>
      <c r="P918">
        <f t="shared" si="144"/>
        <v>0</v>
      </c>
      <c r="R918" t="str">
        <f t="shared" si="145"/>
        <v>00</v>
      </c>
    </row>
    <row r="919" spans="1:18" x14ac:dyDescent="0.4">
      <c r="A919" s="1" t="str">
        <f t="shared" si="148"/>
        <v>1CA</v>
      </c>
      <c r="B919">
        <f t="shared" si="149"/>
        <v>1</v>
      </c>
      <c r="C919">
        <f>VALUE(MID(Hex!$C$2,1+2*HEX2DEC(A919)+B919,1))</f>
        <v>0</v>
      </c>
      <c r="D919" s="1" t="str">
        <f t="shared" si="146"/>
        <v>395</v>
      </c>
      <c r="E919">
        <f>HEX2DEC(MID(Hex!$C$8,1+HEX2DEC(Edit!D919)*2,2))</f>
        <v>0</v>
      </c>
      <c r="F919">
        <f t="shared" si="147"/>
        <v>917</v>
      </c>
      <c r="G919" t="str">
        <f>_xlfn.LET(_xlpm.custom,_xlfn.XLOOKUP(F919,Data!A:A,Data!C:C),IF(_xlpm.custom="",_xlfn.XLOOKUP(F919,Data!A:A,Data!B:B),_xlpm.custom))</f>
        <v>Ice Memory</v>
      </c>
      <c r="H919" t="str">
        <f>_xlfn.XLOOKUP(C919,Data!A:A,Data!E:E)</f>
        <v>General</v>
      </c>
      <c r="J919">
        <f>IF(I919="",C919,_xlfn.XLOOKUP(I919,Data!E:E,Data!A:A,""))</f>
        <v>0</v>
      </c>
      <c r="L919">
        <f t="shared" si="141"/>
        <v>0</v>
      </c>
      <c r="M919">
        <f t="shared" si="142"/>
        <v>0</v>
      </c>
      <c r="N919">
        <f t="shared" si="150"/>
        <v>0</v>
      </c>
      <c r="O919">
        <f t="shared" si="143"/>
        <v>0</v>
      </c>
      <c r="P919">
        <f t="shared" si="144"/>
        <v>0</v>
      </c>
      <c r="R919" t="str">
        <f t="shared" si="145"/>
        <v>00</v>
      </c>
    </row>
    <row r="920" spans="1:18" x14ac:dyDescent="0.4">
      <c r="A920" s="1" t="str">
        <f t="shared" si="148"/>
        <v>1CB</v>
      </c>
      <c r="B920">
        <f t="shared" si="149"/>
        <v>0</v>
      </c>
      <c r="C920">
        <f>VALUE(MID(Hex!$C$2,1+2*HEX2DEC(A920)+B920,1))</f>
        <v>0</v>
      </c>
      <c r="D920" s="1" t="str">
        <f t="shared" si="146"/>
        <v>396</v>
      </c>
      <c r="E920">
        <f>HEX2DEC(MID(Hex!$C$8,1+HEX2DEC(Edit!D920)*2,2))</f>
        <v>0</v>
      </c>
      <c r="F920">
        <f t="shared" si="147"/>
        <v>918</v>
      </c>
      <c r="G920" t="str">
        <f>_xlfn.LET(_xlpm.custom,_xlfn.XLOOKUP(F920,Data!A:A,Data!C:C),IF(_xlpm.custom="",_xlfn.XLOOKUP(F920,Data!A:A,Data!B:B),_xlpm.custom))</f>
        <v>Dragon Memory</v>
      </c>
      <c r="H920" t="str">
        <f>_xlfn.XLOOKUP(C920,Data!A:A,Data!E:E)</f>
        <v>General</v>
      </c>
      <c r="J920">
        <f>IF(I920="",C920,_xlfn.XLOOKUP(I920,Data!E:E,Data!A:A,""))</f>
        <v>0</v>
      </c>
      <c r="L920">
        <f t="shared" si="141"/>
        <v>0</v>
      </c>
      <c r="M920">
        <f t="shared" si="142"/>
        <v>0</v>
      </c>
      <c r="N920">
        <f t="shared" si="150"/>
        <v>0</v>
      </c>
      <c r="O920">
        <f t="shared" si="143"/>
        <v>0</v>
      </c>
      <c r="P920">
        <f t="shared" si="144"/>
        <v>0</v>
      </c>
      <c r="R920" t="str">
        <f t="shared" si="145"/>
        <v>00</v>
      </c>
    </row>
    <row r="921" spans="1:18" x14ac:dyDescent="0.4">
      <c r="A921" s="1" t="str">
        <f t="shared" si="148"/>
        <v>1CB</v>
      </c>
      <c r="B921">
        <f t="shared" si="149"/>
        <v>1</v>
      </c>
      <c r="C921">
        <f>VALUE(MID(Hex!$C$2,1+2*HEX2DEC(A921)+B921,1))</f>
        <v>0</v>
      </c>
      <c r="D921" s="1" t="str">
        <f t="shared" si="146"/>
        <v>397</v>
      </c>
      <c r="E921">
        <f>HEX2DEC(MID(Hex!$C$8,1+HEX2DEC(Edit!D921)*2,2))</f>
        <v>0</v>
      </c>
      <c r="F921">
        <f t="shared" si="147"/>
        <v>919</v>
      </c>
      <c r="G921" t="str">
        <f>_xlfn.LET(_xlpm.custom,_xlfn.XLOOKUP(F921,Data!A:A,Data!C:C),IF(_xlpm.custom="",_xlfn.XLOOKUP(F921,Data!A:A,Data!B:B),_xlpm.custom))</f>
        <v>Dark Memory</v>
      </c>
      <c r="H921" t="str">
        <f>_xlfn.XLOOKUP(C921,Data!A:A,Data!E:E)</f>
        <v>General</v>
      </c>
      <c r="J921">
        <f>IF(I921="",C921,_xlfn.XLOOKUP(I921,Data!E:E,Data!A:A,""))</f>
        <v>0</v>
      </c>
      <c r="L921">
        <f t="shared" si="141"/>
        <v>0</v>
      </c>
      <c r="M921">
        <f t="shared" si="142"/>
        <v>0</v>
      </c>
      <c r="N921">
        <f t="shared" si="150"/>
        <v>0</v>
      </c>
      <c r="O921">
        <f t="shared" si="143"/>
        <v>0</v>
      </c>
      <c r="P921">
        <f t="shared" si="144"/>
        <v>0</v>
      </c>
      <c r="R921" t="str">
        <f t="shared" si="145"/>
        <v>00</v>
      </c>
    </row>
    <row r="922" spans="1:18" x14ac:dyDescent="0.4">
      <c r="A922" s="1" t="str">
        <f t="shared" si="148"/>
        <v>1CC</v>
      </c>
      <c r="B922">
        <f t="shared" si="149"/>
        <v>0</v>
      </c>
      <c r="C922">
        <f>VALUE(MID(Hex!$C$2,1+2*HEX2DEC(A922)+B922,1))</f>
        <v>0</v>
      </c>
      <c r="D922" s="1" t="str">
        <f t="shared" si="146"/>
        <v>398</v>
      </c>
      <c r="E922">
        <f>HEX2DEC(MID(Hex!$C$8,1+HEX2DEC(Edit!D922)*2,2))</f>
        <v>0</v>
      </c>
      <c r="F922">
        <f t="shared" si="147"/>
        <v>920</v>
      </c>
      <c r="G922" t="str">
        <f>_xlfn.LET(_xlpm.custom,_xlfn.XLOOKUP(F922,Data!A:A,Data!C:C),IF(_xlpm.custom="",_xlfn.XLOOKUP(F922,Data!A:A,Data!B:B),_xlpm.custom))</f>
        <v>Fairy Memory</v>
      </c>
      <c r="H922" t="str">
        <f>_xlfn.XLOOKUP(C922,Data!A:A,Data!E:E)</f>
        <v>General</v>
      </c>
      <c r="J922">
        <f>IF(I922="",C922,_xlfn.XLOOKUP(I922,Data!E:E,Data!A:A,""))</f>
        <v>0</v>
      </c>
      <c r="L922">
        <f t="shared" si="141"/>
        <v>0</v>
      </c>
      <c r="M922">
        <f t="shared" si="142"/>
        <v>0</v>
      </c>
      <c r="N922">
        <f t="shared" si="150"/>
        <v>0</v>
      </c>
      <c r="O922">
        <f t="shared" si="143"/>
        <v>0</v>
      </c>
      <c r="P922">
        <f t="shared" si="144"/>
        <v>0</v>
      </c>
      <c r="R922" t="str">
        <f t="shared" si="145"/>
        <v>00</v>
      </c>
    </row>
    <row r="923" spans="1:18" x14ac:dyDescent="0.4">
      <c r="A923" s="1" t="str">
        <f t="shared" si="148"/>
        <v>1CC</v>
      </c>
      <c r="B923">
        <f t="shared" si="149"/>
        <v>1</v>
      </c>
      <c r="C923">
        <f>VALUE(MID(Hex!$C$2,1+2*HEX2DEC(A923)+B923,1))</f>
        <v>7</v>
      </c>
      <c r="D923" s="1" t="str">
        <f t="shared" si="146"/>
        <v>399</v>
      </c>
      <c r="E923">
        <f>HEX2DEC(MID(Hex!$C$8,1+HEX2DEC(Edit!D923)*2,2))</f>
        <v>0</v>
      </c>
      <c r="F923">
        <f t="shared" si="147"/>
        <v>921</v>
      </c>
      <c r="G923" t="str">
        <f>_xlfn.LET(_xlpm.custom,_xlfn.XLOOKUP(F923,Data!A:A,Data!C:C),IF(_xlpm.custom="",_xlfn.XLOOKUP(F923,Data!A:A,Data!B:B),_xlpm.custom))</f>
        <v>Solganium Z</v>
      </c>
      <c r="H923" t="str">
        <f>_xlfn.XLOOKUP(C923,Data!A:A,Data!E:E)</f>
        <v>Z-Crystal (Hold Version)</v>
      </c>
      <c r="J923">
        <f>IF(I923="",C923,_xlfn.XLOOKUP(I923,Data!E:E,Data!A:A,""))</f>
        <v>7</v>
      </c>
      <c r="L923">
        <f t="shared" si="141"/>
        <v>0</v>
      </c>
      <c r="M923">
        <f t="shared" si="142"/>
        <v>0</v>
      </c>
      <c r="N923">
        <f t="shared" si="150"/>
        <v>0</v>
      </c>
      <c r="O923">
        <f t="shared" si="143"/>
        <v>0</v>
      </c>
      <c r="P923">
        <f t="shared" si="144"/>
        <v>0</v>
      </c>
      <c r="R923" t="str">
        <f t="shared" si="145"/>
        <v>00</v>
      </c>
    </row>
    <row r="924" spans="1:18" x14ac:dyDescent="0.4">
      <c r="A924" s="1" t="str">
        <f t="shared" si="148"/>
        <v>1CD</v>
      </c>
      <c r="B924">
        <f t="shared" si="149"/>
        <v>0</v>
      </c>
      <c r="C924">
        <f>VALUE(MID(Hex!$C$2,1+2*HEX2DEC(A924)+B924,1))</f>
        <v>7</v>
      </c>
      <c r="D924" s="1" t="str">
        <f t="shared" si="146"/>
        <v>39A</v>
      </c>
      <c r="E924">
        <f>HEX2DEC(MID(Hex!$C$8,1+HEX2DEC(Edit!D924)*2,2))</f>
        <v>0</v>
      </c>
      <c r="F924">
        <f t="shared" si="147"/>
        <v>922</v>
      </c>
      <c r="G924" t="str">
        <f>_xlfn.LET(_xlpm.custom,_xlfn.XLOOKUP(F924,Data!A:A,Data!C:C),IF(_xlpm.custom="",_xlfn.XLOOKUP(F924,Data!A:A,Data!B:B),_xlpm.custom))</f>
        <v>Lunalium Z</v>
      </c>
      <c r="H924" t="str">
        <f>_xlfn.XLOOKUP(C924,Data!A:A,Data!E:E)</f>
        <v>Z-Crystal (Hold Version)</v>
      </c>
      <c r="J924">
        <f>IF(I924="",C924,_xlfn.XLOOKUP(I924,Data!E:E,Data!A:A,""))</f>
        <v>7</v>
      </c>
      <c r="L924">
        <f t="shared" si="141"/>
        <v>0</v>
      </c>
      <c r="M924">
        <f t="shared" si="142"/>
        <v>0</v>
      </c>
      <c r="N924">
        <f t="shared" si="150"/>
        <v>0</v>
      </c>
      <c r="O924">
        <f t="shared" si="143"/>
        <v>0</v>
      </c>
      <c r="P924">
        <f t="shared" si="144"/>
        <v>0</v>
      </c>
      <c r="R924" t="str">
        <f t="shared" si="145"/>
        <v>00</v>
      </c>
    </row>
    <row r="925" spans="1:18" x14ac:dyDescent="0.4">
      <c r="A925" s="1" t="str">
        <f t="shared" si="148"/>
        <v>1CD</v>
      </c>
      <c r="B925">
        <f t="shared" si="149"/>
        <v>1</v>
      </c>
      <c r="C925">
        <f>VALUE(MID(Hex!$C$2,1+2*HEX2DEC(A925)+B925,1))</f>
        <v>7</v>
      </c>
      <c r="D925" s="1" t="str">
        <f t="shared" si="146"/>
        <v>39B</v>
      </c>
      <c r="E925">
        <f>HEX2DEC(MID(Hex!$C$8,1+HEX2DEC(Edit!D925)*2,2))</f>
        <v>0</v>
      </c>
      <c r="F925">
        <f t="shared" si="147"/>
        <v>923</v>
      </c>
      <c r="G925" t="str">
        <f>_xlfn.LET(_xlpm.custom,_xlfn.XLOOKUP(F925,Data!A:A,Data!C:C),IF(_xlpm.custom="",_xlfn.XLOOKUP(F925,Data!A:A,Data!B:B),_xlpm.custom))</f>
        <v>Ultraburstium Z</v>
      </c>
      <c r="H925" t="str">
        <f>_xlfn.XLOOKUP(C925,Data!A:A,Data!E:E)</f>
        <v>Z-Crystal (Hold Version)</v>
      </c>
      <c r="J925">
        <f>IF(I925="",C925,_xlfn.XLOOKUP(I925,Data!E:E,Data!A:A,""))</f>
        <v>7</v>
      </c>
      <c r="L925">
        <f t="shared" si="141"/>
        <v>0</v>
      </c>
      <c r="M925">
        <f t="shared" si="142"/>
        <v>0</v>
      </c>
      <c r="N925">
        <f t="shared" si="150"/>
        <v>0</v>
      </c>
      <c r="O925">
        <f t="shared" si="143"/>
        <v>0</v>
      </c>
      <c r="P925">
        <f t="shared" si="144"/>
        <v>0</v>
      </c>
      <c r="R925" t="str">
        <f t="shared" si="145"/>
        <v>00</v>
      </c>
    </row>
    <row r="926" spans="1:18" x14ac:dyDescent="0.4">
      <c r="A926" s="1" t="str">
        <f t="shared" si="148"/>
        <v>1CE</v>
      </c>
      <c r="B926">
        <f t="shared" si="149"/>
        <v>0</v>
      </c>
      <c r="C926">
        <f>VALUE(MID(Hex!$C$2,1+2*HEX2DEC(A926)+B926,1))</f>
        <v>7</v>
      </c>
      <c r="D926" s="1" t="str">
        <f t="shared" si="146"/>
        <v>39C</v>
      </c>
      <c r="E926">
        <f>HEX2DEC(MID(Hex!$C$8,1+HEX2DEC(Edit!D926)*2,2))</f>
        <v>0</v>
      </c>
      <c r="F926">
        <f t="shared" si="147"/>
        <v>924</v>
      </c>
      <c r="G926" t="str">
        <f>_xlfn.LET(_xlpm.custom,_xlfn.XLOOKUP(F926,Data!A:A,Data!C:C),IF(_xlpm.custom="",_xlfn.XLOOKUP(F926,Data!A:A,Data!B:B),_xlpm.custom))</f>
        <v>Mimikium Z</v>
      </c>
      <c r="H926" t="str">
        <f>_xlfn.XLOOKUP(C926,Data!A:A,Data!E:E)</f>
        <v>Z-Crystal (Hold Version)</v>
      </c>
      <c r="J926">
        <f>IF(I926="",C926,_xlfn.XLOOKUP(I926,Data!E:E,Data!A:A,""))</f>
        <v>7</v>
      </c>
      <c r="L926">
        <f t="shared" si="141"/>
        <v>0</v>
      </c>
      <c r="M926">
        <f t="shared" si="142"/>
        <v>0</v>
      </c>
      <c r="N926">
        <f t="shared" si="150"/>
        <v>0</v>
      </c>
      <c r="O926">
        <f t="shared" si="143"/>
        <v>0</v>
      </c>
      <c r="P926">
        <f t="shared" si="144"/>
        <v>0</v>
      </c>
      <c r="R926" t="str">
        <f t="shared" si="145"/>
        <v>00</v>
      </c>
    </row>
    <row r="927" spans="1:18" x14ac:dyDescent="0.4">
      <c r="A927" s="1" t="str">
        <f t="shared" si="148"/>
        <v>1CE</v>
      </c>
      <c r="B927">
        <f t="shared" si="149"/>
        <v>1</v>
      </c>
      <c r="C927">
        <f>VALUE(MID(Hex!$C$2,1+2*HEX2DEC(A927)+B927,1))</f>
        <v>7</v>
      </c>
      <c r="D927" s="1" t="str">
        <f t="shared" si="146"/>
        <v>39D</v>
      </c>
      <c r="E927">
        <f>HEX2DEC(MID(Hex!$C$8,1+HEX2DEC(Edit!D927)*2,2))</f>
        <v>0</v>
      </c>
      <c r="F927">
        <f t="shared" si="147"/>
        <v>925</v>
      </c>
      <c r="G927" t="str">
        <f>_xlfn.LET(_xlpm.custom,_xlfn.XLOOKUP(F927,Data!A:A,Data!C:C),IF(_xlpm.custom="",_xlfn.XLOOKUP(F927,Data!A:A,Data!B:B),_xlpm.custom))</f>
        <v>Lycanium Z</v>
      </c>
      <c r="H927" t="str">
        <f>_xlfn.XLOOKUP(C927,Data!A:A,Data!E:E)</f>
        <v>Z-Crystal (Hold Version)</v>
      </c>
      <c r="J927">
        <f>IF(I927="",C927,_xlfn.XLOOKUP(I927,Data!E:E,Data!A:A,""))</f>
        <v>7</v>
      </c>
      <c r="L927">
        <f t="shared" si="141"/>
        <v>0</v>
      </c>
      <c r="M927">
        <f t="shared" si="142"/>
        <v>0</v>
      </c>
      <c r="N927">
        <f t="shared" si="150"/>
        <v>0</v>
      </c>
      <c r="O927">
        <f t="shared" si="143"/>
        <v>0</v>
      </c>
      <c r="P927">
        <f t="shared" si="144"/>
        <v>0</v>
      </c>
      <c r="R927" t="str">
        <f t="shared" si="145"/>
        <v>00</v>
      </c>
    </row>
    <row r="928" spans="1:18" x14ac:dyDescent="0.4">
      <c r="A928" s="1" t="str">
        <f t="shared" si="148"/>
        <v>1CF</v>
      </c>
      <c r="B928">
        <f t="shared" si="149"/>
        <v>0</v>
      </c>
      <c r="C928">
        <f>VALUE(MID(Hex!$C$2,1+2*HEX2DEC(A928)+B928,1))</f>
        <v>7</v>
      </c>
      <c r="D928" s="1" t="str">
        <f t="shared" si="146"/>
        <v>39E</v>
      </c>
      <c r="E928">
        <f>HEX2DEC(MID(Hex!$C$8,1+HEX2DEC(Edit!D928)*2,2))</f>
        <v>0</v>
      </c>
      <c r="F928">
        <f t="shared" si="147"/>
        <v>926</v>
      </c>
      <c r="G928" t="str">
        <f>_xlfn.LET(_xlpm.custom,_xlfn.XLOOKUP(F928,Data!A:A,Data!C:C),IF(_xlpm.custom="",_xlfn.XLOOKUP(F928,Data!A:A,Data!B:B),_xlpm.custom))</f>
        <v>Kommonium Z</v>
      </c>
      <c r="H928" t="str">
        <f>_xlfn.XLOOKUP(C928,Data!A:A,Data!E:E)</f>
        <v>Z-Crystal (Hold Version)</v>
      </c>
      <c r="J928">
        <f>IF(I928="",C928,_xlfn.XLOOKUP(I928,Data!E:E,Data!A:A,""))</f>
        <v>7</v>
      </c>
      <c r="L928">
        <f t="shared" si="141"/>
        <v>0</v>
      </c>
      <c r="M928">
        <f t="shared" si="142"/>
        <v>0</v>
      </c>
      <c r="N928">
        <f t="shared" si="150"/>
        <v>0</v>
      </c>
      <c r="O928">
        <f t="shared" si="143"/>
        <v>0</v>
      </c>
      <c r="P928">
        <f t="shared" si="144"/>
        <v>0</v>
      </c>
      <c r="R928" t="str">
        <f t="shared" si="145"/>
        <v>00</v>
      </c>
    </row>
    <row r="929" spans="1:18" x14ac:dyDescent="0.4">
      <c r="A929" s="1" t="str">
        <f t="shared" si="148"/>
        <v>1CF</v>
      </c>
      <c r="B929">
        <f t="shared" si="149"/>
        <v>1</v>
      </c>
      <c r="C929">
        <f>VALUE(MID(Hex!$C$2,1+2*HEX2DEC(A929)+B929,1))</f>
        <v>5</v>
      </c>
      <c r="D929" s="1" t="str">
        <f t="shared" si="146"/>
        <v>39F</v>
      </c>
      <c r="E929">
        <f>HEX2DEC(MID(Hex!$C$8,1+HEX2DEC(Edit!D929)*2,2))</f>
        <v>0</v>
      </c>
      <c r="F929">
        <f t="shared" si="147"/>
        <v>927</v>
      </c>
      <c r="G929" t="str">
        <f>_xlfn.LET(_xlpm.custom,_xlfn.XLOOKUP(F929,Data!A:A,Data!C:C),IF(_xlpm.custom="",_xlfn.XLOOKUP(F929,Data!A:A,Data!B:B),_xlpm.custom))</f>
        <v>Solganium Z</v>
      </c>
      <c r="H929" t="str">
        <f>_xlfn.XLOOKUP(C929,Data!A:A,Data!E:E)</f>
        <v>Z-Crystal (Bag Version)</v>
      </c>
      <c r="J929">
        <f>IF(I929="",C929,_xlfn.XLOOKUP(I929,Data!E:E,Data!A:A,""))</f>
        <v>5</v>
      </c>
      <c r="L929">
        <f t="shared" si="141"/>
        <v>0</v>
      </c>
      <c r="M929">
        <f t="shared" si="142"/>
        <v>0</v>
      </c>
      <c r="N929">
        <f t="shared" si="150"/>
        <v>0</v>
      </c>
      <c r="O929">
        <f t="shared" si="143"/>
        <v>0</v>
      </c>
      <c r="P929">
        <f t="shared" si="144"/>
        <v>0</v>
      </c>
      <c r="R929" t="str">
        <f t="shared" si="145"/>
        <v>00</v>
      </c>
    </row>
    <row r="930" spans="1:18" x14ac:dyDescent="0.4">
      <c r="A930" s="1" t="str">
        <f t="shared" si="148"/>
        <v>1D0</v>
      </c>
      <c r="B930">
        <f t="shared" si="149"/>
        <v>0</v>
      </c>
      <c r="C930">
        <f>VALUE(MID(Hex!$C$2,1+2*HEX2DEC(A930)+B930,1))</f>
        <v>5</v>
      </c>
      <c r="D930" s="1" t="str">
        <f t="shared" si="146"/>
        <v>3A0</v>
      </c>
      <c r="E930">
        <f>HEX2DEC(MID(Hex!$C$8,1+HEX2DEC(Edit!D930)*2,2))</f>
        <v>0</v>
      </c>
      <c r="F930">
        <f t="shared" si="147"/>
        <v>928</v>
      </c>
      <c r="G930" t="str">
        <f>_xlfn.LET(_xlpm.custom,_xlfn.XLOOKUP(F930,Data!A:A,Data!C:C),IF(_xlpm.custom="",_xlfn.XLOOKUP(F930,Data!A:A,Data!B:B),_xlpm.custom))</f>
        <v>Lunalium Z</v>
      </c>
      <c r="H930" t="str">
        <f>_xlfn.XLOOKUP(C930,Data!A:A,Data!E:E)</f>
        <v>Z-Crystal (Bag Version)</v>
      </c>
      <c r="J930">
        <f>IF(I930="",C930,_xlfn.XLOOKUP(I930,Data!E:E,Data!A:A,""))</f>
        <v>5</v>
      </c>
      <c r="L930">
        <f t="shared" si="141"/>
        <v>0</v>
      </c>
      <c r="M930">
        <f t="shared" si="142"/>
        <v>0</v>
      </c>
      <c r="N930">
        <f t="shared" si="150"/>
        <v>0</v>
      </c>
      <c r="O930">
        <f t="shared" si="143"/>
        <v>0</v>
      </c>
      <c r="P930">
        <f t="shared" si="144"/>
        <v>0</v>
      </c>
      <c r="R930" t="str">
        <f t="shared" si="145"/>
        <v>00</v>
      </c>
    </row>
    <row r="931" spans="1:18" x14ac:dyDescent="0.4">
      <c r="A931" s="1" t="str">
        <f t="shared" si="148"/>
        <v>1D0</v>
      </c>
      <c r="B931">
        <f t="shared" si="149"/>
        <v>1</v>
      </c>
      <c r="C931">
        <f>VALUE(MID(Hex!$C$2,1+2*HEX2DEC(A931)+B931,1))</f>
        <v>5</v>
      </c>
      <c r="D931" s="1" t="str">
        <f t="shared" si="146"/>
        <v>3A1</v>
      </c>
      <c r="E931">
        <f>HEX2DEC(MID(Hex!$C$8,1+HEX2DEC(Edit!D931)*2,2))</f>
        <v>0</v>
      </c>
      <c r="F931">
        <f t="shared" si="147"/>
        <v>929</v>
      </c>
      <c r="G931" t="str">
        <f>_xlfn.LET(_xlpm.custom,_xlfn.XLOOKUP(F931,Data!A:A,Data!C:C),IF(_xlpm.custom="",_xlfn.XLOOKUP(F931,Data!A:A,Data!B:B),_xlpm.custom))</f>
        <v>Ultranecrozium U</v>
      </c>
      <c r="H931" t="str">
        <f>_xlfn.XLOOKUP(C931,Data!A:A,Data!E:E)</f>
        <v>Z-Crystal (Bag Version)</v>
      </c>
      <c r="J931">
        <f>IF(I931="",C931,_xlfn.XLOOKUP(I931,Data!E:E,Data!A:A,""))</f>
        <v>5</v>
      </c>
      <c r="L931">
        <f t="shared" si="141"/>
        <v>0</v>
      </c>
      <c r="M931">
        <f t="shared" si="142"/>
        <v>0</v>
      </c>
      <c r="N931">
        <f t="shared" si="150"/>
        <v>0</v>
      </c>
      <c r="O931">
        <f t="shared" si="143"/>
        <v>0</v>
      </c>
      <c r="P931">
        <f t="shared" si="144"/>
        <v>0</v>
      </c>
      <c r="R931" t="str">
        <f t="shared" si="145"/>
        <v>00</v>
      </c>
    </row>
    <row r="932" spans="1:18" x14ac:dyDescent="0.4">
      <c r="A932" s="1" t="str">
        <f t="shared" si="148"/>
        <v>1D1</v>
      </c>
      <c r="B932">
        <f t="shared" si="149"/>
        <v>0</v>
      </c>
      <c r="C932">
        <f>VALUE(MID(Hex!$C$2,1+2*HEX2DEC(A932)+B932,1))</f>
        <v>5</v>
      </c>
      <c r="D932" s="1" t="str">
        <f t="shared" si="146"/>
        <v>3A2</v>
      </c>
      <c r="E932">
        <f>HEX2DEC(MID(Hex!$C$8,1+HEX2DEC(Edit!D932)*2,2))</f>
        <v>0</v>
      </c>
      <c r="F932">
        <f t="shared" si="147"/>
        <v>930</v>
      </c>
      <c r="G932" t="str">
        <f>_xlfn.LET(_xlpm.custom,_xlfn.XLOOKUP(F932,Data!A:A,Data!C:C),IF(_xlpm.custom="",_xlfn.XLOOKUP(F932,Data!A:A,Data!B:B),_xlpm.custom))</f>
        <v>Mimikium U</v>
      </c>
      <c r="H932" t="str">
        <f>_xlfn.XLOOKUP(C932,Data!A:A,Data!E:E)</f>
        <v>Z-Crystal (Bag Version)</v>
      </c>
      <c r="J932">
        <f>IF(I932="",C932,_xlfn.XLOOKUP(I932,Data!E:E,Data!A:A,""))</f>
        <v>5</v>
      </c>
      <c r="L932">
        <f t="shared" si="141"/>
        <v>0</v>
      </c>
      <c r="M932">
        <f t="shared" si="142"/>
        <v>0</v>
      </c>
      <c r="N932">
        <f t="shared" si="150"/>
        <v>0</v>
      </c>
      <c r="O932">
        <f t="shared" si="143"/>
        <v>0</v>
      </c>
      <c r="P932">
        <f t="shared" si="144"/>
        <v>0</v>
      </c>
      <c r="R932" t="str">
        <f t="shared" si="145"/>
        <v>00</v>
      </c>
    </row>
    <row r="933" spans="1:18" x14ac:dyDescent="0.4">
      <c r="A933" s="1" t="str">
        <f t="shared" si="148"/>
        <v>1D1</v>
      </c>
      <c r="B933">
        <f t="shared" si="149"/>
        <v>1</v>
      </c>
      <c r="C933">
        <f>VALUE(MID(Hex!$C$2,1+2*HEX2DEC(A933)+B933,1))</f>
        <v>5</v>
      </c>
      <c r="D933" s="1" t="str">
        <f t="shared" si="146"/>
        <v>3A3</v>
      </c>
      <c r="E933">
        <f>HEX2DEC(MID(Hex!$C$8,1+HEX2DEC(Edit!D933)*2,2))</f>
        <v>0</v>
      </c>
      <c r="F933">
        <f t="shared" si="147"/>
        <v>931</v>
      </c>
      <c r="G933" t="str">
        <f>_xlfn.LET(_xlpm.custom,_xlfn.XLOOKUP(F933,Data!A:A,Data!C:C),IF(_xlpm.custom="",_xlfn.XLOOKUP(F933,Data!A:A,Data!B:B),_xlpm.custom))</f>
        <v>Lycanium U</v>
      </c>
      <c r="H933" t="str">
        <f>_xlfn.XLOOKUP(C933,Data!A:A,Data!E:E)</f>
        <v>Z-Crystal (Bag Version)</v>
      </c>
      <c r="J933">
        <f>IF(I933="",C933,_xlfn.XLOOKUP(I933,Data!E:E,Data!A:A,""))</f>
        <v>5</v>
      </c>
      <c r="L933">
        <f t="shared" si="141"/>
        <v>0</v>
      </c>
      <c r="M933">
        <f t="shared" si="142"/>
        <v>0</v>
      </c>
      <c r="N933">
        <f t="shared" si="150"/>
        <v>0</v>
      </c>
      <c r="O933">
        <f t="shared" si="143"/>
        <v>0</v>
      </c>
      <c r="P933">
        <f t="shared" si="144"/>
        <v>0</v>
      </c>
      <c r="R933" t="str">
        <f t="shared" si="145"/>
        <v>00</v>
      </c>
    </row>
    <row r="934" spans="1:18" x14ac:dyDescent="0.4">
      <c r="A934" s="1" t="str">
        <f t="shared" si="148"/>
        <v>1D2</v>
      </c>
      <c r="B934">
        <f t="shared" si="149"/>
        <v>0</v>
      </c>
      <c r="C934">
        <f>VALUE(MID(Hex!$C$2,1+2*HEX2DEC(A934)+B934,1))</f>
        <v>5</v>
      </c>
      <c r="D934" s="1" t="str">
        <f t="shared" si="146"/>
        <v>3A4</v>
      </c>
      <c r="E934">
        <f>HEX2DEC(MID(Hex!$C$8,1+HEX2DEC(Edit!D934)*2,2))</f>
        <v>0</v>
      </c>
      <c r="F934">
        <f t="shared" si="147"/>
        <v>932</v>
      </c>
      <c r="G934" t="str">
        <f>_xlfn.LET(_xlpm.custom,_xlfn.XLOOKUP(F934,Data!A:A,Data!C:C),IF(_xlpm.custom="",_xlfn.XLOOKUP(F934,Data!A:A,Data!B:B),_xlpm.custom))</f>
        <v>Kommonium U</v>
      </c>
      <c r="H934" t="str">
        <f>_xlfn.XLOOKUP(C934,Data!A:A,Data!E:E)</f>
        <v>Z-Crystal (Bag Version)</v>
      </c>
      <c r="J934">
        <f>IF(I934="",C934,_xlfn.XLOOKUP(I934,Data!E:E,Data!A:A,""))</f>
        <v>5</v>
      </c>
      <c r="L934">
        <f t="shared" si="141"/>
        <v>0</v>
      </c>
      <c r="M934">
        <f t="shared" si="142"/>
        <v>0</v>
      </c>
      <c r="N934">
        <f t="shared" si="150"/>
        <v>0</v>
      </c>
      <c r="O934">
        <f t="shared" si="143"/>
        <v>0</v>
      </c>
      <c r="P934">
        <f t="shared" si="144"/>
        <v>0</v>
      </c>
      <c r="R934" t="str">
        <f t="shared" si="145"/>
        <v>00</v>
      </c>
    </row>
    <row r="935" spans="1:18" x14ac:dyDescent="0.4">
      <c r="A935" s="1" t="str">
        <f t="shared" si="148"/>
        <v>1D2</v>
      </c>
      <c r="B935">
        <f t="shared" si="149"/>
        <v>1</v>
      </c>
      <c r="C935">
        <f>VALUE(MID(Hex!$C$2,1+2*HEX2DEC(A935)+B935,1))</f>
        <v>4</v>
      </c>
      <c r="D935" s="1" t="str">
        <f t="shared" si="146"/>
        <v>3A5</v>
      </c>
      <c r="E935">
        <f>HEX2DEC(MID(Hex!$C$8,1+HEX2DEC(Edit!D935)*2,2))</f>
        <v>0</v>
      </c>
      <c r="F935">
        <f t="shared" si="147"/>
        <v>933</v>
      </c>
      <c r="G935" t="str">
        <f>_xlfn.LET(_xlpm.custom,_xlfn.XLOOKUP(F935,Data!A:A,Data!C:C),IF(_xlpm.custom="",_xlfn.XLOOKUP(F935,Data!A:A,Data!B:B),_xlpm.custom))</f>
        <v>Z-Power Ring</v>
      </c>
      <c r="H935" t="str">
        <f>_xlfn.XLOOKUP(C935,Data!A:A,Data!E:E)</f>
        <v>Key</v>
      </c>
      <c r="J935">
        <f>IF(I935="",C935,_xlfn.XLOOKUP(I935,Data!E:E,Data!A:A,""))</f>
        <v>4</v>
      </c>
      <c r="L935">
        <f t="shared" si="141"/>
        <v>0</v>
      </c>
      <c r="M935">
        <f t="shared" si="142"/>
        <v>0</v>
      </c>
      <c r="N935">
        <f t="shared" si="150"/>
        <v>0</v>
      </c>
      <c r="O935">
        <f t="shared" si="143"/>
        <v>0</v>
      </c>
      <c r="P935">
        <f t="shared" si="144"/>
        <v>0</v>
      </c>
      <c r="R935" t="str">
        <f t="shared" si="145"/>
        <v>00</v>
      </c>
    </row>
    <row r="936" spans="1:18" x14ac:dyDescent="0.4">
      <c r="A936" s="1" t="str">
        <f t="shared" si="148"/>
        <v>1D3</v>
      </c>
      <c r="B936">
        <f t="shared" si="149"/>
        <v>0</v>
      </c>
      <c r="C936">
        <f>VALUE(MID(Hex!$C$2,1+2*HEX2DEC(A936)+B936,1))</f>
        <v>4</v>
      </c>
      <c r="D936" s="1" t="str">
        <f t="shared" si="146"/>
        <v>3A6</v>
      </c>
      <c r="E936">
        <f>HEX2DEC(MID(Hex!$C$8,1+HEX2DEC(Edit!D936)*2,2))</f>
        <v>0</v>
      </c>
      <c r="F936">
        <f t="shared" si="147"/>
        <v>934</v>
      </c>
      <c r="G936" t="str">
        <f>_xlfn.LET(_xlpm.custom,_xlfn.XLOOKUP(F936,Data!A:A,Data!C:C),IF(_xlpm.custom="",_xlfn.XLOOKUP(F936,Data!A:A,Data!B:B),_xlpm.custom))</f>
        <v>Pink Petal</v>
      </c>
      <c r="H936" t="str">
        <f>_xlfn.XLOOKUP(C936,Data!A:A,Data!E:E)</f>
        <v>Key</v>
      </c>
      <c r="J936">
        <f>IF(I936="",C936,_xlfn.XLOOKUP(I936,Data!E:E,Data!A:A,""))</f>
        <v>4</v>
      </c>
      <c r="L936">
        <f t="shared" si="141"/>
        <v>0</v>
      </c>
      <c r="M936">
        <f t="shared" si="142"/>
        <v>0</v>
      </c>
      <c r="N936">
        <f t="shared" si="150"/>
        <v>0</v>
      </c>
      <c r="O936">
        <f t="shared" si="143"/>
        <v>0</v>
      </c>
      <c r="P936">
        <f t="shared" si="144"/>
        <v>0</v>
      </c>
      <c r="R936" t="str">
        <f t="shared" si="145"/>
        <v>00</v>
      </c>
    </row>
    <row r="937" spans="1:18" x14ac:dyDescent="0.4">
      <c r="A937" s="1" t="str">
        <f t="shared" si="148"/>
        <v>1D3</v>
      </c>
      <c r="B937">
        <f t="shared" si="149"/>
        <v>1</v>
      </c>
      <c r="C937">
        <f>VALUE(MID(Hex!$C$2,1+2*HEX2DEC(A937)+B937,1))</f>
        <v>4</v>
      </c>
      <c r="D937" s="1" t="str">
        <f t="shared" si="146"/>
        <v>3A7</v>
      </c>
      <c r="E937">
        <f>HEX2DEC(MID(Hex!$C$8,1+HEX2DEC(Edit!D937)*2,2))</f>
        <v>0</v>
      </c>
      <c r="F937">
        <f t="shared" si="147"/>
        <v>935</v>
      </c>
      <c r="G937" t="str">
        <f>_xlfn.LET(_xlpm.custom,_xlfn.XLOOKUP(F937,Data!A:A,Data!C:C),IF(_xlpm.custom="",_xlfn.XLOOKUP(F937,Data!A:A,Data!B:B),_xlpm.custom))</f>
        <v>Orange Petal</v>
      </c>
      <c r="H937" t="str">
        <f>_xlfn.XLOOKUP(C937,Data!A:A,Data!E:E)</f>
        <v>Key</v>
      </c>
      <c r="J937">
        <f>IF(I937="",C937,_xlfn.XLOOKUP(I937,Data!E:E,Data!A:A,""))</f>
        <v>4</v>
      </c>
      <c r="L937">
        <f t="shared" si="141"/>
        <v>0</v>
      </c>
      <c r="M937">
        <f t="shared" si="142"/>
        <v>0</v>
      </c>
      <c r="N937">
        <f t="shared" si="150"/>
        <v>0</v>
      </c>
      <c r="O937">
        <f t="shared" si="143"/>
        <v>0</v>
      </c>
      <c r="P937">
        <f t="shared" si="144"/>
        <v>0</v>
      </c>
      <c r="R937" t="str">
        <f t="shared" si="145"/>
        <v>00</v>
      </c>
    </row>
    <row r="938" spans="1:18" x14ac:dyDescent="0.4">
      <c r="A938" s="1" t="str">
        <f t="shared" si="148"/>
        <v>1D4</v>
      </c>
      <c r="B938">
        <f t="shared" si="149"/>
        <v>0</v>
      </c>
      <c r="C938">
        <f>VALUE(MID(Hex!$C$2,1+2*HEX2DEC(A938)+B938,1))</f>
        <v>4</v>
      </c>
      <c r="D938" s="1" t="str">
        <f t="shared" si="146"/>
        <v>3A8</v>
      </c>
      <c r="E938">
        <f>HEX2DEC(MID(Hex!$C$8,1+HEX2DEC(Edit!D938)*2,2))</f>
        <v>0</v>
      </c>
      <c r="F938">
        <f t="shared" si="147"/>
        <v>936</v>
      </c>
      <c r="G938" t="str">
        <f>_xlfn.LET(_xlpm.custom,_xlfn.XLOOKUP(F938,Data!A:A,Data!C:C),IF(_xlpm.custom="",_xlfn.XLOOKUP(F938,Data!A:A,Data!B:B),_xlpm.custom))</f>
        <v>Blue Petal</v>
      </c>
      <c r="H938" t="str">
        <f>_xlfn.XLOOKUP(C938,Data!A:A,Data!E:E)</f>
        <v>Key</v>
      </c>
      <c r="J938">
        <f>IF(I938="",C938,_xlfn.XLOOKUP(I938,Data!E:E,Data!A:A,""))</f>
        <v>4</v>
      </c>
      <c r="L938">
        <f t="shared" si="141"/>
        <v>0</v>
      </c>
      <c r="M938">
        <f t="shared" si="142"/>
        <v>0</v>
      </c>
      <c r="N938">
        <f t="shared" si="150"/>
        <v>0</v>
      </c>
      <c r="O938">
        <f t="shared" si="143"/>
        <v>0</v>
      </c>
      <c r="P938">
        <f t="shared" si="144"/>
        <v>0</v>
      </c>
      <c r="R938" t="str">
        <f t="shared" si="145"/>
        <v>00</v>
      </c>
    </row>
    <row r="939" spans="1:18" x14ac:dyDescent="0.4">
      <c r="A939" s="1" t="str">
        <f t="shared" si="148"/>
        <v>1D4</v>
      </c>
      <c r="B939">
        <f t="shared" si="149"/>
        <v>1</v>
      </c>
      <c r="C939">
        <f>VALUE(MID(Hex!$C$2,1+2*HEX2DEC(A939)+B939,1))</f>
        <v>4</v>
      </c>
      <c r="D939" s="1" t="str">
        <f t="shared" si="146"/>
        <v>3A9</v>
      </c>
      <c r="E939">
        <f>HEX2DEC(MID(Hex!$C$8,1+HEX2DEC(Edit!D939)*2,2))</f>
        <v>0</v>
      </c>
      <c r="F939">
        <f t="shared" si="147"/>
        <v>937</v>
      </c>
      <c r="G939" t="str">
        <f>_xlfn.LET(_xlpm.custom,_xlfn.XLOOKUP(F939,Data!A:A,Data!C:C),IF(_xlpm.custom="",_xlfn.XLOOKUP(F939,Data!A:A,Data!B:B),_xlpm.custom))</f>
        <v>Red Petal</v>
      </c>
      <c r="H939" t="str">
        <f>_xlfn.XLOOKUP(C939,Data!A:A,Data!E:E)</f>
        <v>Key</v>
      </c>
      <c r="J939">
        <f>IF(I939="",C939,_xlfn.XLOOKUP(I939,Data!E:E,Data!A:A,""))</f>
        <v>4</v>
      </c>
      <c r="L939">
        <f t="shared" si="141"/>
        <v>0</v>
      </c>
      <c r="M939">
        <f t="shared" si="142"/>
        <v>0</v>
      </c>
      <c r="N939">
        <f t="shared" si="150"/>
        <v>0</v>
      </c>
      <c r="O939">
        <f t="shared" si="143"/>
        <v>0</v>
      </c>
      <c r="P939">
        <f t="shared" si="144"/>
        <v>0</v>
      </c>
      <c r="R939" t="str">
        <f t="shared" si="145"/>
        <v>00</v>
      </c>
    </row>
    <row r="940" spans="1:18" x14ac:dyDescent="0.4">
      <c r="A940" s="1" t="str">
        <f t="shared" si="148"/>
        <v>1D5</v>
      </c>
      <c r="B940">
        <f t="shared" si="149"/>
        <v>0</v>
      </c>
      <c r="C940">
        <f>VALUE(MID(Hex!$C$2,1+2*HEX2DEC(A940)+B940,1))</f>
        <v>4</v>
      </c>
      <c r="D940" s="1" t="str">
        <f t="shared" si="146"/>
        <v>3AA</v>
      </c>
      <c r="E940">
        <f>HEX2DEC(MID(Hex!$C$8,1+HEX2DEC(Edit!D940)*2,2))</f>
        <v>0</v>
      </c>
      <c r="F940">
        <f t="shared" si="147"/>
        <v>938</v>
      </c>
      <c r="G940" t="str">
        <f>_xlfn.LET(_xlpm.custom,_xlfn.XLOOKUP(F940,Data!A:A,Data!C:C),IF(_xlpm.custom="",_xlfn.XLOOKUP(F940,Data!A:A,Data!B:B),_xlpm.custom))</f>
        <v>Green Petal</v>
      </c>
      <c r="H940" t="str">
        <f>_xlfn.XLOOKUP(C940,Data!A:A,Data!E:E)</f>
        <v>Key</v>
      </c>
      <c r="J940">
        <f>IF(I940="",C940,_xlfn.XLOOKUP(I940,Data!E:E,Data!A:A,""))</f>
        <v>4</v>
      </c>
      <c r="L940">
        <f t="shared" si="141"/>
        <v>0</v>
      </c>
      <c r="M940">
        <f t="shared" si="142"/>
        <v>0</v>
      </c>
      <c r="N940">
        <f t="shared" si="150"/>
        <v>0</v>
      </c>
      <c r="O940">
        <f t="shared" si="143"/>
        <v>0</v>
      </c>
      <c r="P940">
        <f t="shared" si="144"/>
        <v>0</v>
      </c>
      <c r="R940" t="str">
        <f t="shared" si="145"/>
        <v>00</v>
      </c>
    </row>
    <row r="941" spans="1:18" x14ac:dyDescent="0.4">
      <c r="A941" s="1" t="str">
        <f t="shared" si="148"/>
        <v>1D5</v>
      </c>
      <c r="B941">
        <f t="shared" si="149"/>
        <v>1</v>
      </c>
      <c r="C941">
        <f>VALUE(MID(Hex!$C$2,1+2*HEX2DEC(A941)+B941,1))</f>
        <v>4</v>
      </c>
      <c r="D941" s="1" t="str">
        <f t="shared" si="146"/>
        <v>3AB</v>
      </c>
      <c r="E941">
        <f>HEX2DEC(MID(Hex!$C$8,1+HEX2DEC(Edit!D941)*2,2))</f>
        <v>0</v>
      </c>
      <c r="F941">
        <f t="shared" si="147"/>
        <v>939</v>
      </c>
      <c r="G941" t="str">
        <f>_xlfn.LET(_xlpm.custom,_xlfn.XLOOKUP(F941,Data!A:A,Data!C:C),IF(_xlpm.custom="",_xlfn.XLOOKUP(F941,Data!A:A,Data!B:B),_xlpm.custom))</f>
        <v>Yellow Petal</v>
      </c>
      <c r="H941" t="str">
        <f>_xlfn.XLOOKUP(C941,Data!A:A,Data!E:E)</f>
        <v>Key</v>
      </c>
      <c r="J941">
        <f>IF(I941="",C941,_xlfn.XLOOKUP(I941,Data!E:E,Data!A:A,""))</f>
        <v>4</v>
      </c>
      <c r="L941">
        <f t="shared" si="141"/>
        <v>0</v>
      </c>
      <c r="M941">
        <f t="shared" si="142"/>
        <v>0</v>
      </c>
      <c r="N941">
        <f t="shared" si="150"/>
        <v>0</v>
      </c>
      <c r="O941">
        <f t="shared" si="143"/>
        <v>0</v>
      </c>
      <c r="P941">
        <f t="shared" si="144"/>
        <v>0</v>
      </c>
      <c r="R941" t="str">
        <f t="shared" si="145"/>
        <v>00</v>
      </c>
    </row>
    <row r="942" spans="1:18" x14ac:dyDescent="0.4">
      <c r="A942" s="1" t="str">
        <f t="shared" si="148"/>
        <v>1D6</v>
      </c>
      <c r="B942">
        <f t="shared" si="149"/>
        <v>0</v>
      </c>
      <c r="C942">
        <f>VALUE(MID(Hex!$C$2,1+2*HEX2DEC(A942)+B942,1))</f>
        <v>4</v>
      </c>
      <c r="D942" s="1" t="str">
        <f t="shared" si="146"/>
        <v>3AC</v>
      </c>
      <c r="E942">
        <f>HEX2DEC(MID(Hex!$C$8,1+HEX2DEC(Edit!D942)*2,2))</f>
        <v>0</v>
      </c>
      <c r="F942">
        <f t="shared" si="147"/>
        <v>940</v>
      </c>
      <c r="G942" t="str">
        <f>_xlfn.LET(_xlpm.custom,_xlfn.XLOOKUP(F942,Data!A:A,Data!C:C),IF(_xlpm.custom="",_xlfn.XLOOKUP(F942,Data!A:A,Data!B:B),_xlpm.custom))</f>
        <v>Purple Petal</v>
      </c>
      <c r="H942" t="str">
        <f>_xlfn.XLOOKUP(C942,Data!A:A,Data!E:E)</f>
        <v>Key</v>
      </c>
      <c r="J942">
        <f>IF(I942="",C942,_xlfn.XLOOKUP(I942,Data!E:E,Data!A:A,""))</f>
        <v>4</v>
      </c>
      <c r="L942">
        <f t="shared" si="141"/>
        <v>0</v>
      </c>
      <c r="M942">
        <f t="shared" si="142"/>
        <v>0</v>
      </c>
      <c r="N942">
        <f t="shared" si="150"/>
        <v>0</v>
      </c>
      <c r="O942">
        <f t="shared" si="143"/>
        <v>0</v>
      </c>
      <c r="P942">
        <f t="shared" si="144"/>
        <v>0</v>
      </c>
      <c r="R942" t="str">
        <f t="shared" si="145"/>
        <v>00</v>
      </c>
    </row>
    <row r="943" spans="1:18" x14ac:dyDescent="0.4">
      <c r="A943" s="1" t="str">
        <f t="shared" si="148"/>
        <v>1D6</v>
      </c>
      <c r="B943">
        <f t="shared" si="149"/>
        <v>1</v>
      </c>
      <c r="C943">
        <f>VALUE(MID(Hex!$C$2,1+2*HEX2DEC(A943)+B943,1))</f>
        <v>4</v>
      </c>
      <c r="D943" s="1" t="str">
        <f t="shared" si="146"/>
        <v>3AD</v>
      </c>
      <c r="E943">
        <f>HEX2DEC(MID(Hex!$C$8,1+HEX2DEC(Edit!D943)*2,2))</f>
        <v>0</v>
      </c>
      <c r="F943">
        <f t="shared" si="147"/>
        <v>941</v>
      </c>
      <c r="G943" t="str">
        <f>_xlfn.LET(_xlpm.custom,_xlfn.XLOOKUP(F943,Data!A:A,Data!C:C),IF(_xlpm.custom="",_xlfn.XLOOKUP(F943,Data!A:A,Data!B:B),_xlpm.custom))</f>
        <v>Rainbow Flower</v>
      </c>
      <c r="H943" t="str">
        <f>_xlfn.XLOOKUP(C943,Data!A:A,Data!E:E)</f>
        <v>Key</v>
      </c>
      <c r="J943">
        <f>IF(I943="",C943,_xlfn.XLOOKUP(I943,Data!E:E,Data!A:A,""))</f>
        <v>4</v>
      </c>
      <c r="L943">
        <f t="shared" si="141"/>
        <v>0</v>
      </c>
      <c r="M943">
        <f t="shared" si="142"/>
        <v>0</v>
      </c>
      <c r="N943">
        <f t="shared" si="150"/>
        <v>0</v>
      </c>
      <c r="O943">
        <f t="shared" si="143"/>
        <v>0</v>
      </c>
      <c r="P943">
        <f t="shared" si="144"/>
        <v>0</v>
      </c>
      <c r="R943" t="str">
        <f t="shared" si="145"/>
        <v>00</v>
      </c>
    </row>
    <row r="944" spans="1:18" x14ac:dyDescent="0.4">
      <c r="A944" s="1" t="str">
        <f t="shared" si="148"/>
        <v>1D7</v>
      </c>
      <c r="B944">
        <f t="shared" si="149"/>
        <v>0</v>
      </c>
      <c r="C944">
        <f>VALUE(MID(Hex!$C$2,1+2*HEX2DEC(A944)+B944,1))</f>
        <v>4</v>
      </c>
      <c r="D944" s="1" t="str">
        <f t="shared" si="146"/>
        <v>3AE</v>
      </c>
      <c r="E944">
        <f>HEX2DEC(MID(Hex!$C$8,1+HEX2DEC(Edit!D944)*2,2))</f>
        <v>0</v>
      </c>
      <c r="F944">
        <f t="shared" si="147"/>
        <v>942</v>
      </c>
      <c r="G944" t="str">
        <f>_xlfn.LET(_xlpm.custom,_xlfn.XLOOKUP(F944,Data!A:A,Data!C:C),IF(_xlpm.custom="",_xlfn.XLOOKUP(F944,Data!A:A,Data!B:B),_xlpm.custom))</f>
        <v>Surge Badge</v>
      </c>
      <c r="H944" t="str">
        <f>_xlfn.XLOOKUP(C944,Data!A:A,Data!E:E)</f>
        <v>Key</v>
      </c>
      <c r="J944">
        <f>IF(I944="",C944,_xlfn.XLOOKUP(I944,Data!E:E,Data!A:A,""))</f>
        <v>4</v>
      </c>
      <c r="L944">
        <f t="shared" si="141"/>
        <v>0</v>
      </c>
      <c r="M944">
        <f t="shared" si="142"/>
        <v>0</v>
      </c>
      <c r="N944">
        <f t="shared" si="150"/>
        <v>0</v>
      </c>
      <c r="O944">
        <f t="shared" si="143"/>
        <v>0</v>
      </c>
      <c r="P944">
        <f t="shared" si="144"/>
        <v>0</v>
      </c>
      <c r="R944" t="str">
        <f t="shared" si="145"/>
        <v>00</v>
      </c>
    </row>
    <row r="945" spans="1:18" x14ac:dyDescent="0.4">
      <c r="A945" s="1" t="str">
        <f t="shared" si="148"/>
        <v>1D7</v>
      </c>
      <c r="B945">
        <f t="shared" si="149"/>
        <v>1</v>
      </c>
      <c r="C945">
        <f>VALUE(MID(Hex!$C$2,1+2*HEX2DEC(A945)+B945,1))</f>
        <v>4</v>
      </c>
      <c r="D945" s="1" t="str">
        <f t="shared" si="146"/>
        <v>3AF</v>
      </c>
      <c r="E945">
        <f>HEX2DEC(MID(Hex!$C$8,1+HEX2DEC(Edit!D945)*2,2))</f>
        <v>0</v>
      </c>
      <c r="F945">
        <f t="shared" si="147"/>
        <v>943</v>
      </c>
      <c r="G945" t="str">
        <f>_xlfn.LET(_xlpm.custom,_xlfn.XLOOKUP(F945,Data!A:A,Data!C:C),IF(_xlpm.custom="",_xlfn.XLOOKUP(F945,Data!A:A,Data!B:B),_xlpm.custom))</f>
        <v>N-Solarizer</v>
      </c>
      <c r="H945" t="str">
        <f>_xlfn.XLOOKUP(C945,Data!A:A,Data!E:E)</f>
        <v>Key</v>
      </c>
      <c r="J945">
        <f>IF(I945="",C945,_xlfn.XLOOKUP(I945,Data!E:E,Data!A:A,""))</f>
        <v>4</v>
      </c>
      <c r="L945">
        <f t="shared" si="141"/>
        <v>0</v>
      </c>
      <c r="M945">
        <f t="shared" si="142"/>
        <v>0</v>
      </c>
      <c r="N945">
        <f t="shared" si="150"/>
        <v>0</v>
      </c>
      <c r="O945">
        <f t="shared" si="143"/>
        <v>0</v>
      </c>
      <c r="P945">
        <f t="shared" si="144"/>
        <v>0</v>
      </c>
      <c r="R945" t="str">
        <f t="shared" si="145"/>
        <v>00</v>
      </c>
    </row>
    <row r="946" spans="1:18" x14ac:dyDescent="0.4">
      <c r="A946" s="1" t="str">
        <f t="shared" si="148"/>
        <v>1D8</v>
      </c>
      <c r="B946">
        <f t="shared" si="149"/>
        <v>0</v>
      </c>
      <c r="C946">
        <f>VALUE(MID(Hex!$C$2,1+2*HEX2DEC(A946)+B946,1))</f>
        <v>4</v>
      </c>
      <c r="D946" s="1" t="str">
        <f t="shared" si="146"/>
        <v>3B0</v>
      </c>
      <c r="E946">
        <f>HEX2DEC(MID(Hex!$C$8,1+HEX2DEC(Edit!D946)*2,2))</f>
        <v>0</v>
      </c>
      <c r="F946">
        <f t="shared" si="147"/>
        <v>944</v>
      </c>
      <c r="G946" t="str">
        <f>_xlfn.LET(_xlpm.custom,_xlfn.XLOOKUP(F946,Data!A:A,Data!C:C),IF(_xlpm.custom="",_xlfn.XLOOKUP(F946,Data!A:A,Data!B:B),_xlpm.custom))</f>
        <v>N-Lunarizer</v>
      </c>
      <c r="H946" t="str">
        <f>_xlfn.XLOOKUP(C946,Data!A:A,Data!E:E)</f>
        <v>Key</v>
      </c>
      <c r="J946">
        <f>IF(I946="",C946,_xlfn.XLOOKUP(I946,Data!E:E,Data!A:A,""))</f>
        <v>4</v>
      </c>
      <c r="L946">
        <f t="shared" si="141"/>
        <v>0</v>
      </c>
      <c r="M946">
        <f t="shared" si="142"/>
        <v>0</v>
      </c>
      <c r="N946">
        <f t="shared" si="150"/>
        <v>0</v>
      </c>
      <c r="O946">
        <f t="shared" si="143"/>
        <v>0</v>
      </c>
      <c r="P946">
        <f t="shared" si="144"/>
        <v>0</v>
      </c>
      <c r="R946" t="str">
        <f t="shared" si="145"/>
        <v>00</v>
      </c>
    </row>
    <row r="947" spans="1:18" x14ac:dyDescent="0.4">
      <c r="A947" s="1" t="str">
        <f t="shared" si="148"/>
        <v>1D8</v>
      </c>
      <c r="B947">
        <f t="shared" si="149"/>
        <v>1</v>
      </c>
      <c r="C947">
        <f>VALUE(MID(Hex!$C$2,1+2*HEX2DEC(A947)+B947,1))</f>
        <v>4</v>
      </c>
      <c r="D947" s="1" t="str">
        <f t="shared" si="146"/>
        <v>3B1</v>
      </c>
      <c r="E947">
        <f>HEX2DEC(MID(Hex!$C$8,1+HEX2DEC(Edit!D947)*2,2))</f>
        <v>0</v>
      </c>
      <c r="F947">
        <f t="shared" si="147"/>
        <v>945</v>
      </c>
      <c r="G947" t="str">
        <f>_xlfn.LET(_xlpm.custom,_xlfn.XLOOKUP(F947,Data!A:A,Data!C:C),IF(_xlpm.custom="",_xlfn.XLOOKUP(F947,Data!A:A,Data!B:B),_xlpm.custom))</f>
        <v>N-Solarizer</v>
      </c>
      <c r="H947" t="str">
        <f>_xlfn.XLOOKUP(C947,Data!A:A,Data!E:E)</f>
        <v>Key</v>
      </c>
      <c r="J947">
        <f>IF(I947="",C947,_xlfn.XLOOKUP(I947,Data!E:E,Data!A:A,""))</f>
        <v>4</v>
      </c>
      <c r="L947">
        <f t="shared" si="141"/>
        <v>0</v>
      </c>
      <c r="M947">
        <f t="shared" si="142"/>
        <v>0</v>
      </c>
      <c r="N947">
        <f t="shared" si="150"/>
        <v>0</v>
      </c>
      <c r="O947">
        <f t="shared" si="143"/>
        <v>0</v>
      </c>
      <c r="P947">
        <f t="shared" si="144"/>
        <v>0</v>
      </c>
      <c r="R947" t="str">
        <f t="shared" si="145"/>
        <v>00</v>
      </c>
    </row>
    <row r="948" spans="1:18" x14ac:dyDescent="0.4">
      <c r="A948" s="1" t="str">
        <f t="shared" si="148"/>
        <v>1D9</v>
      </c>
      <c r="B948">
        <f t="shared" si="149"/>
        <v>0</v>
      </c>
      <c r="C948">
        <f>VALUE(MID(Hex!$C$2,1+2*HEX2DEC(A948)+B948,1))</f>
        <v>4</v>
      </c>
      <c r="D948" s="1" t="str">
        <f t="shared" si="146"/>
        <v>3B2</v>
      </c>
      <c r="E948">
        <f>HEX2DEC(MID(Hex!$C$8,1+HEX2DEC(Edit!D948)*2,2))</f>
        <v>0</v>
      </c>
      <c r="F948">
        <f t="shared" si="147"/>
        <v>946</v>
      </c>
      <c r="G948" t="str">
        <f>_xlfn.LET(_xlpm.custom,_xlfn.XLOOKUP(F948,Data!A:A,Data!C:C),IF(_xlpm.custom="",_xlfn.XLOOKUP(F948,Data!A:A,Data!B:B),_xlpm.custom))</f>
        <v>N-Lunarizer</v>
      </c>
      <c r="H948" t="str">
        <f>_xlfn.XLOOKUP(C948,Data!A:A,Data!E:E)</f>
        <v>Key</v>
      </c>
      <c r="J948">
        <f>IF(I948="",C948,_xlfn.XLOOKUP(I948,Data!E:E,Data!A:A,""))</f>
        <v>4</v>
      </c>
      <c r="L948">
        <f t="shared" si="141"/>
        <v>0</v>
      </c>
      <c r="M948">
        <f t="shared" si="142"/>
        <v>0</v>
      </c>
      <c r="N948">
        <f t="shared" si="150"/>
        <v>0</v>
      </c>
      <c r="O948">
        <f t="shared" si="143"/>
        <v>0</v>
      </c>
      <c r="P948">
        <f t="shared" si="144"/>
        <v>0</v>
      </c>
      <c r="R948" t="str">
        <f t="shared" si="145"/>
        <v>00</v>
      </c>
    </row>
    <row r="949" spans="1:18" x14ac:dyDescent="0.4">
      <c r="A949" s="1" t="str">
        <f t="shared" si="148"/>
        <v>1D9</v>
      </c>
      <c r="B949">
        <f t="shared" si="149"/>
        <v>1</v>
      </c>
      <c r="C949">
        <f>VALUE(MID(Hex!$C$2,1+2*HEX2DEC(A949)+B949,1))</f>
        <v>4</v>
      </c>
      <c r="D949" s="1" t="str">
        <f t="shared" si="146"/>
        <v>3B3</v>
      </c>
      <c r="E949">
        <f>HEX2DEC(MID(Hex!$C$8,1+HEX2DEC(Edit!D949)*2,2))</f>
        <v>0</v>
      </c>
      <c r="F949">
        <f t="shared" si="147"/>
        <v>947</v>
      </c>
      <c r="G949" t="str">
        <f>_xlfn.LET(_xlpm.custom,_xlfn.XLOOKUP(F949,Data!A:A,Data!C:C),IF(_xlpm.custom="",_xlfn.XLOOKUP(F949,Data!A:A,Data!B:B),_xlpm.custom))</f>
        <v>Ilima’s Normalium Z</v>
      </c>
      <c r="H949" t="str">
        <f>_xlfn.XLOOKUP(C949,Data!A:A,Data!E:E)</f>
        <v>Key</v>
      </c>
      <c r="J949">
        <f>IF(I949="",C949,_xlfn.XLOOKUP(I949,Data!E:E,Data!A:A,""))</f>
        <v>4</v>
      </c>
      <c r="L949">
        <f t="shared" si="141"/>
        <v>0</v>
      </c>
      <c r="M949">
        <f t="shared" si="142"/>
        <v>0</v>
      </c>
      <c r="N949">
        <f t="shared" si="150"/>
        <v>0</v>
      </c>
      <c r="O949">
        <f t="shared" si="143"/>
        <v>0</v>
      </c>
      <c r="P949">
        <f t="shared" si="144"/>
        <v>0</v>
      </c>
      <c r="R949" t="str">
        <f t="shared" si="145"/>
        <v>00</v>
      </c>
    </row>
    <row r="950" spans="1:18" x14ac:dyDescent="0.4">
      <c r="A950" s="1" t="str">
        <f t="shared" si="148"/>
        <v>1DA</v>
      </c>
      <c r="B950">
        <f t="shared" si="149"/>
        <v>0</v>
      </c>
      <c r="C950">
        <f>VALUE(MID(Hex!$C$2,1+2*HEX2DEC(A950)+B950,1))</f>
        <v>4</v>
      </c>
      <c r="D950" s="1" t="str">
        <f t="shared" si="146"/>
        <v>3B4</v>
      </c>
      <c r="E950">
        <f>HEX2DEC(MID(Hex!$C$8,1+HEX2DEC(Edit!D950)*2,2))</f>
        <v>0</v>
      </c>
      <c r="F950">
        <f t="shared" si="147"/>
        <v>948</v>
      </c>
      <c r="G950" t="str">
        <f>_xlfn.LET(_xlpm.custom,_xlfn.XLOOKUP(F950,Data!A:A,Data!C:C),IF(_xlpm.custom="",_xlfn.XLOOKUP(F950,Data!A:A,Data!B:B),_xlpm.custom))</f>
        <v>Left Poké Ball</v>
      </c>
      <c r="H950" t="str">
        <f>_xlfn.XLOOKUP(C950,Data!A:A,Data!E:E)</f>
        <v>Key</v>
      </c>
      <c r="J950">
        <f>IF(I950="",C950,_xlfn.XLOOKUP(I950,Data!E:E,Data!A:A,""))</f>
        <v>4</v>
      </c>
      <c r="L950">
        <f t="shared" si="141"/>
        <v>0</v>
      </c>
      <c r="M950">
        <f t="shared" si="142"/>
        <v>0</v>
      </c>
      <c r="N950">
        <f t="shared" si="150"/>
        <v>0</v>
      </c>
      <c r="O950">
        <f t="shared" si="143"/>
        <v>0</v>
      </c>
      <c r="P950">
        <f t="shared" si="144"/>
        <v>0</v>
      </c>
      <c r="R950" t="str">
        <f t="shared" si="145"/>
        <v>00</v>
      </c>
    </row>
    <row r="951" spans="1:18" x14ac:dyDescent="0.4">
      <c r="A951" s="1" t="str">
        <f t="shared" si="148"/>
        <v>1DA</v>
      </c>
      <c r="B951">
        <f t="shared" si="149"/>
        <v>1</v>
      </c>
      <c r="C951">
        <f>VALUE(MID(Hex!$C$2,1+2*HEX2DEC(A951)+B951,1))</f>
        <v>6</v>
      </c>
      <c r="D951" s="1" t="str">
        <f t="shared" si="146"/>
        <v>3B5</v>
      </c>
      <c r="E951">
        <f>HEX2DEC(MID(Hex!$C$8,1+HEX2DEC(Edit!D951)*2,2))</f>
        <v>0</v>
      </c>
      <c r="F951">
        <f t="shared" si="147"/>
        <v>949</v>
      </c>
      <c r="G951" t="str">
        <f>_xlfn.LET(_xlpm.custom,_xlfn.XLOOKUP(F951,Data!A:A,Data!C:C),IF(_xlpm.custom="",_xlfn.XLOOKUP(F951,Data!A:A,Data!B:B),_xlpm.custom))</f>
        <v>Roto Hatch</v>
      </c>
      <c r="H951" t="str">
        <f>_xlfn.XLOOKUP(C951,Data!A:A,Data!E:E)</f>
        <v>Roto Power</v>
      </c>
      <c r="J951">
        <f>IF(I951="",C951,_xlfn.XLOOKUP(I951,Data!E:E,Data!A:A,""))</f>
        <v>6</v>
      </c>
      <c r="L951">
        <f t="shared" si="141"/>
        <v>0</v>
      </c>
      <c r="M951">
        <f t="shared" si="142"/>
        <v>0</v>
      </c>
      <c r="N951">
        <f t="shared" si="150"/>
        <v>0</v>
      </c>
      <c r="O951">
        <f t="shared" si="143"/>
        <v>0</v>
      </c>
      <c r="P951">
        <f t="shared" si="144"/>
        <v>0</v>
      </c>
      <c r="R951" t="str">
        <f t="shared" si="145"/>
        <v>00</v>
      </c>
    </row>
    <row r="952" spans="1:18" x14ac:dyDescent="0.4">
      <c r="A952" s="1" t="str">
        <f t="shared" si="148"/>
        <v>1DB</v>
      </c>
      <c r="B952">
        <f t="shared" si="149"/>
        <v>0</v>
      </c>
      <c r="C952">
        <f>VALUE(MID(Hex!$C$2,1+2*HEX2DEC(A952)+B952,1))</f>
        <v>6</v>
      </c>
      <c r="D952" s="1" t="str">
        <f t="shared" si="146"/>
        <v>3B6</v>
      </c>
      <c r="E952">
        <f>HEX2DEC(MID(Hex!$C$8,1+HEX2DEC(Edit!D952)*2,2))</f>
        <v>0</v>
      </c>
      <c r="F952">
        <f t="shared" si="147"/>
        <v>950</v>
      </c>
      <c r="G952" t="str">
        <f>_xlfn.LET(_xlpm.custom,_xlfn.XLOOKUP(F952,Data!A:A,Data!C:C),IF(_xlpm.custom="",_xlfn.XLOOKUP(F952,Data!A:A,Data!B:B),_xlpm.custom))</f>
        <v>Roto Bargain</v>
      </c>
      <c r="H952" t="str">
        <f>_xlfn.XLOOKUP(C952,Data!A:A,Data!E:E)</f>
        <v>Roto Power</v>
      </c>
      <c r="J952">
        <f>IF(I952="",C952,_xlfn.XLOOKUP(I952,Data!E:E,Data!A:A,""))</f>
        <v>6</v>
      </c>
      <c r="L952">
        <f t="shared" si="141"/>
        <v>0</v>
      </c>
      <c r="M952">
        <f t="shared" si="142"/>
        <v>0</v>
      </c>
      <c r="N952">
        <f t="shared" si="150"/>
        <v>0</v>
      </c>
      <c r="O952">
        <f t="shared" si="143"/>
        <v>0</v>
      </c>
      <c r="P952">
        <f t="shared" si="144"/>
        <v>0</v>
      </c>
      <c r="R952" t="str">
        <f t="shared" si="145"/>
        <v>00</v>
      </c>
    </row>
    <row r="953" spans="1:18" x14ac:dyDescent="0.4">
      <c r="A953" s="1" t="str">
        <f t="shared" si="148"/>
        <v>1DB</v>
      </c>
      <c r="B953">
        <f t="shared" si="149"/>
        <v>1</v>
      </c>
      <c r="C953">
        <f>VALUE(MID(Hex!$C$2,1+2*HEX2DEC(A953)+B953,1))</f>
        <v>6</v>
      </c>
      <c r="D953" s="1" t="str">
        <f t="shared" si="146"/>
        <v>3B7</v>
      </c>
      <c r="E953">
        <f>HEX2DEC(MID(Hex!$C$8,1+HEX2DEC(Edit!D953)*2,2))</f>
        <v>0</v>
      </c>
      <c r="F953">
        <f t="shared" si="147"/>
        <v>951</v>
      </c>
      <c r="G953" t="str">
        <f>_xlfn.LET(_xlpm.custom,_xlfn.XLOOKUP(F953,Data!A:A,Data!C:C),IF(_xlpm.custom="",_xlfn.XLOOKUP(F953,Data!A:A,Data!B:B),_xlpm.custom))</f>
        <v>Roto Prize Money</v>
      </c>
      <c r="H953" t="str">
        <f>_xlfn.XLOOKUP(C953,Data!A:A,Data!E:E)</f>
        <v>Roto Power</v>
      </c>
      <c r="J953">
        <f>IF(I953="",C953,_xlfn.XLOOKUP(I953,Data!E:E,Data!A:A,""))</f>
        <v>6</v>
      </c>
      <c r="L953">
        <f t="shared" si="141"/>
        <v>0</v>
      </c>
      <c r="M953">
        <f t="shared" si="142"/>
        <v>0</v>
      </c>
      <c r="N953">
        <f t="shared" si="150"/>
        <v>0</v>
      </c>
      <c r="O953">
        <f t="shared" si="143"/>
        <v>0</v>
      </c>
      <c r="P953">
        <f t="shared" si="144"/>
        <v>0</v>
      </c>
      <c r="R953" t="str">
        <f t="shared" si="145"/>
        <v>00</v>
      </c>
    </row>
    <row r="954" spans="1:18" x14ac:dyDescent="0.4">
      <c r="A954" s="1" t="str">
        <f t="shared" si="148"/>
        <v>1DC</v>
      </c>
      <c r="B954">
        <f t="shared" si="149"/>
        <v>0</v>
      </c>
      <c r="C954">
        <f>VALUE(MID(Hex!$C$2,1+2*HEX2DEC(A954)+B954,1))</f>
        <v>6</v>
      </c>
      <c r="D954" s="1" t="str">
        <f t="shared" si="146"/>
        <v>3B8</v>
      </c>
      <c r="E954">
        <f>HEX2DEC(MID(Hex!$C$8,1+HEX2DEC(Edit!D954)*2,2))</f>
        <v>0</v>
      </c>
      <c r="F954">
        <f t="shared" si="147"/>
        <v>952</v>
      </c>
      <c r="G954" t="str">
        <f>_xlfn.LET(_xlpm.custom,_xlfn.XLOOKUP(F954,Data!A:A,Data!C:C),IF(_xlpm.custom="",_xlfn.XLOOKUP(F954,Data!A:A,Data!B:B),_xlpm.custom))</f>
        <v>Roto Exp. Points</v>
      </c>
      <c r="H954" t="str">
        <f>_xlfn.XLOOKUP(C954,Data!A:A,Data!E:E)</f>
        <v>Roto Power</v>
      </c>
      <c r="J954">
        <f>IF(I954="",C954,_xlfn.XLOOKUP(I954,Data!E:E,Data!A:A,""))</f>
        <v>6</v>
      </c>
      <c r="L954">
        <f t="shared" si="141"/>
        <v>0</v>
      </c>
      <c r="M954">
        <f t="shared" si="142"/>
        <v>0</v>
      </c>
      <c r="N954">
        <f t="shared" si="150"/>
        <v>0</v>
      </c>
      <c r="O954">
        <f t="shared" si="143"/>
        <v>0</v>
      </c>
      <c r="P954">
        <f t="shared" si="144"/>
        <v>0</v>
      </c>
      <c r="R954" t="str">
        <f t="shared" si="145"/>
        <v>00</v>
      </c>
    </row>
    <row r="955" spans="1:18" x14ac:dyDescent="0.4">
      <c r="A955" s="1" t="str">
        <f t="shared" si="148"/>
        <v>1DC</v>
      </c>
      <c r="B955">
        <f t="shared" si="149"/>
        <v>1</v>
      </c>
      <c r="C955">
        <f>VALUE(MID(Hex!$C$2,1+2*HEX2DEC(A955)+B955,1))</f>
        <v>6</v>
      </c>
      <c r="D955" s="1" t="str">
        <f t="shared" si="146"/>
        <v>3B9</v>
      </c>
      <c r="E955">
        <f>HEX2DEC(MID(Hex!$C$8,1+HEX2DEC(Edit!D955)*2,2))</f>
        <v>0</v>
      </c>
      <c r="F955">
        <f t="shared" si="147"/>
        <v>953</v>
      </c>
      <c r="G955" t="str">
        <f>_xlfn.LET(_xlpm.custom,_xlfn.XLOOKUP(F955,Data!A:A,Data!C:C),IF(_xlpm.custom="",_xlfn.XLOOKUP(F955,Data!A:A,Data!B:B),_xlpm.custom))</f>
        <v>Roto Friendship</v>
      </c>
      <c r="H955" t="str">
        <f>_xlfn.XLOOKUP(C955,Data!A:A,Data!E:E)</f>
        <v>Roto Power</v>
      </c>
      <c r="J955">
        <f>IF(I955="",C955,_xlfn.XLOOKUP(I955,Data!E:E,Data!A:A,""))</f>
        <v>6</v>
      </c>
      <c r="L955">
        <f t="shared" si="141"/>
        <v>0</v>
      </c>
      <c r="M955">
        <f t="shared" si="142"/>
        <v>0</v>
      </c>
      <c r="N955">
        <f t="shared" si="150"/>
        <v>0</v>
      </c>
      <c r="O955">
        <f t="shared" si="143"/>
        <v>0</v>
      </c>
      <c r="P955">
        <f t="shared" si="144"/>
        <v>0</v>
      </c>
      <c r="R955" t="str">
        <f t="shared" si="145"/>
        <v>00</v>
      </c>
    </row>
    <row r="956" spans="1:18" x14ac:dyDescent="0.4">
      <c r="A956" s="1" t="str">
        <f t="shared" si="148"/>
        <v>1DD</v>
      </c>
      <c r="B956">
        <f t="shared" si="149"/>
        <v>0</v>
      </c>
      <c r="C956">
        <f>VALUE(MID(Hex!$C$2,1+2*HEX2DEC(A956)+B956,1))</f>
        <v>6</v>
      </c>
      <c r="D956" s="1" t="str">
        <f t="shared" si="146"/>
        <v>3BA</v>
      </c>
      <c r="E956">
        <f>HEX2DEC(MID(Hex!$C$8,1+HEX2DEC(Edit!D956)*2,2))</f>
        <v>0</v>
      </c>
      <c r="F956">
        <f t="shared" si="147"/>
        <v>954</v>
      </c>
      <c r="G956" t="str">
        <f>_xlfn.LET(_xlpm.custom,_xlfn.XLOOKUP(F956,Data!A:A,Data!C:C),IF(_xlpm.custom="",_xlfn.XLOOKUP(F956,Data!A:A,Data!B:B),_xlpm.custom))</f>
        <v>Roto Encounter</v>
      </c>
      <c r="H956" t="str">
        <f>_xlfn.XLOOKUP(C956,Data!A:A,Data!E:E)</f>
        <v>Roto Power</v>
      </c>
      <c r="J956">
        <f>IF(I956="",C956,_xlfn.XLOOKUP(I956,Data!E:E,Data!A:A,""))</f>
        <v>6</v>
      </c>
      <c r="L956">
        <f t="shared" si="141"/>
        <v>0</v>
      </c>
      <c r="M956">
        <f t="shared" si="142"/>
        <v>0</v>
      </c>
      <c r="N956">
        <f t="shared" si="150"/>
        <v>0</v>
      </c>
      <c r="O956">
        <f t="shared" si="143"/>
        <v>0</v>
      </c>
      <c r="P956">
        <f t="shared" si="144"/>
        <v>0</v>
      </c>
      <c r="R956" t="str">
        <f t="shared" si="145"/>
        <v>00</v>
      </c>
    </row>
    <row r="957" spans="1:18" x14ac:dyDescent="0.4">
      <c r="A957" s="1" t="str">
        <f t="shared" si="148"/>
        <v>1DD</v>
      </c>
      <c r="B957">
        <f t="shared" si="149"/>
        <v>1</v>
      </c>
      <c r="C957">
        <f>VALUE(MID(Hex!$C$2,1+2*HEX2DEC(A957)+B957,1))</f>
        <v>6</v>
      </c>
      <c r="D957" s="1" t="str">
        <f t="shared" si="146"/>
        <v>3BB</v>
      </c>
      <c r="E957">
        <f>HEX2DEC(MID(Hex!$C$8,1+HEX2DEC(Edit!D957)*2,2))</f>
        <v>0</v>
      </c>
      <c r="F957">
        <f t="shared" si="147"/>
        <v>955</v>
      </c>
      <c r="G957" t="str">
        <f>_xlfn.LET(_xlpm.custom,_xlfn.XLOOKUP(F957,Data!A:A,Data!C:C),IF(_xlpm.custom="",_xlfn.XLOOKUP(F957,Data!A:A,Data!B:B),_xlpm.custom))</f>
        <v>Roto Stealth</v>
      </c>
      <c r="H957" t="str">
        <f>_xlfn.XLOOKUP(C957,Data!A:A,Data!E:E)</f>
        <v>Roto Power</v>
      </c>
      <c r="J957">
        <f>IF(I957="",C957,_xlfn.XLOOKUP(I957,Data!E:E,Data!A:A,""))</f>
        <v>6</v>
      </c>
      <c r="L957">
        <f t="shared" si="141"/>
        <v>0</v>
      </c>
      <c r="M957">
        <f t="shared" si="142"/>
        <v>0</v>
      </c>
      <c r="N957">
        <f t="shared" si="150"/>
        <v>0</v>
      </c>
      <c r="O957">
        <f t="shared" si="143"/>
        <v>0</v>
      </c>
      <c r="P957">
        <f t="shared" si="144"/>
        <v>0</v>
      </c>
      <c r="R957" t="str">
        <f t="shared" si="145"/>
        <v>00</v>
      </c>
    </row>
    <row r="958" spans="1:18" x14ac:dyDescent="0.4">
      <c r="A958" s="1" t="str">
        <f t="shared" si="148"/>
        <v>1DE</v>
      </c>
      <c r="B958">
        <f t="shared" si="149"/>
        <v>0</v>
      </c>
      <c r="C958">
        <f>VALUE(MID(Hex!$C$2,1+2*HEX2DEC(A958)+B958,1))</f>
        <v>6</v>
      </c>
      <c r="D958" s="1" t="str">
        <f t="shared" si="146"/>
        <v>3BC</v>
      </c>
      <c r="E958">
        <f>HEX2DEC(MID(Hex!$C$8,1+HEX2DEC(Edit!D958)*2,2))</f>
        <v>20</v>
      </c>
      <c r="F958">
        <f t="shared" si="147"/>
        <v>956</v>
      </c>
      <c r="G958" t="str">
        <f>_xlfn.LET(_xlpm.custom,_xlfn.XLOOKUP(F958,Data!A:A,Data!C:C),IF(_xlpm.custom="",_xlfn.XLOOKUP(F958,Data!A:A,Data!B:B),_xlpm.custom))</f>
        <v>Roto HP Restore</v>
      </c>
      <c r="H958" t="str">
        <f>_xlfn.XLOOKUP(C958,Data!A:A,Data!E:E)</f>
        <v>Roto Power</v>
      </c>
      <c r="J958">
        <f>IF(I958="",C958,_xlfn.XLOOKUP(I958,Data!E:E,Data!A:A,""))</f>
        <v>6</v>
      </c>
      <c r="L958">
        <f t="shared" si="141"/>
        <v>0</v>
      </c>
      <c r="M958">
        <f t="shared" si="142"/>
        <v>0</v>
      </c>
      <c r="N958">
        <f t="shared" si="150"/>
        <v>4</v>
      </c>
      <c r="O958">
        <f t="shared" si="143"/>
        <v>0</v>
      </c>
      <c r="P958">
        <f t="shared" si="144"/>
        <v>16</v>
      </c>
      <c r="R958" t="str">
        <f t="shared" si="145"/>
        <v>14</v>
      </c>
    </row>
    <row r="959" spans="1:18" x14ac:dyDescent="0.4">
      <c r="A959" s="1" t="str">
        <f t="shared" si="148"/>
        <v>1DE</v>
      </c>
      <c r="B959">
        <f t="shared" si="149"/>
        <v>1</v>
      </c>
      <c r="C959">
        <f>VALUE(MID(Hex!$C$2,1+2*HEX2DEC(A959)+B959,1))</f>
        <v>6</v>
      </c>
      <c r="D959" s="1" t="str">
        <f t="shared" si="146"/>
        <v>3BD</v>
      </c>
      <c r="E959">
        <f>HEX2DEC(MID(Hex!$C$8,1+HEX2DEC(Edit!D959)*2,2))</f>
        <v>20</v>
      </c>
      <c r="F959">
        <f t="shared" si="147"/>
        <v>957</v>
      </c>
      <c r="G959" t="str">
        <f>_xlfn.LET(_xlpm.custom,_xlfn.XLOOKUP(F959,Data!A:A,Data!C:C),IF(_xlpm.custom="",_xlfn.XLOOKUP(F959,Data!A:A,Data!B:B),_xlpm.custom))</f>
        <v>Roto PP Restore</v>
      </c>
      <c r="H959" t="str">
        <f>_xlfn.XLOOKUP(C959,Data!A:A,Data!E:E)</f>
        <v>Roto Power</v>
      </c>
      <c r="J959">
        <f>IF(I959="",C959,_xlfn.XLOOKUP(I959,Data!E:E,Data!A:A,""))</f>
        <v>6</v>
      </c>
      <c r="L959">
        <f t="shared" si="141"/>
        <v>0</v>
      </c>
      <c r="M959">
        <f t="shared" si="142"/>
        <v>0</v>
      </c>
      <c r="N959">
        <f t="shared" si="150"/>
        <v>4</v>
      </c>
      <c r="O959">
        <f t="shared" si="143"/>
        <v>0</v>
      </c>
      <c r="P959">
        <f t="shared" si="144"/>
        <v>16</v>
      </c>
      <c r="R959" t="str">
        <f t="shared" si="145"/>
        <v>14</v>
      </c>
    </row>
    <row r="960" spans="1:18" x14ac:dyDescent="0.4">
      <c r="A960" s="1" t="str">
        <f t="shared" si="148"/>
        <v>1DF</v>
      </c>
      <c r="B960">
        <f t="shared" si="149"/>
        <v>0</v>
      </c>
      <c r="C960">
        <f>VALUE(MID(Hex!$C$2,1+2*HEX2DEC(A960)+B960,1))</f>
        <v>6</v>
      </c>
      <c r="D960" s="1" t="str">
        <f t="shared" si="146"/>
        <v>3BE</v>
      </c>
      <c r="E960">
        <f>HEX2DEC(MID(Hex!$C$8,1+HEX2DEC(Edit!D960)*2,2))</f>
        <v>18</v>
      </c>
      <c r="F960">
        <f t="shared" si="147"/>
        <v>958</v>
      </c>
      <c r="G960" t="str">
        <f>_xlfn.LET(_xlpm.custom,_xlfn.XLOOKUP(F960,Data!A:A,Data!C:C),IF(_xlpm.custom="",_xlfn.XLOOKUP(F960,Data!A:A,Data!B:B),_xlpm.custom))</f>
        <v>Roto Boost</v>
      </c>
      <c r="H960" t="str">
        <f>_xlfn.XLOOKUP(C960,Data!A:A,Data!E:E)</f>
        <v>Roto Power</v>
      </c>
      <c r="J960">
        <f>IF(I960="",C960,_xlfn.XLOOKUP(I960,Data!E:E,Data!A:A,""))</f>
        <v>6</v>
      </c>
      <c r="L960">
        <f t="shared" si="141"/>
        <v>0</v>
      </c>
      <c r="M960">
        <f t="shared" si="142"/>
        <v>2</v>
      </c>
      <c r="N960">
        <f t="shared" si="150"/>
        <v>0</v>
      </c>
      <c r="O960">
        <f t="shared" si="143"/>
        <v>0</v>
      </c>
      <c r="P960">
        <f t="shared" si="144"/>
        <v>16</v>
      </c>
      <c r="R960" t="str">
        <f t="shared" si="145"/>
        <v>12</v>
      </c>
    </row>
    <row r="961" spans="1:18" x14ac:dyDescent="0.4">
      <c r="A961" s="1" t="str">
        <f t="shared" si="148"/>
        <v>1DF</v>
      </c>
      <c r="B961">
        <f t="shared" si="149"/>
        <v>1</v>
      </c>
      <c r="C961">
        <f>VALUE(MID(Hex!$C$2,1+2*HEX2DEC(A961)+B961,1))</f>
        <v>6</v>
      </c>
      <c r="D961" s="1" t="str">
        <f t="shared" si="146"/>
        <v>3BF</v>
      </c>
      <c r="E961">
        <f>HEX2DEC(MID(Hex!$C$8,1+HEX2DEC(Edit!D961)*2,2))</f>
        <v>18</v>
      </c>
      <c r="F961">
        <f t="shared" si="147"/>
        <v>959</v>
      </c>
      <c r="G961" t="str">
        <f>_xlfn.LET(_xlpm.custom,_xlfn.XLOOKUP(F961,Data!A:A,Data!C:C),IF(_xlpm.custom="",_xlfn.XLOOKUP(F961,Data!A:A,Data!B:B),_xlpm.custom))</f>
        <v>Roto Catch</v>
      </c>
      <c r="H961" t="str">
        <f>_xlfn.XLOOKUP(C961,Data!A:A,Data!E:E)</f>
        <v>Roto Power</v>
      </c>
      <c r="J961">
        <f>IF(I961="",C961,_xlfn.XLOOKUP(I961,Data!E:E,Data!A:A,""))</f>
        <v>6</v>
      </c>
      <c r="L961">
        <f t="shared" si="141"/>
        <v>0</v>
      </c>
      <c r="M961">
        <f t="shared" si="142"/>
        <v>2</v>
      </c>
      <c r="N961">
        <f t="shared" si="150"/>
        <v>0</v>
      </c>
      <c r="O961">
        <f t="shared" si="143"/>
        <v>0</v>
      </c>
      <c r="P961">
        <f t="shared" si="144"/>
        <v>16</v>
      </c>
      <c r="R961" t="str">
        <f t="shared" si="145"/>
        <v>12</v>
      </c>
    </row>
    <row r="962" spans="1:18" x14ac:dyDescent="0.4">
      <c r="A962" s="1" t="str">
        <f t="shared" si="148"/>
        <v>1E0</v>
      </c>
      <c r="B962">
        <f t="shared" si="149"/>
        <v>0</v>
      </c>
      <c r="C962">
        <f>VALUE(MID(Hex!$C$2,1+2*HEX2DEC(A962)+B962,1))</f>
        <v>2</v>
      </c>
      <c r="D962" s="1" t="str">
        <f t="shared" si="146"/>
        <v>3C0</v>
      </c>
      <c r="E962">
        <f>HEX2DEC(MID(Hex!$C$8,1+HEX2DEC(Edit!D962)*2,2))</f>
        <v>0</v>
      </c>
      <c r="F962">
        <f t="shared" si="147"/>
        <v>960</v>
      </c>
      <c r="G962" t="str">
        <f>_xlfn.LET(_xlpm.custom,_xlfn.XLOOKUP(F962,Data!A:A,Data!C:C),IF(_xlpm.custom="",_xlfn.XLOOKUP(F962,Data!A:A,Data!B:B),_xlpm.custom))</f>
        <v>TM108</v>
      </c>
      <c r="H962" t="str">
        <f>_xlfn.XLOOKUP(C962,Data!A:A,Data!E:E)</f>
        <v>TM/HM</v>
      </c>
      <c r="J962">
        <f>IF(I962="",C962,_xlfn.XLOOKUP(I962,Data!E:E,Data!A:A,""))</f>
        <v>2</v>
      </c>
      <c r="L962">
        <f t="shared" si="141"/>
        <v>0</v>
      </c>
      <c r="M962">
        <f t="shared" si="142"/>
        <v>0</v>
      </c>
      <c r="N962">
        <f t="shared" si="150"/>
        <v>0</v>
      </c>
      <c r="O962">
        <f t="shared" si="143"/>
        <v>0</v>
      </c>
      <c r="P962">
        <f t="shared" si="144"/>
        <v>0</v>
      </c>
      <c r="R962" t="str">
        <f t="shared" si="145"/>
        <v>00</v>
      </c>
    </row>
    <row r="963" spans="1:18" x14ac:dyDescent="0.4">
      <c r="A963" s="1" t="str">
        <f t="shared" si="148"/>
        <v>1E0</v>
      </c>
      <c r="B963">
        <f t="shared" si="149"/>
        <v>1</v>
      </c>
      <c r="C963">
        <f>VALUE(MID(Hex!$C$2,1+2*HEX2DEC(A963)+B963,1))</f>
        <v>2</v>
      </c>
      <c r="D963" s="1" t="str">
        <f t="shared" si="146"/>
        <v>3C1</v>
      </c>
      <c r="E963">
        <f>HEX2DEC(MID(Hex!$C$8,1+HEX2DEC(Edit!D963)*2,2))</f>
        <v>0</v>
      </c>
      <c r="F963">
        <f t="shared" si="147"/>
        <v>961</v>
      </c>
      <c r="G963" t="str">
        <f>_xlfn.LET(_xlpm.custom,_xlfn.XLOOKUP(F963,Data!A:A,Data!C:C),IF(_xlpm.custom="",_xlfn.XLOOKUP(F963,Data!A:A,Data!B:B),_xlpm.custom))</f>
        <v>TM109</v>
      </c>
      <c r="H963" t="str">
        <f>_xlfn.XLOOKUP(C963,Data!A:A,Data!E:E)</f>
        <v>TM/HM</v>
      </c>
      <c r="J963">
        <f>IF(I963="",C963,_xlfn.XLOOKUP(I963,Data!E:E,Data!A:A,""))</f>
        <v>2</v>
      </c>
      <c r="L963">
        <f t="shared" ref="L963:L982" si="151">_xlfn.BITAND(E963,1)</f>
        <v>0</v>
      </c>
      <c r="M963">
        <f t="shared" ref="M963:M982" si="152">_xlfn.BITAND($E963,2)</f>
        <v>0</v>
      </c>
      <c r="N963">
        <f t="shared" si="150"/>
        <v>0</v>
      </c>
      <c r="O963">
        <f t="shared" ref="O963:O982" si="153">_xlfn.BITAND($E963,8)</f>
        <v>0</v>
      </c>
      <c r="P963">
        <f t="shared" ref="P963:P982" si="154">_xlfn.BITAND($E963,16)</f>
        <v>0</v>
      </c>
      <c r="R963" t="str">
        <f t="shared" ref="R963:R982" si="155">DEC2HEX(SUM(L963:P963),2)</f>
        <v>00</v>
      </c>
    </row>
    <row r="964" spans="1:18" x14ac:dyDescent="0.4">
      <c r="A964" s="1" t="str">
        <f t="shared" si="148"/>
        <v>1E1</v>
      </c>
      <c r="B964">
        <f t="shared" si="149"/>
        <v>0</v>
      </c>
      <c r="C964">
        <f>VALUE(MID(Hex!$C$2,1+2*HEX2DEC(A964)+B964,1))</f>
        <v>2</v>
      </c>
      <c r="D964" s="1" t="str">
        <f t="shared" ref="D964:D982" si="156">DEC2HEX(1+HEX2DEC(D963),3)</f>
        <v>3C2</v>
      </c>
      <c r="E964">
        <f>HEX2DEC(MID(Hex!$C$8,1+HEX2DEC(Edit!D964)*2,2))</f>
        <v>0</v>
      </c>
      <c r="F964">
        <f t="shared" ref="F964:F982" si="157">F963+1</f>
        <v>962</v>
      </c>
      <c r="G964" t="str">
        <f>_xlfn.LET(_xlpm.custom,_xlfn.XLOOKUP(F964,Data!A:A,Data!C:C),IF(_xlpm.custom="",_xlfn.XLOOKUP(F964,Data!A:A,Data!B:B),_xlpm.custom))</f>
        <v>TM110</v>
      </c>
      <c r="H964" t="str">
        <f>_xlfn.XLOOKUP(C964,Data!A:A,Data!E:E)</f>
        <v>TM/HM</v>
      </c>
      <c r="J964">
        <f>IF(I964="",C964,_xlfn.XLOOKUP(I964,Data!E:E,Data!A:A,""))</f>
        <v>2</v>
      </c>
      <c r="L964">
        <f t="shared" si="151"/>
        <v>0</v>
      </c>
      <c r="M964">
        <f t="shared" si="152"/>
        <v>0</v>
      </c>
      <c r="N964">
        <f t="shared" si="150"/>
        <v>0</v>
      </c>
      <c r="O964">
        <f t="shared" si="153"/>
        <v>0</v>
      </c>
      <c r="P964">
        <f t="shared" si="154"/>
        <v>0</v>
      </c>
      <c r="R964" t="str">
        <f t="shared" si="155"/>
        <v>00</v>
      </c>
    </row>
    <row r="965" spans="1:18" x14ac:dyDescent="0.4">
      <c r="A965" s="1" t="str">
        <f t="shared" ref="A965:A982" si="158">DEC2HEX(1+HEX2DEC(A963),3)</f>
        <v>1E1</v>
      </c>
      <c r="B965">
        <f t="shared" ref="B965:B982" si="159">B963</f>
        <v>1</v>
      </c>
      <c r="C965">
        <f>VALUE(MID(Hex!$C$2,1+2*HEX2DEC(A965)+B965,1))</f>
        <v>2</v>
      </c>
      <c r="D965" s="1" t="str">
        <f t="shared" si="156"/>
        <v>3C3</v>
      </c>
      <c r="E965">
        <f>HEX2DEC(MID(Hex!$C$8,1+HEX2DEC(Edit!D965)*2,2))</f>
        <v>0</v>
      </c>
      <c r="F965">
        <f t="shared" si="157"/>
        <v>963</v>
      </c>
      <c r="G965" t="str">
        <f>_xlfn.LET(_xlpm.custom,_xlfn.XLOOKUP(F965,Data!A:A,Data!C:C),IF(_xlpm.custom="",_xlfn.XLOOKUP(F965,Data!A:A,Data!B:B),_xlpm.custom))</f>
        <v>TM111</v>
      </c>
      <c r="H965" t="str">
        <f>_xlfn.XLOOKUP(C965,Data!A:A,Data!E:E)</f>
        <v>TM/HM</v>
      </c>
      <c r="J965">
        <f>IF(I965="",C965,_xlfn.XLOOKUP(I965,Data!E:E,Data!A:A,""))</f>
        <v>2</v>
      </c>
      <c r="L965">
        <f t="shared" si="151"/>
        <v>0</v>
      </c>
      <c r="M965">
        <f t="shared" si="152"/>
        <v>0</v>
      </c>
      <c r="N965">
        <f t="shared" si="150"/>
        <v>0</v>
      </c>
      <c r="O965">
        <f t="shared" si="153"/>
        <v>0</v>
      </c>
      <c r="P965">
        <f t="shared" si="154"/>
        <v>0</v>
      </c>
      <c r="R965" t="str">
        <f t="shared" si="155"/>
        <v>00</v>
      </c>
    </row>
    <row r="966" spans="1:18" x14ac:dyDescent="0.4">
      <c r="A966" s="1" t="str">
        <f t="shared" si="158"/>
        <v>1E2</v>
      </c>
      <c r="B966">
        <f t="shared" si="159"/>
        <v>0</v>
      </c>
      <c r="C966">
        <f>VALUE(MID(Hex!$C$2,1+2*HEX2DEC(A966)+B966,1))</f>
        <v>2</v>
      </c>
      <c r="D966" s="1" t="str">
        <f t="shared" si="156"/>
        <v>3C4</v>
      </c>
      <c r="E966">
        <f>HEX2DEC(MID(Hex!$C$8,1+HEX2DEC(Edit!D966)*2,2))</f>
        <v>0</v>
      </c>
      <c r="F966">
        <f t="shared" si="157"/>
        <v>964</v>
      </c>
      <c r="G966" t="str">
        <f>_xlfn.LET(_xlpm.custom,_xlfn.XLOOKUP(F966,Data!A:A,Data!C:C),IF(_xlpm.custom="",_xlfn.XLOOKUP(F966,Data!A:A,Data!B:B),_xlpm.custom))</f>
        <v>TM112</v>
      </c>
      <c r="H966" t="str">
        <f>_xlfn.XLOOKUP(C966,Data!A:A,Data!E:E)</f>
        <v>TM/HM</v>
      </c>
      <c r="J966">
        <f>IF(I966="",C966,_xlfn.XLOOKUP(I966,Data!E:E,Data!A:A,""))</f>
        <v>2</v>
      </c>
      <c r="L966">
        <f t="shared" si="151"/>
        <v>0</v>
      </c>
      <c r="M966">
        <f t="shared" si="152"/>
        <v>0</v>
      </c>
      <c r="N966">
        <f t="shared" si="150"/>
        <v>0</v>
      </c>
      <c r="O966">
        <f t="shared" si="153"/>
        <v>0</v>
      </c>
      <c r="P966">
        <f t="shared" si="154"/>
        <v>0</v>
      </c>
      <c r="R966" t="str">
        <f t="shared" si="155"/>
        <v>00</v>
      </c>
    </row>
    <row r="967" spans="1:18" x14ac:dyDescent="0.4">
      <c r="A967" s="1" t="str">
        <f t="shared" si="158"/>
        <v>1E2</v>
      </c>
      <c r="B967">
        <f t="shared" si="159"/>
        <v>1</v>
      </c>
      <c r="C967">
        <f>VALUE(MID(Hex!$C$2,1+2*HEX2DEC(A967)+B967,1))</f>
        <v>2</v>
      </c>
      <c r="D967" s="1" t="str">
        <f t="shared" si="156"/>
        <v>3C5</v>
      </c>
      <c r="E967">
        <f>HEX2DEC(MID(Hex!$C$8,1+HEX2DEC(Edit!D967)*2,2))</f>
        <v>0</v>
      </c>
      <c r="F967">
        <f t="shared" si="157"/>
        <v>965</v>
      </c>
      <c r="G967" t="str">
        <f>_xlfn.LET(_xlpm.custom,_xlfn.XLOOKUP(F967,Data!A:A,Data!C:C),IF(_xlpm.custom="",_xlfn.XLOOKUP(F967,Data!A:A,Data!B:B),_xlpm.custom))</f>
        <v>TM113</v>
      </c>
      <c r="H967" t="str">
        <f>_xlfn.XLOOKUP(C967,Data!A:A,Data!E:E)</f>
        <v>TM/HM</v>
      </c>
      <c r="J967">
        <f>IF(I967="",C967,_xlfn.XLOOKUP(I967,Data!E:E,Data!A:A,""))</f>
        <v>2</v>
      </c>
      <c r="L967">
        <f t="shared" si="151"/>
        <v>0</v>
      </c>
      <c r="M967">
        <f t="shared" si="152"/>
        <v>0</v>
      </c>
      <c r="N967">
        <f t="shared" si="150"/>
        <v>0</v>
      </c>
      <c r="O967">
        <f t="shared" si="153"/>
        <v>0</v>
      </c>
      <c r="P967">
        <f t="shared" si="154"/>
        <v>0</v>
      </c>
      <c r="R967" t="str">
        <f t="shared" si="155"/>
        <v>00</v>
      </c>
    </row>
    <row r="968" spans="1:18" x14ac:dyDescent="0.4">
      <c r="A968" s="1" t="str">
        <f t="shared" si="158"/>
        <v>1E3</v>
      </c>
      <c r="B968">
        <f t="shared" si="159"/>
        <v>0</v>
      </c>
      <c r="C968">
        <f>VALUE(MID(Hex!$C$2,1+2*HEX2DEC(A968)+B968,1))</f>
        <v>2</v>
      </c>
      <c r="D968" s="1" t="str">
        <f t="shared" si="156"/>
        <v>3C6</v>
      </c>
      <c r="E968">
        <f>HEX2DEC(MID(Hex!$C$8,1+HEX2DEC(Edit!D968)*2,2))</f>
        <v>0</v>
      </c>
      <c r="F968">
        <f t="shared" si="157"/>
        <v>966</v>
      </c>
      <c r="G968" t="str">
        <f>_xlfn.LET(_xlpm.custom,_xlfn.XLOOKUP(F968,Data!A:A,Data!C:C),IF(_xlpm.custom="",_xlfn.XLOOKUP(F968,Data!A:A,Data!B:B),_xlpm.custom))</f>
        <v>TM114</v>
      </c>
      <c r="H968" t="str">
        <f>_xlfn.XLOOKUP(C968,Data!A:A,Data!E:E)</f>
        <v>TM/HM</v>
      </c>
      <c r="J968">
        <f>IF(I968="",C968,_xlfn.XLOOKUP(I968,Data!E:E,Data!A:A,""))</f>
        <v>2</v>
      </c>
      <c r="L968">
        <f t="shared" si="151"/>
        <v>0</v>
      </c>
      <c r="M968">
        <f t="shared" si="152"/>
        <v>0</v>
      </c>
      <c r="N968">
        <f t="shared" si="150"/>
        <v>0</v>
      </c>
      <c r="O968">
        <f t="shared" si="153"/>
        <v>0</v>
      </c>
      <c r="P968">
        <f t="shared" si="154"/>
        <v>0</v>
      </c>
      <c r="R968" t="str">
        <f t="shared" si="155"/>
        <v>00</v>
      </c>
    </row>
    <row r="969" spans="1:18" x14ac:dyDescent="0.4">
      <c r="A969" s="1" t="str">
        <f t="shared" si="158"/>
        <v>1E3</v>
      </c>
      <c r="B969">
        <f t="shared" si="159"/>
        <v>1</v>
      </c>
      <c r="C969">
        <f>VALUE(MID(Hex!$C$2,1+2*HEX2DEC(A969)+B969,1))</f>
        <v>2</v>
      </c>
      <c r="D969" s="1" t="str">
        <f t="shared" si="156"/>
        <v>3C7</v>
      </c>
      <c r="E969">
        <f>HEX2DEC(MID(Hex!$C$8,1+HEX2DEC(Edit!D969)*2,2))</f>
        <v>0</v>
      </c>
      <c r="F969">
        <f t="shared" si="157"/>
        <v>967</v>
      </c>
      <c r="G969" t="str">
        <f>_xlfn.LET(_xlpm.custom,_xlfn.XLOOKUP(F969,Data!A:A,Data!C:C),IF(_xlpm.custom="",_xlfn.XLOOKUP(F969,Data!A:A,Data!B:B),_xlpm.custom))</f>
        <v>TM115</v>
      </c>
      <c r="H969" t="str">
        <f>_xlfn.XLOOKUP(C969,Data!A:A,Data!E:E)</f>
        <v>TM/HM</v>
      </c>
      <c r="J969">
        <f>IF(I969="",C969,_xlfn.XLOOKUP(I969,Data!E:E,Data!A:A,""))</f>
        <v>2</v>
      </c>
      <c r="L969">
        <f t="shared" si="151"/>
        <v>0</v>
      </c>
      <c r="M969">
        <f t="shared" si="152"/>
        <v>0</v>
      </c>
      <c r="N969">
        <f t="shared" si="150"/>
        <v>0</v>
      </c>
      <c r="O969">
        <f t="shared" si="153"/>
        <v>0</v>
      </c>
      <c r="P969">
        <f t="shared" si="154"/>
        <v>0</v>
      </c>
      <c r="R969" t="str">
        <f t="shared" si="155"/>
        <v>00</v>
      </c>
    </row>
    <row r="970" spans="1:18" x14ac:dyDescent="0.4">
      <c r="A970" s="1" t="str">
        <f t="shared" si="158"/>
        <v>1E4</v>
      </c>
      <c r="B970">
        <f t="shared" si="159"/>
        <v>0</v>
      </c>
      <c r="C970">
        <f>VALUE(MID(Hex!$C$2,1+2*HEX2DEC(A970)+B970,1))</f>
        <v>2</v>
      </c>
      <c r="D970" s="1" t="str">
        <f t="shared" si="156"/>
        <v>3C8</v>
      </c>
      <c r="E970">
        <f>HEX2DEC(MID(Hex!$C$8,1+HEX2DEC(Edit!D970)*2,2))</f>
        <v>0</v>
      </c>
      <c r="F970">
        <f t="shared" si="157"/>
        <v>968</v>
      </c>
      <c r="G970" t="str">
        <f>_xlfn.LET(_xlpm.custom,_xlfn.XLOOKUP(F970,Data!A:A,Data!C:C),IF(_xlpm.custom="",_xlfn.XLOOKUP(F970,Data!A:A,Data!B:B),_xlpm.custom))</f>
        <v>TM116</v>
      </c>
      <c r="H970" t="str">
        <f>_xlfn.XLOOKUP(C970,Data!A:A,Data!E:E)</f>
        <v>TM/HM</v>
      </c>
      <c r="J970">
        <f>IF(I970="",C970,_xlfn.XLOOKUP(I970,Data!E:E,Data!A:A,""))</f>
        <v>2</v>
      </c>
      <c r="L970">
        <f t="shared" si="151"/>
        <v>0</v>
      </c>
      <c r="M970">
        <f t="shared" si="152"/>
        <v>0</v>
      </c>
      <c r="N970">
        <f t="shared" si="150"/>
        <v>0</v>
      </c>
      <c r="O970">
        <f t="shared" si="153"/>
        <v>0</v>
      </c>
      <c r="P970">
        <f t="shared" si="154"/>
        <v>0</v>
      </c>
      <c r="R970" t="str">
        <f t="shared" si="155"/>
        <v>00</v>
      </c>
    </row>
    <row r="971" spans="1:18" x14ac:dyDescent="0.4">
      <c r="A971" s="1" t="str">
        <f t="shared" si="158"/>
        <v>1E4</v>
      </c>
      <c r="B971">
        <f t="shared" si="159"/>
        <v>1</v>
      </c>
      <c r="C971">
        <f>VALUE(MID(Hex!$C$2,1+2*HEX2DEC(A971)+B971,1))</f>
        <v>2</v>
      </c>
      <c r="D971" s="1" t="str">
        <f t="shared" si="156"/>
        <v>3C9</v>
      </c>
      <c r="E971">
        <f>HEX2DEC(MID(Hex!$C$8,1+HEX2DEC(Edit!D971)*2,2))</f>
        <v>0</v>
      </c>
      <c r="F971">
        <f t="shared" si="157"/>
        <v>969</v>
      </c>
      <c r="G971" t="str">
        <f>_xlfn.LET(_xlpm.custom,_xlfn.XLOOKUP(F971,Data!A:A,Data!C:C),IF(_xlpm.custom="",_xlfn.XLOOKUP(F971,Data!A:A,Data!B:B),_xlpm.custom))</f>
        <v>TM117</v>
      </c>
      <c r="H971" t="str">
        <f>_xlfn.XLOOKUP(C971,Data!A:A,Data!E:E)</f>
        <v>TM/HM</v>
      </c>
      <c r="J971">
        <f>IF(I971="",C971,_xlfn.XLOOKUP(I971,Data!E:E,Data!A:A,""))</f>
        <v>2</v>
      </c>
      <c r="L971">
        <f t="shared" si="151"/>
        <v>0</v>
      </c>
      <c r="M971">
        <f t="shared" si="152"/>
        <v>0</v>
      </c>
      <c r="N971">
        <f t="shared" si="150"/>
        <v>0</v>
      </c>
      <c r="O971">
        <f t="shared" si="153"/>
        <v>0</v>
      </c>
      <c r="P971">
        <f t="shared" si="154"/>
        <v>0</v>
      </c>
      <c r="R971" t="str">
        <f t="shared" si="155"/>
        <v>00</v>
      </c>
    </row>
    <row r="972" spans="1:18" x14ac:dyDescent="0.4">
      <c r="A972" s="1" t="str">
        <f t="shared" si="158"/>
        <v>1E5</v>
      </c>
      <c r="B972">
        <f t="shared" si="159"/>
        <v>0</v>
      </c>
      <c r="C972">
        <f>VALUE(MID(Hex!$C$2,1+2*HEX2DEC(A972)+B972,1))</f>
        <v>2</v>
      </c>
      <c r="D972" s="1" t="str">
        <f t="shared" si="156"/>
        <v>3CA</v>
      </c>
      <c r="E972">
        <f>HEX2DEC(MID(Hex!$C$8,1+HEX2DEC(Edit!D972)*2,2))</f>
        <v>0</v>
      </c>
      <c r="F972">
        <f t="shared" si="157"/>
        <v>970</v>
      </c>
      <c r="G972" t="str">
        <f>_xlfn.LET(_xlpm.custom,_xlfn.XLOOKUP(F972,Data!A:A,Data!C:C),IF(_xlpm.custom="",_xlfn.XLOOKUP(F972,Data!A:A,Data!B:B),_xlpm.custom))</f>
        <v>TM118</v>
      </c>
      <c r="H972" t="str">
        <f>_xlfn.XLOOKUP(C972,Data!A:A,Data!E:E)</f>
        <v>TM/HM</v>
      </c>
      <c r="J972">
        <f>IF(I972="",C972,_xlfn.XLOOKUP(I972,Data!E:E,Data!A:A,""))</f>
        <v>2</v>
      </c>
      <c r="L972">
        <f t="shared" si="151"/>
        <v>0</v>
      </c>
      <c r="M972">
        <f t="shared" si="152"/>
        <v>0</v>
      </c>
      <c r="N972">
        <f t="shared" si="150"/>
        <v>0</v>
      </c>
      <c r="O972">
        <f t="shared" si="153"/>
        <v>0</v>
      </c>
      <c r="P972">
        <f t="shared" si="154"/>
        <v>0</v>
      </c>
      <c r="R972" t="str">
        <f t="shared" si="155"/>
        <v>00</v>
      </c>
    </row>
    <row r="973" spans="1:18" x14ac:dyDescent="0.4">
      <c r="A973" s="1" t="str">
        <f t="shared" si="158"/>
        <v>1E5</v>
      </c>
      <c r="B973">
        <f t="shared" si="159"/>
        <v>1</v>
      </c>
      <c r="C973">
        <f>VALUE(MID(Hex!$C$2,1+2*HEX2DEC(A973)+B973,1))</f>
        <v>2</v>
      </c>
      <c r="D973" s="1" t="str">
        <f t="shared" si="156"/>
        <v>3CB</v>
      </c>
      <c r="E973">
        <f>HEX2DEC(MID(Hex!$C$8,1+HEX2DEC(Edit!D973)*2,2))</f>
        <v>0</v>
      </c>
      <c r="F973">
        <f t="shared" si="157"/>
        <v>971</v>
      </c>
      <c r="G973" t="str">
        <f>_xlfn.LET(_xlpm.custom,_xlfn.XLOOKUP(F973,Data!A:A,Data!C:C),IF(_xlpm.custom="",_xlfn.XLOOKUP(F973,Data!A:A,Data!B:B),_xlpm.custom))</f>
        <v>TM119</v>
      </c>
      <c r="H973" t="str">
        <f>_xlfn.XLOOKUP(C973,Data!A:A,Data!E:E)</f>
        <v>TM/HM</v>
      </c>
      <c r="J973">
        <f>IF(I973="",C973,_xlfn.XLOOKUP(I973,Data!E:E,Data!A:A,""))</f>
        <v>2</v>
      </c>
      <c r="L973">
        <f t="shared" si="151"/>
        <v>0</v>
      </c>
      <c r="M973">
        <f t="shared" si="152"/>
        <v>0</v>
      </c>
      <c r="N973">
        <f t="shared" si="150"/>
        <v>0</v>
      </c>
      <c r="O973">
        <f t="shared" si="153"/>
        <v>0</v>
      </c>
      <c r="P973">
        <f t="shared" si="154"/>
        <v>0</v>
      </c>
      <c r="R973" t="str">
        <f t="shared" si="155"/>
        <v>00</v>
      </c>
    </row>
    <row r="974" spans="1:18" x14ac:dyDescent="0.4">
      <c r="A974" s="1" t="str">
        <f t="shared" si="158"/>
        <v>1E6</v>
      </c>
      <c r="B974">
        <f t="shared" si="159"/>
        <v>0</v>
      </c>
      <c r="C974">
        <f>VALUE(MID(Hex!$C$2,1+2*HEX2DEC(A974)+B974,1))</f>
        <v>2</v>
      </c>
      <c r="D974" s="1" t="str">
        <f t="shared" si="156"/>
        <v>3CC</v>
      </c>
      <c r="E974">
        <f>HEX2DEC(MID(Hex!$C$8,1+HEX2DEC(Edit!D974)*2,2))</f>
        <v>0</v>
      </c>
      <c r="F974">
        <f t="shared" si="157"/>
        <v>972</v>
      </c>
      <c r="G974" t="str">
        <f>_xlfn.LET(_xlpm.custom,_xlfn.XLOOKUP(F974,Data!A:A,Data!C:C),IF(_xlpm.custom="",_xlfn.XLOOKUP(F974,Data!A:A,Data!B:B),_xlpm.custom))</f>
        <v>TM120</v>
      </c>
      <c r="H974" t="str">
        <f>_xlfn.XLOOKUP(C974,Data!A:A,Data!E:E)</f>
        <v>TM/HM</v>
      </c>
      <c r="J974">
        <f>IF(I974="",C974,_xlfn.XLOOKUP(I974,Data!E:E,Data!A:A,""))</f>
        <v>2</v>
      </c>
      <c r="L974">
        <f t="shared" si="151"/>
        <v>0</v>
      </c>
      <c r="M974">
        <f t="shared" si="152"/>
        <v>0</v>
      </c>
      <c r="N974">
        <f t="shared" si="150"/>
        <v>0</v>
      </c>
      <c r="O974">
        <f t="shared" si="153"/>
        <v>0</v>
      </c>
      <c r="P974">
        <f t="shared" si="154"/>
        <v>0</v>
      </c>
      <c r="R974" t="str">
        <f t="shared" si="155"/>
        <v>00</v>
      </c>
    </row>
    <row r="975" spans="1:18" x14ac:dyDescent="0.4">
      <c r="A975" s="1" t="str">
        <f t="shared" si="158"/>
        <v>1E6</v>
      </c>
      <c r="B975">
        <f t="shared" si="159"/>
        <v>1</v>
      </c>
      <c r="C975">
        <f>VALUE(MID(Hex!$C$2,1+2*HEX2DEC(A975)+B975,1))</f>
        <v>2</v>
      </c>
      <c r="D975" s="1" t="str">
        <f t="shared" si="156"/>
        <v>3CD</v>
      </c>
      <c r="E975">
        <f>HEX2DEC(MID(Hex!$C$8,1+HEX2DEC(Edit!D975)*2,2))</f>
        <v>0</v>
      </c>
      <c r="F975">
        <f t="shared" si="157"/>
        <v>973</v>
      </c>
      <c r="G975" t="str">
        <f>_xlfn.LET(_xlpm.custom,_xlfn.XLOOKUP(F975,Data!A:A,Data!C:C),IF(_xlpm.custom="",_xlfn.XLOOKUP(F975,Data!A:A,Data!B:B),_xlpm.custom))</f>
        <v>TM121</v>
      </c>
      <c r="H975" t="str">
        <f>_xlfn.XLOOKUP(C975,Data!A:A,Data!E:E)</f>
        <v>TM/HM</v>
      </c>
      <c r="J975">
        <f>IF(I975="",C975,_xlfn.XLOOKUP(I975,Data!E:E,Data!A:A,""))</f>
        <v>2</v>
      </c>
      <c r="L975">
        <f t="shared" si="151"/>
        <v>0</v>
      </c>
      <c r="M975">
        <f t="shared" si="152"/>
        <v>0</v>
      </c>
      <c r="N975">
        <f t="shared" si="150"/>
        <v>0</v>
      </c>
      <c r="O975">
        <f t="shared" si="153"/>
        <v>0</v>
      </c>
      <c r="P975">
        <f t="shared" si="154"/>
        <v>0</v>
      </c>
      <c r="R975" t="str">
        <f t="shared" si="155"/>
        <v>00</v>
      </c>
    </row>
    <row r="976" spans="1:18" x14ac:dyDescent="0.4">
      <c r="A976" s="1" t="str">
        <f t="shared" si="158"/>
        <v>1E7</v>
      </c>
      <c r="B976">
        <f t="shared" si="159"/>
        <v>0</v>
      </c>
      <c r="C976">
        <f>VALUE(MID(Hex!$C$2,1+2*HEX2DEC(A976)+B976,1))</f>
        <v>2</v>
      </c>
      <c r="D976" s="1" t="str">
        <f t="shared" si="156"/>
        <v>3CE</v>
      </c>
      <c r="E976">
        <f>HEX2DEC(MID(Hex!$C$8,1+HEX2DEC(Edit!D976)*2,2))</f>
        <v>0</v>
      </c>
      <c r="F976">
        <f t="shared" si="157"/>
        <v>974</v>
      </c>
      <c r="G976" t="str">
        <f>_xlfn.LET(_xlpm.custom,_xlfn.XLOOKUP(F976,Data!A:A,Data!C:C),IF(_xlpm.custom="",_xlfn.XLOOKUP(F976,Data!A:A,Data!B:B),_xlpm.custom))</f>
        <v>TM122</v>
      </c>
      <c r="H976" t="str">
        <f>_xlfn.XLOOKUP(C976,Data!A:A,Data!E:E)</f>
        <v>TM/HM</v>
      </c>
      <c r="J976">
        <f>IF(I976="",C976,_xlfn.XLOOKUP(I976,Data!E:E,Data!A:A,""))</f>
        <v>2</v>
      </c>
      <c r="L976">
        <f t="shared" si="151"/>
        <v>0</v>
      </c>
      <c r="M976">
        <f t="shared" si="152"/>
        <v>0</v>
      </c>
      <c r="N976">
        <f t="shared" si="150"/>
        <v>0</v>
      </c>
      <c r="O976">
        <f t="shared" si="153"/>
        <v>0</v>
      </c>
      <c r="P976">
        <f t="shared" si="154"/>
        <v>0</v>
      </c>
      <c r="R976" t="str">
        <f t="shared" si="155"/>
        <v>00</v>
      </c>
    </row>
    <row r="977" spans="1:18" x14ac:dyDescent="0.4">
      <c r="A977" s="1" t="str">
        <f t="shared" si="158"/>
        <v>1E7</v>
      </c>
      <c r="B977">
        <f t="shared" si="159"/>
        <v>1</v>
      </c>
      <c r="C977">
        <f>VALUE(MID(Hex!$C$2,1+2*HEX2DEC(A977)+B977,1))</f>
        <v>2</v>
      </c>
      <c r="D977" s="1" t="str">
        <f t="shared" si="156"/>
        <v>3CF</v>
      </c>
      <c r="E977">
        <f>HEX2DEC(MID(Hex!$C$8,1+HEX2DEC(Edit!D977)*2,2))</f>
        <v>0</v>
      </c>
      <c r="F977">
        <f t="shared" si="157"/>
        <v>975</v>
      </c>
      <c r="G977" t="str">
        <f>_xlfn.LET(_xlpm.custom,_xlfn.XLOOKUP(F977,Data!A:A,Data!C:C),IF(_xlpm.custom="",_xlfn.XLOOKUP(F977,Data!A:A,Data!B:B),_xlpm.custom))</f>
        <v>TM123</v>
      </c>
      <c r="H977" t="str">
        <f>_xlfn.XLOOKUP(C977,Data!A:A,Data!E:E)</f>
        <v>TM/HM</v>
      </c>
      <c r="J977">
        <f>IF(I977="",C977,_xlfn.XLOOKUP(I977,Data!E:E,Data!A:A,""))</f>
        <v>2</v>
      </c>
      <c r="L977">
        <f t="shared" si="151"/>
        <v>0</v>
      </c>
      <c r="M977">
        <f t="shared" si="152"/>
        <v>0</v>
      </c>
      <c r="N977">
        <f t="shared" si="150"/>
        <v>0</v>
      </c>
      <c r="O977">
        <f t="shared" si="153"/>
        <v>0</v>
      </c>
      <c r="P977">
        <f t="shared" si="154"/>
        <v>0</v>
      </c>
      <c r="R977" t="str">
        <f t="shared" si="155"/>
        <v>00</v>
      </c>
    </row>
    <row r="978" spans="1:18" x14ac:dyDescent="0.4">
      <c r="A978" s="1" t="str">
        <f t="shared" si="158"/>
        <v>1E8</v>
      </c>
      <c r="B978">
        <f t="shared" si="159"/>
        <v>0</v>
      </c>
      <c r="C978">
        <f>VALUE(MID(Hex!$C$2,1+2*HEX2DEC(A978)+B978,1))</f>
        <v>2</v>
      </c>
      <c r="D978" s="1" t="str">
        <f t="shared" si="156"/>
        <v>3D0</v>
      </c>
      <c r="E978">
        <f>HEX2DEC(MID(Hex!$C$8,1+HEX2DEC(Edit!D978)*2,2))</f>
        <v>0</v>
      </c>
      <c r="F978">
        <f t="shared" si="157"/>
        <v>976</v>
      </c>
      <c r="G978" t="str">
        <f>_xlfn.LET(_xlpm.custom,_xlfn.XLOOKUP(F978,Data!A:A,Data!C:C),IF(_xlpm.custom="",_xlfn.XLOOKUP(F978,Data!A:A,Data!B:B),_xlpm.custom))</f>
        <v>TM124</v>
      </c>
      <c r="H978" t="str">
        <f>_xlfn.XLOOKUP(C978,Data!A:A,Data!E:E)</f>
        <v>TM/HM</v>
      </c>
      <c r="J978">
        <f>IF(I978="",C978,_xlfn.XLOOKUP(I978,Data!E:E,Data!A:A,""))</f>
        <v>2</v>
      </c>
      <c r="L978">
        <f t="shared" si="151"/>
        <v>0</v>
      </c>
      <c r="M978">
        <f t="shared" si="152"/>
        <v>0</v>
      </c>
      <c r="N978">
        <f t="shared" si="150"/>
        <v>0</v>
      </c>
      <c r="O978">
        <f t="shared" si="153"/>
        <v>0</v>
      </c>
      <c r="P978">
        <f t="shared" si="154"/>
        <v>0</v>
      </c>
      <c r="R978" t="str">
        <f t="shared" si="155"/>
        <v>00</v>
      </c>
    </row>
    <row r="979" spans="1:18" x14ac:dyDescent="0.4">
      <c r="A979" s="1" t="str">
        <f t="shared" si="158"/>
        <v>1E8</v>
      </c>
      <c r="B979">
        <f t="shared" si="159"/>
        <v>1</v>
      </c>
      <c r="C979">
        <f>VALUE(MID(Hex!$C$2,1+2*HEX2DEC(A979)+B979,1))</f>
        <v>2</v>
      </c>
      <c r="D979" s="1" t="str">
        <f t="shared" si="156"/>
        <v>3D1</v>
      </c>
      <c r="E979">
        <f>HEX2DEC(MID(Hex!$C$8,1+HEX2DEC(Edit!D979)*2,2))</f>
        <v>0</v>
      </c>
      <c r="F979">
        <f t="shared" si="157"/>
        <v>977</v>
      </c>
      <c r="G979" t="str">
        <f>_xlfn.LET(_xlpm.custom,_xlfn.XLOOKUP(F979,Data!A:A,Data!C:C),IF(_xlpm.custom="",_xlfn.XLOOKUP(F979,Data!A:A,Data!B:B),_xlpm.custom))</f>
        <v>TM125</v>
      </c>
      <c r="H979" t="str">
        <f>_xlfn.XLOOKUP(C979,Data!A:A,Data!E:E)</f>
        <v>TM/HM</v>
      </c>
      <c r="J979">
        <f>IF(I979="",C979,_xlfn.XLOOKUP(I979,Data!E:E,Data!A:A,""))</f>
        <v>2</v>
      </c>
      <c r="L979">
        <f t="shared" si="151"/>
        <v>0</v>
      </c>
      <c r="M979">
        <f t="shared" si="152"/>
        <v>0</v>
      </c>
      <c r="N979">
        <f t="shared" si="150"/>
        <v>0</v>
      </c>
      <c r="O979">
        <f t="shared" si="153"/>
        <v>0</v>
      </c>
      <c r="P979">
        <f t="shared" si="154"/>
        <v>0</v>
      </c>
      <c r="R979" t="str">
        <f t="shared" si="155"/>
        <v>00</v>
      </c>
    </row>
    <row r="980" spans="1:18" x14ac:dyDescent="0.4">
      <c r="A980" s="1" t="str">
        <f t="shared" si="158"/>
        <v>1E9</v>
      </c>
      <c r="B980">
        <f t="shared" si="159"/>
        <v>0</v>
      </c>
      <c r="C980">
        <f>VALUE(MID(Hex!$C$2,1+2*HEX2DEC(A980)+B980,1))</f>
        <v>2</v>
      </c>
      <c r="D980" s="1" t="str">
        <f t="shared" si="156"/>
        <v>3D2</v>
      </c>
      <c r="E980">
        <f>HEX2DEC(MID(Hex!$C$8,1+HEX2DEC(Edit!D980)*2,2))</f>
        <v>0</v>
      </c>
      <c r="F980">
        <f t="shared" si="157"/>
        <v>978</v>
      </c>
      <c r="G980" t="str">
        <f>_xlfn.LET(_xlpm.custom,_xlfn.XLOOKUP(F980,Data!A:A,Data!C:C),IF(_xlpm.custom="",_xlfn.XLOOKUP(F980,Data!A:A,Data!B:B),_xlpm.custom))</f>
        <v>TM126</v>
      </c>
      <c r="H980" t="str">
        <f>_xlfn.XLOOKUP(C980,Data!A:A,Data!E:E)</f>
        <v>TM/HM</v>
      </c>
      <c r="J980">
        <f>IF(I980="",C980,_xlfn.XLOOKUP(I980,Data!E:E,Data!A:A,""))</f>
        <v>2</v>
      </c>
      <c r="L980">
        <f t="shared" si="151"/>
        <v>0</v>
      </c>
      <c r="M980">
        <f t="shared" si="152"/>
        <v>0</v>
      </c>
      <c r="N980">
        <f t="shared" si="150"/>
        <v>0</v>
      </c>
      <c r="O980">
        <f t="shared" si="153"/>
        <v>0</v>
      </c>
      <c r="P980">
        <f t="shared" si="154"/>
        <v>0</v>
      </c>
      <c r="R980" t="str">
        <f t="shared" si="155"/>
        <v>00</v>
      </c>
    </row>
    <row r="981" spans="1:18" x14ac:dyDescent="0.4">
      <c r="A981" s="1" t="str">
        <f t="shared" si="158"/>
        <v>1E9</v>
      </c>
      <c r="B981">
        <f t="shared" si="159"/>
        <v>1</v>
      </c>
      <c r="C981">
        <f>VALUE(MID(Hex!$C$2,1+2*HEX2DEC(A981)+B981,1))</f>
        <v>2</v>
      </c>
      <c r="D981" s="1" t="str">
        <f t="shared" si="156"/>
        <v>3D3</v>
      </c>
      <c r="E981">
        <f>HEX2DEC(MID(Hex!$C$8,1+HEX2DEC(Edit!D981)*2,2))</f>
        <v>0</v>
      </c>
      <c r="F981">
        <f t="shared" si="157"/>
        <v>979</v>
      </c>
      <c r="G981" t="str">
        <f>_xlfn.LET(_xlpm.custom,_xlfn.XLOOKUP(F981,Data!A:A,Data!C:C),IF(_xlpm.custom="",_xlfn.XLOOKUP(F981,Data!A:A,Data!B:B),_xlpm.custom))</f>
        <v>TM127</v>
      </c>
      <c r="H981" t="str">
        <f>_xlfn.XLOOKUP(C981,Data!A:A,Data!E:E)</f>
        <v>TM/HM</v>
      </c>
      <c r="J981">
        <f>IF(I981="",C981,_xlfn.XLOOKUP(I981,Data!E:E,Data!A:A,""))</f>
        <v>2</v>
      </c>
      <c r="L981">
        <f t="shared" si="151"/>
        <v>0</v>
      </c>
      <c r="M981">
        <f t="shared" si="152"/>
        <v>0</v>
      </c>
      <c r="N981">
        <f t="shared" ref="N981:N982" si="160">_xlfn.BITAND($E981,4)</f>
        <v>0</v>
      </c>
      <c r="O981">
        <f t="shared" si="153"/>
        <v>0</v>
      </c>
      <c r="P981">
        <f t="shared" si="154"/>
        <v>0</v>
      </c>
      <c r="R981" t="str">
        <f t="shared" si="155"/>
        <v>00</v>
      </c>
    </row>
    <row r="982" spans="1:18" x14ac:dyDescent="0.4">
      <c r="A982" s="1" t="str">
        <f t="shared" si="158"/>
        <v>1EA</v>
      </c>
      <c r="B982">
        <f t="shared" si="159"/>
        <v>0</v>
      </c>
      <c r="C982">
        <f>VALUE(MID(Hex!$C$2,1+2*HEX2DEC(A982)+B982,1))</f>
        <v>2</v>
      </c>
      <c r="D982" s="1" t="str">
        <f t="shared" si="156"/>
        <v>3D4</v>
      </c>
      <c r="E982">
        <f>HEX2DEC(MID(Hex!$C$8,1+HEX2DEC(Edit!D982)*2,2))</f>
        <v>0</v>
      </c>
      <c r="F982">
        <f t="shared" si="157"/>
        <v>980</v>
      </c>
      <c r="G982" t="str">
        <f>_xlfn.LET(_xlpm.custom,_xlfn.XLOOKUP(F982,Data!A:A,Data!C:C),IF(_xlpm.custom="",_xlfn.XLOOKUP(F982,Data!A:A,Data!B:B),_xlpm.custom))</f>
        <v>TM128</v>
      </c>
      <c r="H982" t="str">
        <f>_xlfn.XLOOKUP(C982,Data!A:A,Data!E:E)</f>
        <v>TM/HM</v>
      </c>
      <c r="J982">
        <f>IF(I982="",C982,_xlfn.XLOOKUP(I982,Data!E:E,Data!A:A,""))</f>
        <v>2</v>
      </c>
      <c r="L982">
        <f t="shared" si="151"/>
        <v>0</v>
      </c>
      <c r="M982">
        <f t="shared" si="152"/>
        <v>0</v>
      </c>
      <c r="N982">
        <f t="shared" si="160"/>
        <v>0</v>
      </c>
      <c r="O982">
        <f t="shared" si="153"/>
        <v>0</v>
      </c>
      <c r="P982">
        <f t="shared" si="154"/>
        <v>0</v>
      </c>
      <c r="R982" t="str">
        <f t="shared" si="155"/>
        <v>00</v>
      </c>
    </row>
    <row r="983" spans="1:18" x14ac:dyDescent="0.4">
      <c r="D983" s="1"/>
    </row>
    <row r="984" spans="1:18" x14ac:dyDescent="0.4">
      <c r="D984" s="1"/>
    </row>
    <row r="985" spans="1:18" x14ac:dyDescent="0.4">
      <c r="D985" s="1"/>
    </row>
    <row r="986" spans="1:18" x14ac:dyDescent="0.4">
      <c r="D986" s="1"/>
    </row>
    <row r="987" spans="1:18" x14ac:dyDescent="0.4">
      <c r="D987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FDC865-A443-4542-9EDB-28C39BDF2C9B}">
          <x14:formula1>
            <xm:f>Data!$E$2:$E$9</xm:f>
          </x14:formula1>
          <xm:sqref>I2:I1048576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EA92-CDC3-4381-8AFF-983F198B8718}">
  <dimension ref="A1:G982"/>
  <sheetViews>
    <sheetView topLeftCell="A878" workbookViewId="0">
      <selection activeCell="C896" sqref="C896:C903"/>
    </sheetView>
  </sheetViews>
  <sheetFormatPr defaultRowHeight="14.6" x14ac:dyDescent="0.4"/>
  <sheetData>
    <row r="1" spans="1:7" x14ac:dyDescent="0.4">
      <c r="A1" s="3" t="s">
        <v>893</v>
      </c>
      <c r="B1" s="3"/>
      <c r="C1" t="s">
        <v>894</v>
      </c>
    </row>
    <row r="2" spans="1:7" x14ac:dyDescent="0.4">
      <c r="A2">
        <v>0</v>
      </c>
      <c r="B2" t="s">
        <v>2</v>
      </c>
      <c r="C2" t="s">
        <v>2</v>
      </c>
      <c r="E2" t="s">
        <v>1019</v>
      </c>
    </row>
    <row r="3" spans="1:7" x14ac:dyDescent="0.4">
      <c r="A3">
        <v>1</v>
      </c>
      <c r="B3" t="s">
        <v>3</v>
      </c>
      <c r="C3" t="s">
        <v>3</v>
      </c>
      <c r="E3" t="s">
        <v>1018</v>
      </c>
      <c r="G3" t="s">
        <v>1051</v>
      </c>
    </row>
    <row r="4" spans="1:7" x14ac:dyDescent="0.4">
      <c r="A4">
        <v>2</v>
      </c>
      <c r="B4" t="s">
        <v>4</v>
      </c>
      <c r="C4" t="s">
        <v>4</v>
      </c>
      <c r="E4" t="s">
        <v>1022</v>
      </c>
      <c r="G4" t="s">
        <v>1053</v>
      </c>
    </row>
    <row r="5" spans="1:7" x14ac:dyDescent="0.4">
      <c r="A5">
        <v>3</v>
      </c>
      <c r="B5" t="s">
        <v>5</v>
      </c>
      <c r="C5" t="s">
        <v>5</v>
      </c>
      <c r="E5" t="s">
        <v>1020</v>
      </c>
    </row>
    <row r="6" spans="1:7" x14ac:dyDescent="0.4">
      <c r="A6">
        <v>4</v>
      </c>
      <c r="B6" t="s">
        <v>6</v>
      </c>
      <c r="C6" t="s">
        <v>6</v>
      </c>
      <c r="E6" t="s">
        <v>1021</v>
      </c>
    </row>
    <row r="7" spans="1:7" x14ac:dyDescent="0.4">
      <c r="A7">
        <v>5</v>
      </c>
      <c r="B7" t="s">
        <v>7</v>
      </c>
      <c r="C7" t="s">
        <v>7</v>
      </c>
      <c r="E7" t="s">
        <v>1023</v>
      </c>
    </row>
    <row r="8" spans="1:7" x14ac:dyDescent="0.4">
      <c r="A8">
        <v>6</v>
      </c>
      <c r="B8" t="s">
        <v>8</v>
      </c>
      <c r="C8" t="s">
        <v>8</v>
      </c>
      <c r="E8" t="s">
        <v>1025</v>
      </c>
    </row>
    <row r="9" spans="1:7" x14ac:dyDescent="0.4">
      <c r="A9">
        <v>7</v>
      </c>
      <c r="B9" t="s">
        <v>9</v>
      </c>
      <c r="C9" t="s">
        <v>9</v>
      </c>
      <c r="E9" t="s">
        <v>1024</v>
      </c>
    </row>
    <row r="10" spans="1:7" x14ac:dyDescent="0.4">
      <c r="A10">
        <v>8</v>
      </c>
      <c r="B10" t="s">
        <v>10</v>
      </c>
      <c r="C10" t="s">
        <v>10</v>
      </c>
    </row>
    <row r="11" spans="1:7" x14ac:dyDescent="0.4">
      <c r="A11">
        <v>9</v>
      </c>
      <c r="B11" t="s">
        <v>11</v>
      </c>
      <c r="C11" t="s">
        <v>11</v>
      </c>
    </row>
    <row r="12" spans="1:7" x14ac:dyDescent="0.4">
      <c r="A12">
        <v>10</v>
      </c>
      <c r="B12" t="s">
        <v>12</v>
      </c>
      <c r="C12" t="s">
        <v>12</v>
      </c>
    </row>
    <row r="13" spans="1:7" x14ac:dyDescent="0.4">
      <c r="A13">
        <v>11</v>
      </c>
      <c r="B13" t="s">
        <v>13</v>
      </c>
      <c r="C13" t="s">
        <v>13</v>
      </c>
    </row>
    <row r="14" spans="1:7" x14ac:dyDescent="0.4">
      <c r="A14">
        <v>12</v>
      </c>
      <c r="B14" t="s">
        <v>14</v>
      </c>
      <c r="C14" t="s">
        <v>14</v>
      </c>
    </row>
    <row r="15" spans="1:7" x14ac:dyDescent="0.4">
      <c r="A15">
        <v>13</v>
      </c>
      <c r="B15" t="s">
        <v>15</v>
      </c>
      <c r="C15" t="s">
        <v>15</v>
      </c>
    </row>
    <row r="16" spans="1:7" x14ac:dyDescent="0.4">
      <c r="A16">
        <v>14</v>
      </c>
      <c r="B16" t="s">
        <v>16</v>
      </c>
      <c r="C16" t="s">
        <v>16</v>
      </c>
    </row>
    <row r="17" spans="1:3" x14ac:dyDescent="0.4">
      <c r="A17">
        <v>15</v>
      </c>
      <c r="B17" t="s">
        <v>17</v>
      </c>
      <c r="C17" t="s">
        <v>17</v>
      </c>
    </row>
    <row r="18" spans="1:3" x14ac:dyDescent="0.4">
      <c r="A18">
        <v>16</v>
      </c>
      <c r="B18" t="s">
        <v>18</v>
      </c>
      <c r="C18" t="s">
        <v>18</v>
      </c>
    </row>
    <row r="19" spans="1:3" x14ac:dyDescent="0.4">
      <c r="A19">
        <v>17</v>
      </c>
      <c r="B19" t="s">
        <v>19</v>
      </c>
      <c r="C19" t="s">
        <v>19</v>
      </c>
    </row>
    <row r="20" spans="1:3" x14ac:dyDescent="0.4">
      <c r="A20">
        <v>18</v>
      </c>
      <c r="B20" t="s">
        <v>20</v>
      </c>
      <c r="C20" t="s">
        <v>20</v>
      </c>
    </row>
    <row r="21" spans="1:3" x14ac:dyDescent="0.4">
      <c r="A21">
        <v>19</v>
      </c>
      <c r="B21" t="s">
        <v>21</v>
      </c>
      <c r="C21" t="s">
        <v>21</v>
      </c>
    </row>
    <row r="22" spans="1:3" x14ac:dyDescent="0.4">
      <c r="A22">
        <v>20</v>
      </c>
      <c r="B22" t="s">
        <v>22</v>
      </c>
      <c r="C22" t="s">
        <v>22</v>
      </c>
    </row>
    <row r="23" spans="1:3" x14ac:dyDescent="0.4">
      <c r="A23">
        <v>21</v>
      </c>
      <c r="B23" t="s">
        <v>23</v>
      </c>
      <c r="C23" t="s">
        <v>23</v>
      </c>
    </row>
    <row r="24" spans="1:3" x14ac:dyDescent="0.4">
      <c r="A24">
        <v>22</v>
      </c>
      <c r="B24" t="s">
        <v>24</v>
      </c>
      <c r="C24" t="s">
        <v>24</v>
      </c>
    </row>
    <row r="25" spans="1:3" x14ac:dyDescent="0.4">
      <c r="A25">
        <v>23</v>
      </c>
      <c r="B25" t="s">
        <v>25</v>
      </c>
      <c r="C25" t="s">
        <v>25</v>
      </c>
    </row>
    <row r="26" spans="1:3" x14ac:dyDescent="0.4">
      <c r="A26">
        <v>24</v>
      </c>
      <c r="B26" t="s">
        <v>26</v>
      </c>
      <c r="C26" t="s">
        <v>26</v>
      </c>
    </row>
    <row r="27" spans="1:3" x14ac:dyDescent="0.4">
      <c r="A27">
        <v>25</v>
      </c>
      <c r="B27" t="s">
        <v>27</v>
      </c>
      <c r="C27" t="s">
        <v>27</v>
      </c>
    </row>
    <row r="28" spans="1:3" x14ac:dyDescent="0.4">
      <c r="A28">
        <v>26</v>
      </c>
      <c r="B28" t="s">
        <v>28</v>
      </c>
      <c r="C28" t="s">
        <v>28</v>
      </c>
    </row>
    <row r="29" spans="1:3" x14ac:dyDescent="0.4">
      <c r="A29">
        <v>27</v>
      </c>
      <c r="B29" t="s">
        <v>29</v>
      </c>
      <c r="C29" t="s">
        <v>29</v>
      </c>
    </row>
    <row r="30" spans="1:3" x14ac:dyDescent="0.4">
      <c r="A30">
        <v>28</v>
      </c>
      <c r="B30" t="s">
        <v>30</v>
      </c>
      <c r="C30" t="s">
        <v>30</v>
      </c>
    </row>
    <row r="31" spans="1:3" x14ac:dyDescent="0.4">
      <c r="A31">
        <v>29</v>
      </c>
      <c r="B31" t="s">
        <v>31</v>
      </c>
      <c r="C31" t="s">
        <v>31</v>
      </c>
    </row>
    <row r="32" spans="1:3" x14ac:dyDescent="0.4">
      <c r="A32">
        <v>30</v>
      </c>
      <c r="B32" t="s">
        <v>32</v>
      </c>
      <c r="C32" t="s">
        <v>32</v>
      </c>
    </row>
    <row r="33" spans="1:3" x14ac:dyDescent="0.4">
      <c r="A33">
        <v>31</v>
      </c>
      <c r="B33" t="s">
        <v>33</v>
      </c>
      <c r="C33" t="s">
        <v>33</v>
      </c>
    </row>
    <row r="34" spans="1:3" x14ac:dyDescent="0.4">
      <c r="A34">
        <v>32</v>
      </c>
      <c r="B34" t="s">
        <v>34</v>
      </c>
      <c r="C34" t="s">
        <v>34</v>
      </c>
    </row>
    <row r="35" spans="1:3" x14ac:dyDescent="0.4">
      <c r="A35">
        <v>33</v>
      </c>
      <c r="B35" t="s">
        <v>35</v>
      </c>
      <c r="C35" t="s">
        <v>35</v>
      </c>
    </row>
    <row r="36" spans="1:3" x14ac:dyDescent="0.4">
      <c r="A36">
        <v>34</v>
      </c>
      <c r="B36" t="s">
        <v>36</v>
      </c>
      <c r="C36" t="s">
        <v>36</v>
      </c>
    </row>
    <row r="37" spans="1:3" x14ac:dyDescent="0.4">
      <c r="A37">
        <v>35</v>
      </c>
      <c r="B37" t="s">
        <v>37</v>
      </c>
      <c r="C37" t="s">
        <v>37</v>
      </c>
    </row>
    <row r="38" spans="1:3" x14ac:dyDescent="0.4">
      <c r="A38">
        <v>36</v>
      </c>
      <c r="B38" t="s">
        <v>38</v>
      </c>
      <c r="C38" t="s">
        <v>38</v>
      </c>
    </row>
    <row r="39" spans="1:3" x14ac:dyDescent="0.4">
      <c r="A39">
        <v>37</v>
      </c>
      <c r="B39" t="s">
        <v>39</v>
      </c>
      <c r="C39" t="s">
        <v>39</v>
      </c>
    </row>
    <row r="40" spans="1:3" x14ac:dyDescent="0.4">
      <c r="A40">
        <v>38</v>
      </c>
      <c r="B40" t="s">
        <v>40</v>
      </c>
      <c r="C40" t="s">
        <v>40</v>
      </c>
    </row>
    <row r="41" spans="1:3" x14ac:dyDescent="0.4">
      <c r="A41">
        <v>39</v>
      </c>
      <c r="B41" t="s">
        <v>41</v>
      </c>
      <c r="C41" t="s">
        <v>41</v>
      </c>
    </row>
    <row r="42" spans="1:3" x14ac:dyDescent="0.4">
      <c r="A42">
        <v>40</v>
      </c>
      <c r="B42" t="s">
        <v>42</v>
      </c>
      <c r="C42" t="s">
        <v>42</v>
      </c>
    </row>
    <row r="43" spans="1:3" x14ac:dyDescent="0.4">
      <c r="A43">
        <v>41</v>
      </c>
      <c r="B43" t="s">
        <v>43</v>
      </c>
      <c r="C43" t="s">
        <v>43</v>
      </c>
    </row>
    <row r="44" spans="1:3" x14ac:dyDescent="0.4">
      <c r="A44">
        <v>42</v>
      </c>
      <c r="B44" t="s">
        <v>44</v>
      </c>
      <c r="C44" t="s">
        <v>44</v>
      </c>
    </row>
    <row r="45" spans="1:3" x14ac:dyDescent="0.4">
      <c r="A45">
        <v>43</v>
      </c>
      <c r="B45" t="s">
        <v>45</v>
      </c>
      <c r="C45" t="s">
        <v>45</v>
      </c>
    </row>
    <row r="46" spans="1:3" x14ac:dyDescent="0.4">
      <c r="A46">
        <v>44</v>
      </c>
      <c r="B46" t="s">
        <v>46</v>
      </c>
      <c r="C46" t="s">
        <v>46</v>
      </c>
    </row>
    <row r="47" spans="1:3" x14ac:dyDescent="0.4">
      <c r="A47">
        <v>45</v>
      </c>
      <c r="B47" t="s">
        <v>47</v>
      </c>
      <c r="C47" t="s">
        <v>47</v>
      </c>
    </row>
    <row r="48" spans="1:3" x14ac:dyDescent="0.4">
      <c r="A48">
        <v>46</v>
      </c>
      <c r="B48" t="s">
        <v>48</v>
      </c>
      <c r="C48" t="s">
        <v>48</v>
      </c>
    </row>
    <row r="49" spans="1:3" x14ac:dyDescent="0.4">
      <c r="A49">
        <v>47</v>
      </c>
      <c r="B49" t="s">
        <v>49</v>
      </c>
      <c r="C49" t="s">
        <v>49</v>
      </c>
    </row>
    <row r="50" spans="1:3" x14ac:dyDescent="0.4">
      <c r="A50">
        <v>48</v>
      </c>
      <c r="B50" t="s">
        <v>50</v>
      </c>
      <c r="C50" t="s">
        <v>50</v>
      </c>
    </row>
    <row r="51" spans="1:3" x14ac:dyDescent="0.4">
      <c r="A51">
        <v>49</v>
      </c>
      <c r="B51" t="s">
        <v>51</v>
      </c>
      <c r="C51" t="s">
        <v>51</v>
      </c>
    </row>
    <row r="52" spans="1:3" x14ac:dyDescent="0.4">
      <c r="A52">
        <v>50</v>
      </c>
      <c r="B52" t="s">
        <v>52</v>
      </c>
      <c r="C52" t="s">
        <v>52</v>
      </c>
    </row>
    <row r="53" spans="1:3" x14ac:dyDescent="0.4">
      <c r="A53">
        <v>51</v>
      </c>
      <c r="B53" t="s">
        <v>53</v>
      </c>
      <c r="C53" t="s">
        <v>53</v>
      </c>
    </row>
    <row r="54" spans="1:3" x14ac:dyDescent="0.4">
      <c r="A54">
        <v>52</v>
      </c>
      <c r="B54" t="s">
        <v>54</v>
      </c>
      <c r="C54" t="s">
        <v>54</v>
      </c>
    </row>
    <row r="55" spans="1:3" x14ac:dyDescent="0.4">
      <c r="A55">
        <v>53</v>
      </c>
      <c r="B55" t="s">
        <v>55</v>
      </c>
      <c r="C55" t="s">
        <v>55</v>
      </c>
    </row>
    <row r="56" spans="1:3" x14ac:dyDescent="0.4">
      <c r="A56">
        <v>54</v>
      </c>
      <c r="B56" t="s">
        <v>56</v>
      </c>
      <c r="C56" t="s">
        <v>56</v>
      </c>
    </row>
    <row r="57" spans="1:3" x14ac:dyDescent="0.4">
      <c r="A57">
        <v>55</v>
      </c>
      <c r="B57" t="s">
        <v>57</v>
      </c>
      <c r="C57" t="s">
        <v>57</v>
      </c>
    </row>
    <row r="58" spans="1:3" x14ac:dyDescent="0.4">
      <c r="A58">
        <v>56</v>
      </c>
      <c r="B58" t="s">
        <v>58</v>
      </c>
      <c r="C58" t="s">
        <v>58</v>
      </c>
    </row>
    <row r="59" spans="1:3" x14ac:dyDescent="0.4">
      <c r="A59">
        <v>57</v>
      </c>
      <c r="B59" t="s">
        <v>59</v>
      </c>
      <c r="C59" t="s">
        <v>59</v>
      </c>
    </row>
    <row r="60" spans="1:3" x14ac:dyDescent="0.4">
      <c r="A60">
        <v>58</v>
      </c>
      <c r="B60" t="s">
        <v>60</v>
      </c>
      <c r="C60" t="s">
        <v>60</v>
      </c>
    </row>
    <row r="61" spans="1:3" x14ac:dyDescent="0.4">
      <c r="A61">
        <v>59</v>
      </c>
      <c r="B61" t="s">
        <v>61</v>
      </c>
      <c r="C61" t="s">
        <v>61</v>
      </c>
    </row>
    <row r="62" spans="1:3" x14ac:dyDescent="0.4">
      <c r="A62">
        <v>60</v>
      </c>
      <c r="B62" t="s">
        <v>62</v>
      </c>
      <c r="C62" t="s">
        <v>62</v>
      </c>
    </row>
    <row r="63" spans="1:3" x14ac:dyDescent="0.4">
      <c r="A63">
        <v>61</v>
      </c>
      <c r="B63" t="s">
        <v>63</v>
      </c>
      <c r="C63" t="s">
        <v>63</v>
      </c>
    </row>
    <row r="64" spans="1:3" x14ac:dyDescent="0.4">
      <c r="A64">
        <v>62</v>
      </c>
      <c r="B64" t="s">
        <v>64</v>
      </c>
      <c r="C64" t="s">
        <v>64</v>
      </c>
    </row>
    <row r="65" spans="1:3" x14ac:dyDescent="0.4">
      <c r="A65">
        <v>63</v>
      </c>
      <c r="B65" t="s">
        <v>65</v>
      </c>
      <c r="C65" t="s">
        <v>65</v>
      </c>
    </row>
    <row r="66" spans="1:3" x14ac:dyDescent="0.4">
      <c r="A66">
        <v>64</v>
      </c>
      <c r="B66" t="s">
        <v>66</v>
      </c>
      <c r="C66" t="s">
        <v>66</v>
      </c>
    </row>
    <row r="67" spans="1:3" x14ac:dyDescent="0.4">
      <c r="A67">
        <v>65</v>
      </c>
      <c r="B67" t="s">
        <v>67</v>
      </c>
      <c r="C67" t="s">
        <v>67</v>
      </c>
    </row>
    <row r="68" spans="1:3" x14ac:dyDescent="0.4">
      <c r="A68">
        <v>66</v>
      </c>
      <c r="B68" t="s">
        <v>68</v>
      </c>
      <c r="C68" t="s">
        <v>68</v>
      </c>
    </row>
    <row r="69" spans="1:3" x14ac:dyDescent="0.4">
      <c r="A69">
        <v>67</v>
      </c>
      <c r="B69" t="s">
        <v>69</v>
      </c>
      <c r="C69" t="s">
        <v>69</v>
      </c>
    </row>
    <row r="70" spans="1:3" x14ac:dyDescent="0.4">
      <c r="A70">
        <v>68</v>
      </c>
      <c r="B70" t="s">
        <v>70</v>
      </c>
      <c r="C70" t="s">
        <v>70</v>
      </c>
    </row>
    <row r="71" spans="1:3" x14ac:dyDescent="0.4">
      <c r="A71">
        <v>69</v>
      </c>
      <c r="B71" t="s">
        <v>71</v>
      </c>
      <c r="C71" t="s">
        <v>71</v>
      </c>
    </row>
    <row r="72" spans="1:3" x14ac:dyDescent="0.4">
      <c r="A72">
        <v>70</v>
      </c>
      <c r="B72" t="s">
        <v>72</v>
      </c>
      <c r="C72" t="s">
        <v>72</v>
      </c>
    </row>
    <row r="73" spans="1:3" x14ac:dyDescent="0.4">
      <c r="A73">
        <v>71</v>
      </c>
      <c r="B73" t="s">
        <v>73</v>
      </c>
      <c r="C73" t="s">
        <v>73</v>
      </c>
    </row>
    <row r="74" spans="1:3" x14ac:dyDescent="0.4">
      <c r="A74">
        <v>72</v>
      </c>
      <c r="B74" t="s">
        <v>74</v>
      </c>
      <c r="C74" t="s">
        <v>74</v>
      </c>
    </row>
    <row r="75" spans="1:3" x14ac:dyDescent="0.4">
      <c r="A75">
        <v>73</v>
      </c>
      <c r="B75" t="s">
        <v>75</v>
      </c>
      <c r="C75" t="s">
        <v>75</v>
      </c>
    </row>
    <row r="76" spans="1:3" x14ac:dyDescent="0.4">
      <c r="A76">
        <v>74</v>
      </c>
      <c r="B76" t="s">
        <v>76</v>
      </c>
      <c r="C76" t="s">
        <v>76</v>
      </c>
    </row>
    <row r="77" spans="1:3" x14ac:dyDescent="0.4">
      <c r="A77">
        <v>75</v>
      </c>
      <c r="B77" t="s">
        <v>77</v>
      </c>
      <c r="C77" t="s">
        <v>77</v>
      </c>
    </row>
    <row r="78" spans="1:3" x14ac:dyDescent="0.4">
      <c r="A78">
        <v>76</v>
      </c>
      <c r="B78" t="s">
        <v>78</v>
      </c>
      <c r="C78" t="s">
        <v>78</v>
      </c>
    </row>
    <row r="79" spans="1:3" x14ac:dyDescent="0.4">
      <c r="A79">
        <v>77</v>
      </c>
      <c r="B79" t="s">
        <v>79</v>
      </c>
      <c r="C79" t="s">
        <v>79</v>
      </c>
    </row>
    <row r="80" spans="1:3" x14ac:dyDescent="0.4">
      <c r="A80">
        <v>78</v>
      </c>
      <c r="B80" t="s">
        <v>80</v>
      </c>
      <c r="C80" t="s">
        <v>80</v>
      </c>
    </row>
    <row r="81" spans="1:3" x14ac:dyDescent="0.4">
      <c r="A81">
        <v>79</v>
      </c>
      <c r="B81" t="s">
        <v>81</v>
      </c>
      <c r="C81" t="s">
        <v>81</v>
      </c>
    </row>
    <row r="82" spans="1:3" x14ac:dyDescent="0.4">
      <c r="A82">
        <v>80</v>
      </c>
      <c r="B82" t="s">
        <v>82</v>
      </c>
      <c r="C82" t="s">
        <v>82</v>
      </c>
    </row>
    <row r="83" spans="1:3" x14ac:dyDescent="0.4">
      <c r="A83">
        <v>81</v>
      </c>
      <c r="B83" t="s">
        <v>83</v>
      </c>
      <c r="C83" t="s">
        <v>83</v>
      </c>
    </row>
    <row r="84" spans="1:3" x14ac:dyDescent="0.4">
      <c r="A84">
        <v>82</v>
      </c>
      <c r="B84" t="s">
        <v>84</v>
      </c>
      <c r="C84" t="s">
        <v>84</v>
      </c>
    </row>
    <row r="85" spans="1:3" x14ac:dyDescent="0.4">
      <c r="A85">
        <v>83</v>
      </c>
      <c r="B85" t="s">
        <v>85</v>
      </c>
      <c r="C85" t="s">
        <v>85</v>
      </c>
    </row>
    <row r="86" spans="1:3" x14ac:dyDescent="0.4">
      <c r="A86">
        <v>84</v>
      </c>
      <c r="B86" t="s">
        <v>86</v>
      </c>
      <c r="C86" t="s">
        <v>86</v>
      </c>
    </row>
    <row r="87" spans="1:3" x14ac:dyDescent="0.4">
      <c r="A87">
        <v>85</v>
      </c>
      <c r="B87" t="s">
        <v>87</v>
      </c>
      <c r="C87" t="s">
        <v>87</v>
      </c>
    </row>
    <row r="88" spans="1:3" x14ac:dyDescent="0.4">
      <c r="A88">
        <v>86</v>
      </c>
      <c r="B88" t="s">
        <v>88</v>
      </c>
      <c r="C88" t="s">
        <v>88</v>
      </c>
    </row>
    <row r="89" spans="1:3" x14ac:dyDescent="0.4">
      <c r="A89">
        <v>87</v>
      </c>
      <c r="B89" t="s">
        <v>89</v>
      </c>
      <c r="C89" t="s">
        <v>89</v>
      </c>
    </row>
    <row r="90" spans="1:3" x14ac:dyDescent="0.4">
      <c r="A90">
        <v>88</v>
      </c>
      <c r="B90" t="s">
        <v>90</v>
      </c>
      <c r="C90" t="s">
        <v>90</v>
      </c>
    </row>
    <row r="91" spans="1:3" x14ac:dyDescent="0.4">
      <c r="A91">
        <v>89</v>
      </c>
      <c r="B91" t="s">
        <v>91</v>
      </c>
      <c r="C91" t="s">
        <v>91</v>
      </c>
    </row>
    <row r="92" spans="1:3" x14ac:dyDescent="0.4">
      <c r="A92">
        <v>90</v>
      </c>
      <c r="B92" t="s">
        <v>92</v>
      </c>
      <c r="C92" t="s">
        <v>92</v>
      </c>
    </row>
    <row r="93" spans="1:3" x14ac:dyDescent="0.4">
      <c r="A93">
        <v>91</v>
      </c>
      <c r="B93" t="s">
        <v>93</v>
      </c>
      <c r="C93" t="s">
        <v>93</v>
      </c>
    </row>
    <row r="94" spans="1:3" x14ac:dyDescent="0.4">
      <c r="A94">
        <v>92</v>
      </c>
      <c r="B94" t="s">
        <v>94</v>
      </c>
      <c r="C94" t="s">
        <v>94</v>
      </c>
    </row>
    <row r="95" spans="1:3" x14ac:dyDescent="0.4">
      <c r="A95">
        <v>93</v>
      </c>
      <c r="B95" t="s">
        <v>95</v>
      </c>
      <c r="C95" t="s">
        <v>95</v>
      </c>
    </row>
    <row r="96" spans="1:3" x14ac:dyDescent="0.4">
      <c r="A96">
        <v>94</v>
      </c>
      <c r="B96" t="s">
        <v>96</v>
      </c>
      <c r="C96" t="s">
        <v>96</v>
      </c>
    </row>
    <row r="97" spans="1:3" x14ac:dyDescent="0.4">
      <c r="A97">
        <v>95</v>
      </c>
      <c r="B97" t="s">
        <v>97</v>
      </c>
      <c r="C97" t="s">
        <v>97</v>
      </c>
    </row>
    <row r="98" spans="1:3" x14ac:dyDescent="0.4">
      <c r="A98">
        <v>96</v>
      </c>
      <c r="B98" t="s">
        <v>98</v>
      </c>
      <c r="C98" t="s">
        <v>98</v>
      </c>
    </row>
    <row r="99" spans="1:3" x14ac:dyDescent="0.4">
      <c r="A99">
        <v>97</v>
      </c>
      <c r="B99" t="s">
        <v>99</v>
      </c>
      <c r="C99" t="s">
        <v>99</v>
      </c>
    </row>
    <row r="100" spans="1:3" x14ac:dyDescent="0.4">
      <c r="A100">
        <v>98</v>
      </c>
      <c r="B100" t="s">
        <v>100</v>
      </c>
      <c r="C100" t="s">
        <v>100</v>
      </c>
    </row>
    <row r="101" spans="1:3" x14ac:dyDescent="0.4">
      <c r="A101">
        <v>99</v>
      </c>
      <c r="B101" t="s">
        <v>101</v>
      </c>
      <c r="C101" t="s">
        <v>101</v>
      </c>
    </row>
    <row r="102" spans="1:3" x14ac:dyDescent="0.4">
      <c r="A102">
        <v>100</v>
      </c>
      <c r="B102" t="s">
        <v>102</v>
      </c>
      <c r="C102" t="s">
        <v>102</v>
      </c>
    </row>
    <row r="103" spans="1:3" x14ac:dyDescent="0.4">
      <c r="A103">
        <v>101</v>
      </c>
      <c r="B103" t="s">
        <v>103</v>
      </c>
      <c r="C103" t="s">
        <v>103</v>
      </c>
    </row>
    <row r="104" spans="1:3" x14ac:dyDescent="0.4">
      <c r="A104">
        <v>102</v>
      </c>
      <c r="B104" t="s">
        <v>104</v>
      </c>
      <c r="C104" t="s">
        <v>104</v>
      </c>
    </row>
    <row r="105" spans="1:3" x14ac:dyDescent="0.4">
      <c r="A105">
        <v>103</v>
      </c>
      <c r="B105" t="s">
        <v>105</v>
      </c>
      <c r="C105" t="s">
        <v>105</v>
      </c>
    </row>
    <row r="106" spans="1:3" x14ac:dyDescent="0.4">
      <c r="A106">
        <v>104</v>
      </c>
      <c r="B106" t="s">
        <v>106</v>
      </c>
      <c r="C106" t="s">
        <v>106</v>
      </c>
    </row>
    <row r="107" spans="1:3" x14ac:dyDescent="0.4">
      <c r="A107">
        <v>105</v>
      </c>
      <c r="B107" t="s">
        <v>107</v>
      </c>
      <c r="C107" t="s">
        <v>107</v>
      </c>
    </row>
    <row r="108" spans="1:3" x14ac:dyDescent="0.4">
      <c r="A108">
        <v>106</v>
      </c>
      <c r="B108" t="s">
        <v>108</v>
      </c>
      <c r="C108" t="s">
        <v>108</v>
      </c>
    </row>
    <row r="109" spans="1:3" x14ac:dyDescent="0.4">
      <c r="A109">
        <v>107</v>
      </c>
      <c r="B109" t="s">
        <v>109</v>
      </c>
      <c r="C109" t="s">
        <v>109</v>
      </c>
    </row>
    <row r="110" spans="1:3" x14ac:dyDescent="0.4">
      <c r="A110">
        <v>108</v>
      </c>
      <c r="B110" t="s">
        <v>110</v>
      </c>
      <c r="C110" t="s">
        <v>110</v>
      </c>
    </row>
    <row r="111" spans="1:3" x14ac:dyDescent="0.4">
      <c r="A111">
        <v>109</v>
      </c>
      <c r="B111" t="s">
        <v>111</v>
      </c>
      <c r="C111" t="s">
        <v>111</v>
      </c>
    </row>
    <row r="112" spans="1:3" x14ac:dyDescent="0.4">
      <c r="A112">
        <v>110</v>
      </c>
      <c r="B112" t="s">
        <v>112</v>
      </c>
      <c r="C112" t="s">
        <v>112</v>
      </c>
    </row>
    <row r="113" spans="1:3" x14ac:dyDescent="0.4">
      <c r="A113">
        <v>111</v>
      </c>
      <c r="B113" t="s">
        <v>113</v>
      </c>
      <c r="C113" t="s">
        <v>113</v>
      </c>
    </row>
    <row r="114" spans="1:3" x14ac:dyDescent="0.4">
      <c r="A114">
        <v>112</v>
      </c>
      <c r="B114" t="s">
        <v>114</v>
      </c>
      <c r="C114" t="s">
        <v>114</v>
      </c>
    </row>
    <row r="115" spans="1:3" x14ac:dyDescent="0.4">
      <c r="A115">
        <v>113</v>
      </c>
      <c r="B115" t="s">
        <v>115</v>
      </c>
      <c r="C115" t="s">
        <v>115</v>
      </c>
    </row>
    <row r="116" spans="1:3" x14ac:dyDescent="0.4">
      <c r="A116">
        <v>114</v>
      </c>
      <c r="B116" t="s">
        <v>116</v>
      </c>
      <c r="C116" t="s">
        <v>116</v>
      </c>
    </row>
    <row r="117" spans="1:3" x14ac:dyDescent="0.4">
      <c r="A117">
        <v>115</v>
      </c>
      <c r="B117" t="s">
        <v>117</v>
      </c>
      <c r="C117" t="s">
        <v>117</v>
      </c>
    </row>
    <row r="118" spans="1:3" x14ac:dyDescent="0.4">
      <c r="A118">
        <v>116</v>
      </c>
      <c r="B118" t="s">
        <v>118</v>
      </c>
      <c r="C118" t="s">
        <v>118</v>
      </c>
    </row>
    <row r="119" spans="1:3" x14ac:dyDescent="0.4">
      <c r="A119">
        <v>117</v>
      </c>
      <c r="B119" t="s">
        <v>119</v>
      </c>
      <c r="C119" t="s">
        <v>119</v>
      </c>
    </row>
    <row r="120" spans="1:3" x14ac:dyDescent="0.4">
      <c r="A120">
        <v>118</v>
      </c>
      <c r="B120" t="s">
        <v>120</v>
      </c>
      <c r="C120" t="s">
        <v>120</v>
      </c>
    </row>
    <row r="121" spans="1:3" x14ac:dyDescent="0.4">
      <c r="A121">
        <v>119</v>
      </c>
      <c r="B121" t="s">
        <v>121</v>
      </c>
      <c r="C121" t="s">
        <v>121</v>
      </c>
    </row>
    <row r="122" spans="1:3" x14ac:dyDescent="0.4">
      <c r="A122">
        <v>120</v>
      </c>
      <c r="B122" t="s">
        <v>122</v>
      </c>
      <c r="C122" t="s">
        <v>122</v>
      </c>
    </row>
    <row r="123" spans="1:3" x14ac:dyDescent="0.4">
      <c r="A123">
        <v>121</v>
      </c>
      <c r="B123" t="s">
        <v>123</v>
      </c>
      <c r="C123" t="s">
        <v>123</v>
      </c>
    </row>
    <row r="124" spans="1:3" x14ac:dyDescent="0.4">
      <c r="A124">
        <v>122</v>
      </c>
      <c r="B124" t="s">
        <v>124</v>
      </c>
      <c r="C124" t="s">
        <v>124</v>
      </c>
    </row>
    <row r="125" spans="1:3" x14ac:dyDescent="0.4">
      <c r="A125">
        <v>123</v>
      </c>
      <c r="B125" t="s">
        <v>125</v>
      </c>
      <c r="C125" t="s">
        <v>895</v>
      </c>
    </row>
    <row r="126" spans="1:3" x14ac:dyDescent="0.4">
      <c r="A126">
        <v>124</v>
      </c>
      <c r="B126" t="s">
        <v>125</v>
      </c>
      <c r="C126" t="s">
        <v>896</v>
      </c>
    </row>
    <row r="127" spans="1:3" x14ac:dyDescent="0.4">
      <c r="A127">
        <v>125</v>
      </c>
      <c r="B127" t="s">
        <v>125</v>
      </c>
      <c r="C127" t="s">
        <v>897</v>
      </c>
    </row>
    <row r="128" spans="1:3" x14ac:dyDescent="0.4">
      <c r="A128">
        <v>126</v>
      </c>
      <c r="B128" t="s">
        <v>125</v>
      </c>
      <c r="C128" t="s">
        <v>898</v>
      </c>
    </row>
    <row r="129" spans="1:3" x14ac:dyDescent="0.4">
      <c r="A129">
        <v>127</v>
      </c>
      <c r="B129" t="s">
        <v>125</v>
      </c>
      <c r="C129" t="s">
        <v>1057</v>
      </c>
    </row>
    <row r="130" spans="1:3" x14ac:dyDescent="0.4">
      <c r="A130">
        <v>128</v>
      </c>
      <c r="B130" t="s">
        <v>125</v>
      </c>
      <c r="C130" t="s">
        <v>1058</v>
      </c>
    </row>
    <row r="131" spans="1:3" x14ac:dyDescent="0.4">
      <c r="A131">
        <v>129</v>
      </c>
      <c r="B131" t="s">
        <v>125</v>
      </c>
      <c r="C131" t="s">
        <v>1059</v>
      </c>
    </row>
    <row r="132" spans="1:3" x14ac:dyDescent="0.4">
      <c r="A132">
        <v>130</v>
      </c>
      <c r="B132" t="s">
        <v>125</v>
      </c>
      <c r="C132" t="s">
        <v>1060</v>
      </c>
    </row>
    <row r="133" spans="1:3" x14ac:dyDescent="0.4">
      <c r="A133">
        <v>131</v>
      </c>
      <c r="B133" t="s">
        <v>125</v>
      </c>
      <c r="C133" t="s">
        <v>1061</v>
      </c>
    </row>
    <row r="134" spans="1:3" x14ac:dyDescent="0.4">
      <c r="A134">
        <v>132</v>
      </c>
      <c r="B134" t="s">
        <v>125</v>
      </c>
      <c r="C134" t="s">
        <v>1062</v>
      </c>
    </row>
    <row r="135" spans="1:3" x14ac:dyDescent="0.4">
      <c r="A135">
        <v>133</v>
      </c>
      <c r="B135" t="s">
        <v>125</v>
      </c>
      <c r="C135" t="s">
        <v>1063</v>
      </c>
    </row>
    <row r="136" spans="1:3" x14ac:dyDescent="0.4">
      <c r="A136">
        <v>134</v>
      </c>
      <c r="B136" t="s">
        <v>126</v>
      </c>
      <c r="C136" t="s">
        <v>126</v>
      </c>
    </row>
    <row r="137" spans="1:3" x14ac:dyDescent="0.4">
      <c r="A137">
        <v>135</v>
      </c>
      <c r="B137" t="s">
        <v>127</v>
      </c>
      <c r="C137" t="s">
        <v>127</v>
      </c>
    </row>
    <row r="138" spans="1:3" x14ac:dyDescent="0.4">
      <c r="A138">
        <v>136</v>
      </c>
      <c r="B138" t="s">
        <v>128</v>
      </c>
      <c r="C138" t="s">
        <v>128</v>
      </c>
    </row>
    <row r="139" spans="1:3" x14ac:dyDescent="0.4">
      <c r="A139">
        <v>137</v>
      </c>
      <c r="B139" t="s">
        <v>129</v>
      </c>
      <c r="C139" t="s">
        <v>129</v>
      </c>
    </row>
    <row r="140" spans="1:3" x14ac:dyDescent="0.4">
      <c r="A140">
        <v>138</v>
      </c>
      <c r="B140" t="s">
        <v>130</v>
      </c>
      <c r="C140" t="s">
        <v>130</v>
      </c>
    </row>
    <row r="141" spans="1:3" x14ac:dyDescent="0.4">
      <c r="A141">
        <v>139</v>
      </c>
      <c r="B141" t="s">
        <v>131</v>
      </c>
      <c r="C141" t="s">
        <v>131</v>
      </c>
    </row>
    <row r="142" spans="1:3" x14ac:dyDescent="0.4">
      <c r="A142">
        <v>140</v>
      </c>
      <c r="B142" t="s">
        <v>132</v>
      </c>
      <c r="C142" t="s">
        <v>132</v>
      </c>
    </row>
    <row r="143" spans="1:3" x14ac:dyDescent="0.4">
      <c r="A143">
        <v>141</v>
      </c>
      <c r="B143" t="s">
        <v>133</v>
      </c>
      <c r="C143" t="s">
        <v>133</v>
      </c>
    </row>
    <row r="144" spans="1:3" x14ac:dyDescent="0.4">
      <c r="A144">
        <v>142</v>
      </c>
      <c r="B144" t="s">
        <v>134</v>
      </c>
      <c r="C144" t="s">
        <v>134</v>
      </c>
    </row>
    <row r="145" spans="1:3" x14ac:dyDescent="0.4">
      <c r="A145">
        <v>143</v>
      </c>
      <c r="B145" t="s">
        <v>135</v>
      </c>
      <c r="C145" t="s">
        <v>135</v>
      </c>
    </row>
    <row r="146" spans="1:3" x14ac:dyDescent="0.4">
      <c r="A146">
        <v>144</v>
      </c>
      <c r="B146" t="s">
        <v>136</v>
      </c>
      <c r="C146" t="s">
        <v>136</v>
      </c>
    </row>
    <row r="147" spans="1:3" x14ac:dyDescent="0.4">
      <c r="A147">
        <v>145</v>
      </c>
      <c r="B147" t="s">
        <v>137</v>
      </c>
      <c r="C147" t="s">
        <v>137</v>
      </c>
    </row>
    <row r="148" spans="1:3" x14ac:dyDescent="0.4">
      <c r="A148">
        <v>146</v>
      </c>
      <c r="B148" t="s">
        <v>138</v>
      </c>
      <c r="C148" t="s">
        <v>138</v>
      </c>
    </row>
    <row r="149" spans="1:3" x14ac:dyDescent="0.4">
      <c r="A149">
        <v>147</v>
      </c>
      <c r="B149" t="s">
        <v>139</v>
      </c>
      <c r="C149" t="s">
        <v>139</v>
      </c>
    </row>
    <row r="150" spans="1:3" x14ac:dyDescent="0.4">
      <c r="A150">
        <v>148</v>
      </c>
      <c r="B150" t="s">
        <v>140</v>
      </c>
      <c r="C150" t="s">
        <v>140</v>
      </c>
    </row>
    <row r="151" spans="1:3" x14ac:dyDescent="0.4">
      <c r="A151">
        <v>149</v>
      </c>
      <c r="B151" t="s">
        <v>141</v>
      </c>
      <c r="C151" t="s">
        <v>141</v>
      </c>
    </row>
    <row r="152" spans="1:3" x14ac:dyDescent="0.4">
      <c r="A152">
        <v>150</v>
      </c>
      <c r="B152" t="s">
        <v>142</v>
      </c>
      <c r="C152" t="s">
        <v>142</v>
      </c>
    </row>
    <row r="153" spans="1:3" x14ac:dyDescent="0.4">
      <c r="A153">
        <v>151</v>
      </c>
      <c r="B153" t="s">
        <v>143</v>
      </c>
      <c r="C153" t="s">
        <v>143</v>
      </c>
    </row>
    <row r="154" spans="1:3" x14ac:dyDescent="0.4">
      <c r="A154">
        <v>152</v>
      </c>
      <c r="B154" t="s">
        <v>144</v>
      </c>
      <c r="C154" t="s">
        <v>144</v>
      </c>
    </row>
    <row r="155" spans="1:3" x14ac:dyDescent="0.4">
      <c r="A155">
        <v>153</v>
      </c>
      <c r="B155" t="s">
        <v>145</v>
      </c>
      <c r="C155" t="s">
        <v>145</v>
      </c>
    </row>
    <row r="156" spans="1:3" x14ac:dyDescent="0.4">
      <c r="A156">
        <v>154</v>
      </c>
      <c r="B156" t="s">
        <v>146</v>
      </c>
      <c r="C156" t="s">
        <v>146</v>
      </c>
    </row>
    <row r="157" spans="1:3" x14ac:dyDescent="0.4">
      <c r="A157">
        <v>155</v>
      </c>
      <c r="B157" t="s">
        <v>147</v>
      </c>
      <c r="C157" t="s">
        <v>147</v>
      </c>
    </row>
    <row r="158" spans="1:3" x14ac:dyDescent="0.4">
      <c r="A158">
        <v>156</v>
      </c>
      <c r="B158" t="s">
        <v>148</v>
      </c>
      <c r="C158" t="s">
        <v>148</v>
      </c>
    </row>
    <row r="159" spans="1:3" x14ac:dyDescent="0.4">
      <c r="A159">
        <v>157</v>
      </c>
      <c r="B159" t="s">
        <v>149</v>
      </c>
      <c r="C159" t="s">
        <v>149</v>
      </c>
    </row>
    <row r="160" spans="1:3" x14ac:dyDescent="0.4">
      <c r="A160">
        <v>158</v>
      </c>
      <c r="B160" t="s">
        <v>150</v>
      </c>
      <c r="C160" t="s">
        <v>150</v>
      </c>
    </row>
    <row r="161" spans="1:3" x14ac:dyDescent="0.4">
      <c r="A161">
        <v>159</v>
      </c>
      <c r="B161" t="s">
        <v>151</v>
      </c>
      <c r="C161" t="s">
        <v>151</v>
      </c>
    </row>
    <row r="162" spans="1:3" x14ac:dyDescent="0.4">
      <c r="A162">
        <v>160</v>
      </c>
      <c r="B162" t="s">
        <v>152</v>
      </c>
      <c r="C162" t="s">
        <v>152</v>
      </c>
    </row>
    <row r="163" spans="1:3" x14ac:dyDescent="0.4">
      <c r="A163">
        <v>161</v>
      </c>
      <c r="B163" t="s">
        <v>153</v>
      </c>
      <c r="C163" t="s">
        <v>153</v>
      </c>
    </row>
    <row r="164" spans="1:3" x14ac:dyDescent="0.4">
      <c r="A164">
        <v>162</v>
      </c>
      <c r="B164" t="s">
        <v>154</v>
      </c>
      <c r="C164" t="s">
        <v>154</v>
      </c>
    </row>
    <row r="165" spans="1:3" x14ac:dyDescent="0.4">
      <c r="A165">
        <v>163</v>
      </c>
      <c r="B165" t="s">
        <v>155</v>
      </c>
      <c r="C165" t="s">
        <v>155</v>
      </c>
    </row>
    <row r="166" spans="1:3" x14ac:dyDescent="0.4">
      <c r="A166">
        <v>164</v>
      </c>
      <c r="B166" t="s">
        <v>156</v>
      </c>
      <c r="C166" t="s">
        <v>156</v>
      </c>
    </row>
    <row r="167" spans="1:3" x14ac:dyDescent="0.4">
      <c r="A167">
        <v>165</v>
      </c>
      <c r="B167" t="s">
        <v>157</v>
      </c>
      <c r="C167" t="s">
        <v>157</v>
      </c>
    </row>
    <row r="168" spans="1:3" x14ac:dyDescent="0.4">
      <c r="A168">
        <v>166</v>
      </c>
      <c r="B168" t="s">
        <v>158</v>
      </c>
      <c r="C168" t="s">
        <v>158</v>
      </c>
    </row>
    <row r="169" spans="1:3" x14ac:dyDescent="0.4">
      <c r="A169">
        <v>167</v>
      </c>
      <c r="B169" t="s">
        <v>159</v>
      </c>
      <c r="C169" t="s">
        <v>159</v>
      </c>
    </row>
    <row r="170" spans="1:3" x14ac:dyDescent="0.4">
      <c r="A170">
        <v>168</v>
      </c>
      <c r="B170" t="s">
        <v>160</v>
      </c>
      <c r="C170" t="s">
        <v>160</v>
      </c>
    </row>
    <row r="171" spans="1:3" x14ac:dyDescent="0.4">
      <c r="A171">
        <v>169</v>
      </c>
      <c r="B171" t="s">
        <v>161</v>
      </c>
      <c r="C171" t="s">
        <v>161</v>
      </c>
    </row>
    <row r="172" spans="1:3" x14ac:dyDescent="0.4">
      <c r="A172">
        <v>170</v>
      </c>
      <c r="B172" t="s">
        <v>162</v>
      </c>
      <c r="C172" t="s">
        <v>162</v>
      </c>
    </row>
    <row r="173" spans="1:3" x14ac:dyDescent="0.4">
      <c r="A173">
        <v>171</v>
      </c>
      <c r="B173" t="s">
        <v>163</v>
      </c>
      <c r="C173" t="s">
        <v>163</v>
      </c>
    </row>
    <row r="174" spans="1:3" x14ac:dyDescent="0.4">
      <c r="A174">
        <v>172</v>
      </c>
      <c r="B174" t="s">
        <v>164</v>
      </c>
      <c r="C174" t="s">
        <v>164</v>
      </c>
    </row>
    <row r="175" spans="1:3" x14ac:dyDescent="0.4">
      <c r="A175">
        <v>173</v>
      </c>
      <c r="B175" t="s">
        <v>165</v>
      </c>
      <c r="C175" t="s">
        <v>165</v>
      </c>
    </row>
    <row r="176" spans="1:3" x14ac:dyDescent="0.4">
      <c r="A176">
        <v>174</v>
      </c>
      <c r="B176" t="s">
        <v>166</v>
      </c>
      <c r="C176" t="s">
        <v>166</v>
      </c>
    </row>
    <row r="177" spans="1:3" x14ac:dyDescent="0.4">
      <c r="A177">
        <v>175</v>
      </c>
      <c r="B177" t="s">
        <v>167</v>
      </c>
      <c r="C177" t="s">
        <v>167</v>
      </c>
    </row>
    <row r="178" spans="1:3" x14ac:dyDescent="0.4">
      <c r="A178">
        <v>176</v>
      </c>
      <c r="B178" t="s">
        <v>168</v>
      </c>
      <c r="C178" t="s">
        <v>168</v>
      </c>
    </row>
    <row r="179" spans="1:3" x14ac:dyDescent="0.4">
      <c r="A179">
        <v>177</v>
      </c>
      <c r="B179" t="s">
        <v>169</v>
      </c>
      <c r="C179" t="s">
        <v>169</v>
      </c>
    </row>
    <row r="180" spans="1:3" x14ac:dyDescent="0.4">
      <c r="A180">
        <v>178</v>
      </c>
      <c r="B180" t="s">
        <v>170</v>
      </c>
      <c r="C180" t="s">
        <v>170</v>
      </c>
    </row>
    <row r="181" spans="1:3" x14ac:dyDescent="0.4">
      <c r="A181">
        <v>179</v>
      </c>
      <c r="B181" t="s">
        <v>171</v>
      </c>
      <c r="C181" t="s">
        <v>171</v>
      </c>
    </row>
    <row r="182" spans="1:3" x14ac:dyDescent="0.4">
      <c r="A182">
        <v>180</v>
      </c>
      <c r="B182" t="s">
        <v>172</v>
      </c>
      <c r="C182" t="s">
        <v>172</v>
      </c>
    </row>
    <row r="183" spans="1:3" x14ac:dyDescent="0.4">
      <c r="A183">
        <v>181</v>
      </c>
      <c r="B183" t="s">
        <v>173</v>
      </c>
      <c r="C183" t="s">
        <v>173</v>
      </c>
    </row>
    <row r="184" spans="1:3" x14ac:dyDescent="0.4">
      <c r="A184">
        <v>182</v>
      </c>
      <c r="B184" t="s">
        <v>174</v>
      </c>
      <c r="C184" t="s">
        <v>174</v>
      </c>
    </row>
    <row r="185" spans="1:3" x14ac:dyDescent="0.4">
      <c r="A185">
        <v>183</v>
      </c>
      <c r="B185" t="s">
        <v>175</v>
      </c>
      <c r="C185" t="s">
        <v>175</v>
      </c>
    </row>
    <row r="186" spans="1:3" x14ac:dyDescent="0.4">
      <c r="A186">
        <v>184</v>
      </c>
      <c r="B186" t="s">
        <v>176</v>
      </c>
      <c r="C186" t="s">
        <v>176</v>
      </c>
    </row>
    <row r="187" spans="1:3" x14ac:dyDescent="0.4">
      <c r="A187">
        <v>185</v>
      </c>
      <c r="B187" t="s">
        <v>177</v>
      </c>
      <c r="C187" t="s">
        <v>177</v>
      </c>
    </row>
    <row r="188" spans="1:3" x14ac:dyDescent="0.4">
      <c r="A188">
        <v>186</v>
      </c>
      <c r="B188" t="s">
        <v>178</v>
      </c>
      <c r="C188" t="s">
        <v>178</v>
      </c>
    </row>
    <row r="189" spans="1:3" x14ac:dyDescent="0.4">
      <c r="A189">
        <v>187</v>
      </c>
      <c r="B189" t="s">
        <v>179</v>
      </c>
      <c r="C189" t="s">
        <v>179</v>
      </c>
    </row>
    <row r="190" spans="1:3" x14ac:dyDescent="0.4">
      <c r="A190">
        <v>188</v>
      </c>
      <c r="B190" t="s">
        <v>180</v>
      </c>
      <c r="C190" t="s">
        <v>180</v>
      </c>
    </row>
    <row r="191" spans="1:3" x14ac:dyDescent="0.4">
      <c r="A191">
        <v>189</v>
      </c>
      <c r="B191" t="s">
        <v>181</v>
      </c>
      <c r="C191" t="s">
        <v>181</v>
      </c>
    </row>
    <row r="192" spans="1:3" x14ac:dyDescent="0.4">
      <c r="A192">
        <v>190</v>
      </c>
      <c r="B192" t="s">
        <v>182</v>
      </c>
      <c r="C192" t="s">
        <v>182</v>
      </c>
    </row>
    <row r="193" spans="1:3" x14ac:dyDescent="0.4">
      <c r="A193">
        <v>191</v>
      </c>
      <c r="B193" t="s">
        <v>183</v>
      </c>
      <c r="C193" t="s">
        <v>183</v>
      </c>
    </row>
    <row r="194" spans="1:3" x14ac:dyDescent="0.4">
      <c r="A194">
        <v>192</v>
      </c>
      <c r="B194" t="s">
        <v>184</v>
      </c>
      <c r="C194" t="s">
        <v>184</v>
      </c>
    </row>
    <row r="195" spans="1:3" x14ac:dyDescent="0.4">
      <c r="A195">
        <v>193</v>
      </c>
      <c r="B195" t="s">
        <v>185</v>
      </c>
      <c r="C195" t="s">
        <v>185</v>
      </c>
    </row>
    <row r="196" spans="1:3" x14ac:dyDescent="0.4">
      <c r="A196">
        <v>194</v>
      </c>
      <c r="B196" t="s">
        <v>186</v>
      </c>
      <c r="C196" t="s">
        <v>186</v>
      </c>
    </row>
    <row r="197" spans="1:3" x14ac:dyDescent="0.4">
      <c r="A197">
        <v>195</v>
      </c>
      <c r="B197" t="s">
        <v>187</v>
      </c>
      <c r="C197" t="s">
        <v>187</v>
      </c>
    </row>
    <row r="198" spans="1:3" x14ac:dyDescent="0.4">
      <c r="A198">
        <v>196</v>
      </c>
      <c r="B198" t="s">
        <v>188</v>
      </c>
      <c r="C198" t="s">
        <v>188</v>
      </c>
    </row>
    <row r="199" spans="1:3" x14ac:dyDescent="0.4">
      <c r="A199">
        <v>197</v>
      </c>
      <c r="B199" t="s">
        <v>189</v>
      </c>
      <c r="C199" t="s">
        <v>189</v>
      </c>
    </row>
    <row r="200" spans="1:3" x14ac:dyDescent="0.4">
      <c r="A200">
        <v>198</v>
      </c>
      <c r="B200" t="s">
        <v>190</v>
      </c>
      <c r="C200" t="s">
        <v>190</v>
      </c>
    </row>
    <row r="201" spans="1:3" x14ac:dyDescent="0.4">
      <c r="A201">
        <v>199</v>
      </c>
      <c r="B201" t="s">
        <v>191</v>
      </c>
      <c r="C201" t="s">
        <v>191</v>
      </c>
    </row>
    <row r="202" spans="1:3" x14ac:dyDescent="0.4">
      <c r="A202">
        <v>200</v>
      </c>
      <c r="B202" t="s">
        <v>192</v>
      </c>
      <c r="C202" t="s">
        <v>192</v>
      </c>
    </row>
    <row r="203" spans="1:3" x14ac:dyDescent="0.4">
      <c r="A203">
        <v>201</v>
      </c>
      <c r="B203" t="s">
        <v>193</v>
      </c>
      <c r="C203" t="s">
        <v>193</v>
      </c>
    </row>
    <row r="204" spans="1:3" x14ac:dyDescent="0.4">
      <c r="A204">
        <v>202</v>
      </c>
      <c r="B204" t="s">
        <v>194</v>
      </c>
      <c r="C204" t="s">
        <v>194</v>
      </c>
    </row>
    <row r="205" spans="1:3" x14ac:dyDescent="0.4">
      <c r="A205">
        <v>203</v>
      </c>
      <c r="B205" t="s">
        <v>195</v>
      </c>
      <c r="C205" t="s">
        <v>195</v>
      </c>
    </row>
    <row r="206" spans="1:3" x14ac:dyDescent="0.4">
      <c r="A206">
        <v>204</v>
      </c>
      <c r="B206" t="s">
        <v>196</v>
      </c>
      <c r="C206" t="s">
        <v>196</v>
      </c>
    </row>
    <row r="207" spans="1:3" x14ac:dyDescent="0.4">
      <c r="A207">
        <v>205</v>
      </c>
      <c r="B207" t="s">
        <v>197</v>
      </c>
      <c r="C207" t="s">
        <v>197</v>
      </c>
    </row>
    <row r="208" spans="1:3" x14ac:dyDescent="0.4">
      <c r="A208">
        <v>206</v>
      </c>
      <c r="B208" t="s">
        <v>198</v>
      </c>
      <c r="C208" t="s">
        <v>198</v>
      </c>
    </row>
    <row r="209" spans="1:3" x14ac:dyDescent="0.4">
      <c r="A209">
        <v>207</v>
      </c>
      <c r="B209" t="s">
        <v>199</v>
      </c>
      <c r="C209" t="s">
        <v>199</v>
      </c>
    </row>
    <row r="210" spans="1:3" x14ac:dyDescent="0.4">
      <c r="A210">
        <v>208</v>
      </c>
      <c r="B210" t="s">
        <v>200</v>
      </c>
      <c r="C210" t="s">
        <v>200</v>
      </c>
    </row>
    <row r="211" spans="1:3" x14ac:dyDescent="0.4">
      <c r="A211">
        <v>209</v>
      </c>
      <c r="B211" t="s">
        <v>201</v>
      </c>
      <c r="C211" t="s">
        <v>201</v>
      </c>
    </row>
    <row r="212" spans="1:3" x14ac:dyDescent="0.4">
      <c r="A212">
        <v>210</v>
      </c>
      <c r="B212" t="s">
        <v>202</v>
      </c>
      <c r="C212" t="s">
        <v>202</v>
      </c>
    </row>
    <row r="213" spans="1:3" x14ac:dyDescent="0.4">
      <c r="A213">
        <v>211</v>
      </c>
      <c r="B213" t="s">
        <v>203</v>
      </c>
      <c r="C213" t="s">
        <v>203</v>
      </c>
    </row>
    <row r="214" spans="1:3" x14ac:dyDescent="0.4">
      <c r="A214">
        <v>212</v>
      </c>
      <c r="B214" t="s">
        <v>204</v>
      </c>
      <c r="C214" t="s">
        <v>204</v>
      </c>
    </row>
    <row r="215" spans="1:3" x14ac:dyDescent="0.4">
      <c r="A215">
        <v>213</v>
      </c>
      <c r="B215" t="s">
        <v>205</v>
      </c>
      <c r="C215" t="s">
        <v>205</v>
      </c>
    </row>
    <row r="216" spans="1:3" x14ac:dyDescent="0.4">
      <c r="A216">
        <v>214</v>
      </c>
      <c r="B216" t="s">
        <v>206</v>
      </c>
      <c r="C216" t="s">
        <v>206</v>
      </c>
    </row>
    <row r="217" spans="1:3" x14ac:dyDescent="0.4">
      <c r="A217">
        <v>215</v>
      </c>
      <c r="B217" t="s">
        <v>207</v>
      </c>
      <c r="C217" t="s">
        <v>207</v>
      </c>
    </row>
    <row r="218" spans="1:3" x14ac:dyDescent="0.4">
      <c r="A218">
        <v>216</v>
      </c>
      <c r="B218" t="s">
        <v>208</v>
      </c>
      <c r="C218" t="s">
        <v>208</v>
      </c>
    </row>
    <row r="219" spans="1:3" x14ac:dyDescent="0.4">
      <c r="A219">
        <v>217</v>
      </c>
      <c r="B219" t="s">
        <v>209</v>
      </c>
      <c r="C219" t="s">
        <v>209</v>
      </c>
    </row>
    <row r="220" spans="1:3" x14ac:dyDescent="0.4">
      <c r="A220">
        <v>218</v>
      </c>
      <c r="B220" t="s">
        <v>210</v>
      </c>
      <c r="C220" t="s">
        <v>210</v>
      </c>
    </row>
    <row r="221" spans="1:3" x14ac:dyDescent="0.4">
      <c r="A221">
        <v>219</v>
      </c>
      <c r="B221" t="s">
        <v>211</v>
      </c>
      <c r="C221" t="s">
        <v>211</v>
      </c>
    </row>
    <row r="222" spans="1:3" x14ac:dyDescent="0.4">
      <c r="A222">
        <v>220</v>
      </c>
      <c r="B222" t="s">
        <v>212</v>
      </c>
      <c r="C222" t="s">
        <v>212</v>
      </c>
    </row>
    <row r="223" spans="1:3" x14ac:dyDescent="0.4">
      <c r="A223">
        <v>221</v>
      </c>
      <c r="B223" t="s">
        <v>213</v>
      </c>
      <c r="C223" t="s">
        <v>213</v>
      </c>
    </row>
    <row r="224" spans="1:3" x14ac:dyDescent="0.4">
      <c r="A224">
        <v>222</v>
      </c>
      <c r="B224" t="s">
        <v>214</v>
      </c>
      <c r="C224" t="s">
        <v>214</v>
      </c>
    </row>
    <row r="225" spans="1:3" x14ac:dyDescent="0.4">
      <c r="A225">
        <v>223</v>
      </c>
      <c r="B225" t="s">
        <v>215</v>
      </c>
      <c r="C225" t="s">
        <v>215</v>
      </c>
    </row>
    <row r="226" spans="1:3" x14ac:dyDescent="0.4">
      <c r="A226">
        <v>224</v>
      </c>
      <c r="B226" t="s">
        <v>216</v>
      </c>
      <c r="C226" t="s">
        <v>216</v>
      </c>
    </row>
    <row r="227" spans="1:3" x14ac:dyDescent="0.4">
      <c r="A227">
        <v>225</v>
      </c>
      <c r="B227" t="s">
        <v>217</v>
      </c>
      <c r="C227" t="s">
        <v>217</v>
      </c>
    </row>
    <row r="228" spans="1:3" x14ac:dyDescent="0.4">
      <c r="A228">
        <v>226</v>
      </c>
      <c r="B228" t="s">
        <v>218</v>
      </c>
      <c r="C228" t="s">
        <v>218</v>
      </c>
    </row>
    <row r="229" spans="1:3" x14ac:dyDescent="0.4">
      <c r="A229">
        <v>227</v>
      </c>
      <c r="B229" t="s">
        <v>219</v>
      </c>
      <c r="C229" t="s">
        <v>219</v>
      </c>
    </row>
    <row r="230" spans="1:3" x14ac:dyDescent="0.4">
      <c r="A230">
        <v>228</v>
      </c>
      <c r="B230" t="s">
        <v>220</v>
      </c>
      <c r="C230" t="s">
        <v>220</v>
      </c>
    </row>
    <row r="231" spans="1:3" x14ac:dyDescent="0.4">
      <c r="A231">
        <v>229</v>
      </c>
      <c r="B231" t="s">
        <v>221</v>
      </c>
      <c r="C231" t="s">
        <v>221</v>
      </c>
    </row>
    <row r="232" spans="1:3" x14ac:dyDescent="0.4">
      <c r="A232">
        <v>230</v>
      </c>
      <c r="B232" t="s">
        <v>222</v>
      </c>
      <c r="C232" t="s">
        <v>222</v>
      </c>
    </row>
    <row r="233" spans="1:3" x14ac:dyDescent="0.4">
      <c r="A233">
        <v>231</v>
      </c>
      <c r="B233" t="s">
        <v>223</v>
      </c>
      <c r="C233" t="s">
        <v>223</v>
      </c>
    </row>
    <row r="234" spans="1:3" x14ac:dyDescent="0.4">
      <c r="A234">
        <v>232</v>
      </c>
      <c r="B234" t="s">
        <v>224</v>
      </c>
      <c r="C234" t="s">
        <v>224</v>
      </c>
    </row>
    <row r="235" spans="1:3" x14ac:dyDescent="0.4">
      <c r="A235">
        <v>233</v>
      </c>
      <c r="B235" t="s">
        <v>225</v>
      </c>
      <c r="C235" t="s">
        <v>225</v>
      </c>
    </row>
    <row r="236" spans="1:3" x14ac:dyDescent="0.4">
      <c r="A236">
        <v>234</v>
      </c>
      <c r="B236" t="s">
        <v>226</v>
      </c>
      <c r="C236" t="s">
        <v>226</v>
      </c>
    </row>
    <row r="237" spans="1:3" x14ac:dyDescent="0.4">
      <c r="A237">
        <v>235</v>
      </c>
      <c r="B237" t="s">
        <v>227</v>
      </c>
      <c r="C237" t="s">
        <v>227</v>
      </c>
    </row>
    <row r="238" spans="1:3" x14ac:dyDescent="0.4">
      <c r="A238">
        <v>236</v>
      </c>
      <c r="B238" t="s">
        <v>228</v>
      </c>
      <c r="C238" t="s">
        <v>228</v>
      </c>
    </row>
    <row r="239" spans="1:3" x14ac:dyDescent="0.4">
      <c r="A239">
        <v>237</v>
      </c>
      <c r="B239" t="s">
        <v>229</v>
      </c>
      <c r="C239" t="s">
        <v>229</v>
      </c>
    </row>
    <row r="240" spans="1:3" x14ac:dyDescent="0.4">
      <c r="A240">
        <v>238</v>
      </c>
      <c r="B240" t="s">
        <v>230</v>
      </c>
      <c r="C240" t="s">
        <v>230</v>
      </c>
    </row>
    <row r="241" spans="1:3" x14ac:dyDescent="0.4">
      <c r="A241">
        <v>239</v>
      </c>
      <c r="B241" t="s">
        <v>231</v>
      </c>
      <c r="C241" t="s">
        <v>231</v>
      </c>
    </row>
    <row r="242" spans="1:3" x14ac:dyDescent="0.4">
      <c r="A242">
        <v>240</v>
      </c>
      <c r="B242" t="s">
        <v>232</v>
      </c>
      <c r="C242" t="s">
        <v>232</v>
      </c>
    </row>
    <row r="243" spans="1:3" x14ac:dyDescent="0.4">
      <c r="A243">
        <v>241</v>
      </c>
      <c r="B243" t="s">
        <v>233</v>
      </c>
      <c r="C243" t="s">
        <v>233</v>
      </c>
    </row>
    <row r="244" spans="1:3" x14ac:dyDescent="0.4">
      <c r="A244">
        <v>242</v>
      </c>
      <c r="B244" t="s">
        <v>234</v>
      </c>
      <c r="C244" t="s">
        <v>234</v>
      </c>
    </row>
    <row r="245" spans="1:3" x14ac:dyDescent="0.4">
      <c r="A245">
        <v>243</v>
      </c>
      <c r="B245" t="s">
        <v>235</v>
      </c>
      <c r="C245" t="s">
        <v>235</v>
      </c>
    </row>
    <row r="246" spans="1:3" x14ac:dyDescent="0.4">
      <c r="A246">
        <v>244</v>
      </c>
      <c r="B246" t="s">
        <v>236</v>
      </c>
      <c r="C246" t="s">
        <v>236</v>
      </c>
    </row>
    <row r="247" spans="1:3" x14ac:dyDescent="0.4">
      <c r="A247">
        <v>245</v>
      </c>
      <c r="B247" t="s">
        <v>237</v>
      </c>
      <c r="C247" t="s">
        <v>237</v>
      </c>
    </row>
    <row r="248" spans="1:3" x14ac:dyDescent="0.4">
      <c r="A248">
        <v>246</v>
      </c>
      <c r="B248" t="s">
        <v>238</v>
      </c>
      <c r="C248" t="s">
        <v>238</v>
      </c>
    </row>
    <row r="249" spans="1:3" x14ac:dyDescent="0.4">
      <c r="A249">
        <v>247</v>
      </c>
      <c r="B249" t="s">
        <v>239</v>
      </c>
      <c r="C249" t="s">
        <v>239</v>
      </c>
    </row>
    <row r="250" spans="1:3" x14ac:dyDescent="0.4">
      <c r="A250">
        <v>248</v>
      </c>
      <c r="B250" t="s">
        <v>240</v>
      </c>
      <c r="C250" t="s">
        <v>240</v>
      </c>
    </row>
    <row r="251" spans="1:3" x14ac:dyDescent="0.4">
      <c r="A251">
        <v>249</v>
      </c>
      <c r="B251" t="s">
        <v>241</v>
      </c>
      <c r="C251" t="s">
        <v>241</v>
      </c>
    </row>
    <row r="252" spans="1:3" x14ac:dyDescent="0.4">
      <c r="A252">
        <v>250</v>
      </c>
      <c r="B252" t="s">
        <v>242</v>
      </c>
      <c r="C252" t="s">
        <v>242</v>
      </c>
    </row>
    <row r="253" spans="1:3" x14ac:dyDescent="0.4">
      <c r="A253">
        <v>251</v>
      </c>
      <c r="B253" t="s">
        <v>243</v>
      </c>
      <c r="C253" t="s">
        <v>243</v>
      </c>
    </row>
    <row r="254" spans="1:3" x14ac:dyDescent="0.4">
      <c r="A254">
        <v>252</v>
      </c>
      <c r="B254" t="s">
        <v>244</v>
      </c>
      <c r="C254" t="s">
        <v>244</v>
      </c>
    </row>
    <row r="255" spans="1:3" x14ac:dyDescent="0.4">
      <c r="A255">
        <v>253</v>
      </c>
      <c r="B255" t="s">
        <v>245</v>
      </c>
      <c r="C255" t="s">
        <v>245</v>
      </c>
    </row>
    <row r="256" spans="1:3" x14ac:dyDescent="0.4">
      <c r="A256">
        <v>254</v>
      </c>
      <c r="B256" t="s">
        <v>246</v>
      </c>
      <c r="C256" t="s">
        <v>246</v>
      </c>
    </row>
    <row r="257" spans="1:3" x14ac:dyDescent="0.4">
      <c r="A257">
        <v>255</v>
      </c>
      <c r="B257" t="s">
        <v>247</v>
      </c>
      <c r="C257" t="s">
        <v>247</v>
      </c>
    </row>
    <row r="258" spans="1:3" x14ac:dyDescent="0.4">
      <c r="A258">
        <v>256</v>
      </c>
      <c r="B258" t="s">
        <v>248</v>
      </c>
      <c r="C258" t="s">
        <v>248</v>
      </c>
    </row>
    <row r="259" spans="1:3" x14ac:dyDescent="0.4">
      <c r="A259">
        <v>257</v>
      </c>
      <c r="B259" t="s">
        <v>249</v>
      </c>
      <c r="C259" t="s">
        <v>249</v>
      </c>
    </row>
    <row r="260" spans="1:3" x14ac:dyDescent="0.4">
      <c r="A260">
        <v>258</v>
      </c>
      <c r="B260" t="s">
        <v>250</v>
      </c>
      <c r="C260" t="s">
        <v>250</v>
      </c>
    </row>
    <row r="261" spans="1:3" x14ac:dyDescent="0.4">
      <c r="A261">
        <v>259</v>
      </c>
      <c r="B261" t="s">
        <v>251</v>
      </c>
      <c r="C261" t="s">
        <v>251</v>
      </c>
    </row>
    <row r="262" spans="1:3" x14ac:dyDescent="0.4">
      <c r="A262">
        <v>260</v>
      </c>
      <c r="B262" t="s">
        <v>252</v>
      </c>
      <c r="C262" t="s">
        <v>252</v>
      </c>
    </row>
    <row r="263" spans="1:3" x14ac:dyDescent="0.4">
      <c r="A263">
        <v>261</v>
      </c>
      <c r="B263" t="s">
        <v>253</v>
      </c>
      <c r="C263" t="s">
        <v>253</v>
      </c>
    </row>
    <row r="264" spans="1:3" x14ac:dyDescent="0.4">
      <c r="A264">
        <v>262</v>
      </c>
      <c r="B264" t="s">
        <v>254</v>
      </c>
      <c r="C264" t="s">
        <v>254</v>
      </c>
    </row>
    <row r="265" spans="1:3" x14ac:dyDescent="0.4">
      <c r="A265">
        <v>263</v>
      </c>
      <c r="B265" t="s">
        <v>255</v>
      </c>
      <c r="C265" t="s">
        <v>255</v>
      </c>
    </row>
    <row r="266" spans="1:3" x14ac:dyDescent="0.4">
      <c r="A266">
        <v>264</v>
      </c>
      <c r="B266" t="s">
        <v>256</v>
      </c>
      <c r="C266" t="s">
        <v>256</v>
      </c>
    </row>
    <row r="267" spans="1:3" x14ac:dyDescent="0.4">
      <c r="A267">
        <v>265</v>
      </c>
      <c r="B267" t="s">
        <v>257</v>
      </c>
      <c r="C267" t="s">
        <v>257</v>
      </c>
    </row>
    <row r="268" spans="1:3" x14ac:dyDescent="0.4">
      <c r="A268">
        <v>266</v>
      </c>
      <c r="B268" t="s">
        <v>258</v>
      </c>
      <c r="C268" t="s">
        <v>258</v>
      </c>
    </row>
    <row r="269" spans="1:3" x14ac:dyDescent="0.4">
      <c r="A269">
        <v>267</v>
      </c>
      <c r="B269" t="s">
        <v>259</v>
      </c>
      <c r="C269" t="s">
        <v>259</v>
      </c>
    </row>
    <row r="270" spans="1:3" x14ac:dyDescent="0.4">
      <c r="A270">
        <v>268</v>
      </c>
      <c r="B270" t="s">
        <v>260</v>
      </c>
      <c r="C270" t="s">
        <v>260</v>
      </c>
    </row>
    <row r="271" spans="1:3" x14ac:dyDescent="0.4">
      <c r="A271">
        <v>269</v>
      </c>
      <c r="B271" t="s">
        <v>261</v>
      </c>
      <c r="C271" t="s">
        <v>261</v>
      </c>
    </row>
    <row r="272" spans="1:3" x14ac:dyDescent="0.4">
      <c r="A272">
        <v>270</v>
      </c>
      <c r="B272" t="s">
        <v>262</v>
      </c>
      <c r="C272" t="s">
        <v>262</v>
      </c>
    </row>
    <row r="273" spans="1:3" x14ac:dyDescent="0.4">
      <c r="A273">
        <v>271</v>
      </c>
      <c r="B273" t="s">
        <v>263</v>
      </c>
      <c r="C273" t="s">
        <v>263</v>
      </c>
    </row>
    <row r="274" spans="1:3" x14ac:dyDescent="0.4">
      <c r="A274">
        <v>272</v>
      </c>
      <c r="B274" t="s">
        <v>264</v>
      </c>
      <c r="C274" t="s">
        <v>264</v>
      </c>
    </row>
    <row r="275" spans="1:3" x14ac:dyDescent="0.4">
      <c r="A275">
        <v>273</v>
      </c>
      <c r="B275" t="s">
        <v>265</v>
      </c>
      <c r="C275" t="s">
        <v>265</v>
      </c>
    </row>
    <row r="276" spans="1:3" x14ac:dyDescent="0.4">
      <c r="A276">
        <v>274</v>
      </c>
      <c r="B276" t="s">
        <v>266</v>
      </c>
      <c r="C276" t="s">
        <v>266</v>
      </c>
    </row>
    <row r="277" spans="1:3" x14ac:dyDescent="0.4">
      <c r="A277">
        <v>275</v>
      </c>
      <c r="B277" t="s">
        <v>267</v>
      </c>
      <c r="C277" t="s">
        <v>267</v>
      </c>
    </row>
    <row r="278" spans="1:3" x14ac:dyDescent="0.4">
      <c r="A278">
        <v>276</v>
      </c>
      <c r="B278" t="s">
        <v>268</v>
      </c>
      <c r="C278" t="s">
        <v>268</v>
      </c>
    </row>
    <row r="279" spans="1:3" x14ac:dyDescent="0.4">
      <c r="A279">
        <v>277</v>
      </c>
      <c r="B279" t="s">
        <v>269</v>
      </c>
      <c r="C279" t="s">
        <v>269</v>
      </c>
    </row>
    <row r="280" spans="1:3" x14ac:dyDescent="0.4">
      <c r="A280">
        <v>278</v>
      </c>
      <c r="B280" t="s">
        <v>270</v>
      </c>
      <c r="C280" t="s">
        <v>270</v>
      </c>
    </row>
    <row r="281" spans="1:3" x14ac:dyDescent="0.4">
      <c r="A281">
        <v>279</v>
      </c>
      <c r="B281" t="s">
        <v>271</v>
      </c>
      <c r="C281" t="s">
        <v>271</v>
      </c>
    </row>
    <row r="282" spans="1:3" x14ac:dyDescent="0.4">
      <c r="A282">
        <v>280</v>
      </c>
      <c r="B282" t="s">
        <v>272</v>
      </c>
      <c r="C282" t="s">
        <v>272</v>
      </c>
    </row>
    <row r="283" spans="1:3" x14ac:dyDescent="0.4">
      <c r="A283">
        <v>281</v>
      </c>
      <c r="B283" t="s">
        <v>273</v>
      </c>
      <c r="C283" t="s">
        <v>273</v>
      </c>
    </row>
    <row r="284" spans="1:3" x14ac:dyDescent="0.4">
      <c r="A284">
        <v>282</v>
      </c>
      <c r="B284" t="s">
        <v>274</v>
      </c>
      <c r="C284" t="s">
        <v>274</v>
      </c>
    </row>
    <row r="285" spans="1:3" x14ac:dyDescent="0.4">
      <c r="A285">
        <v>283</v>
      </c>
      <c r="B285" t="s">
        <v>275</v>
      </c>
      <c r="C285" t="s">
        <v>275</v>
      </c>
    </row>
    <row r="286" spans="1:3" x14ac:dyDescent="0.4">
      <c r="A286">
        <v>284</v>
      </c>
      <c r="B286" t="s">
        <v>276</v>
      </c>
      <c r="C286" t="s">
        <v>276</v>
      </c>
    </row>
    <row r="287" spans="1:3" x14ac:dyDescent="0.4">
      <c r="A287">
        <v>285</v>
      </c>
      <c r="B287" t="s">
        <v>277</v>
      </c>
      <c r="C287" t="s">
        <v>277</v>
      </c>
    </row>
    <row r="288" spans="1:3" x14ac:dyDescent="0.4">
      <c r="A288">
        <v>286</v>
      </c>
      <c r="B288" t="s">
        <v>278</v>
      </c>
      <c r="C288" t="s">
        <v>278</v>
      </c>
    </row>
    <row r="289" spans="1:3" x14ac:dyDescent="0.4">
      <c r="A289">
        <v>287</v>
      </c>
      <c r="B289" t="s">
        <v>279</v>
      </c>
      <c r="C289" t="s">
        <v>279</v>
      </c>
    </row>
    <row r="290" spans="1:3" x14ac:dyDescent="0.4">
      <c r="A290">
        <v>288</v>
      </c>
      <c r="B290" t="s">
        <v>280</v>
      </c>
      <c r="C290" t="s">
        <v>280</v>
      </c>
    </row>
    <row r="291" spans="1:3" x14ac:dyDescent="0.4">
      <c r="A291">
        <v>289</v>
      </c>
      <c r="B291" t="s">
        <v>281</v>
      </c>
      <c r="C291" t="s">
        <v>281</v>
      </c>
    </row>
    <row r="292" spans="1:3" x14ac:dyDescent="0.4">
      <c r="A292">
        <v>290</v>
      </c>
      <c r="B292" t="s">
        <v>282</v>
      </c>
      <c r="C292" t="s">
        <v>282</v>
      </c>
    </row>
    <row r="293" spans="1:3" x14ac:dyDescent="0.4">
      <c r="A293">
        <v>291</v>
      </c>
      <c r="B293" t="s">
        <v>283</v>
      </c>
      <c r="C293" t="s">
        <v>283</v>
      </c>
    </row>
    <row r="294" spans="1:3" x14ac:dyDescent="0.4">
      <c r="A294">
        <v>292</v>
      </c>
      <c r="B294" t="s">
        <v>284</v>
      </c>
      <c r="C294" t="s">
        <v>284</v>
      </c>
    </row>
    <row r="295" spans="1:3" x14ac:dyDescent="0.4">
      <c r="A295">
        <v>293</v>
      </c>
      <c r="B295" t="s">
        <v>285</v>
      </c>
      <c r="C295" t="s">
        <v>285</v>
      </c>
    </row>
    <row r="296" spans="1:3" x14ac:dyDescent="0.4">
      <c r="A296">
        <v>294</v>
      </c>
      <c r="B296" t="s">
        <v>286</v>
      </c>
      <c r="C296" t="s">
        <v>286</v>
      </c>
    </row>
    <row r="297" spans="1:3" x14ac:dyDescent="0.4">
      <c r="A297">
        <v>295</v>
      </c>
      <c r="B297" t="s">
        <v>287</v>
      </c>
      <c r="C297" t="s">
        <v>287</v>
      </c>
    </row>
    <row r="298" spans="1:3" x14ac:dyDescent="0.4">
      <c r="A298">
        <v>296</v>
      </c>
      <c r="B298" t="s">
        <v>288</v>
      </c>
      <c r="C298" t="s">
        <v>288</v>
      </c>
    </row>
    <row r="299" spans="1:3" x14ac:dyDescent="0.4">
      <c r="A299">
        <v>297</v>
      </c>
      <c r="B299" t="s">
        <v>289</v>
      </c>
      <c r="C299" t="s">
        <v>289</v>
      </c>
    </row>
    <row r="300" spans="1:3" x14ac:dyDescent="0.4">
      <c r="A300">
        <v>298</v>
      </c>
      <c r="B300" t="s">
        <v>290</v>
      </c>
      <c r="C300" t="s">
        <v>290</v>
      </c>
    </row>
    <row r="301" spans="1:3" x14ac:dyDescent="0.4">
      <c r="A301">
        <v>299</v>
      </c>
      <c r="B301" t="s">
        <v>291</v>
      </c>
      <c r="C301" t="s">
        <v>291</v>
      </c>
    </row>
    <row r="302" spans="1:3" x14ac:dyDescent="0.4">
      <c r="A302">
        <v>300</v>
      </c>
      <c r="B302" t="s">
        <v>292</v>
      </c>
      <c r="C302" t="s">
        <v>292</v>
      </c>
    </row>
    <row r="303" spans="1:3" x14ac:dyDescent="0.4">
      <c r="A303">
        <v>301</v>
      </c>
      <c r="B303" t="s">
        <v>293</v>
      </c>
      <c r="C303" t="s">
        <v>293</v>
      </c>
    </row>
    <row r="304" spans="1:3" x14ac:dyDescent="0.4">
      <c r="A304">
        <v>302</v>
      </c>
      <c r="B304" t="s">
        <v>294</v>
      </c>
      <c r="C304" t="s">
        <v>294</v>
      </c>
    </row>
    <row r="305" spans="1:3" x14ac:dyDescent="0.4">
      <c r="A305">
        <v>303</v>
      </c>
      <c r="B305" t="s">
        <v>295</v>
      </c>
      <c r="C305" t="s">
        <v>295</v>
      </c>
    </row>
    <row r="306" spans="1:3" x14ac:dyDescent="0.4">
      <c r="A306">
        <v>304</v>
      </c>
      <c r="B306" t="s">
        <v>296</v>
      </c>
      <c r="C306" t="s">
        <v>296</v>
      </c>
    </row>
    <row r="307" spans="1:3" x14ac:dyDescent="0.4">
      <c r="A307">
        <v>305</v>
      </c>
      <c r="B307" t="s">
        <v>297</v>
      </c>
      <c r="C307" t="s">
        <v>297</v>
      </c>
    </row>
    <row r="308" spans="1:3" x14ac:dyDescent="0.4">
      <c r="A308">
        <v>306</v>
      </c>
      <c r="B308" t="s">
        <v>298</v>
      </c>
      <c r="C308" t="s">
        <v>298</v>
      </c>
    </row>
    <row r="309" spans="1:3" x14ac:dyDescent="0.4">
      <c r="A309">
        <v>307</v>
      </c>
      <c r="B309" t="s">
        <v>299</v>
      </c>
      <c r="C309" t="s">
        <v>299</v>
      </c>
    </row>
    <row r="310" spans="1:3" x14ac:dyDescent="0.4">
      <c r="A310">
        <v>308</v>
      </c>
      <c r="B310" t="s">
        <v>300</v>
      </c>
      <c r="C310" t="s">
        <v>300</v>
      </c>
    </row>
    <row r="311" spans="1:3" x14ac:dyDescent="0.4">
      <c r="A311">
        <v>309</v>
      </c>
      <c r="B311" t="s">
        <v>301</v>
      </c>
      <c r="C311" t="s">
        <v>301</v>
      </c>
    </row>
    <row r="312" spans="1:3" x14ac:dyDescent="0.4">
      <c r="A312">
        <v>310</v>
      </c>
      <c r="B312" t="s">
        <v>302</v>
      </c>
      <c r="C312" t="s">
        <v>302</v>
      </c>
    </row>
    <row r="313" spans="1:3" x14ac:dyDescent="0.4">
      <c r="A313">
        <v>311</v>
      </c>
      <c r="B313" t="s">
        <v>303</v>
      </c>
      <c r="C313" t="s">
        <v>303</v>
      </c>
    </row>
    <row r="314" spans="1:3" x14ac:dyDescent="0.4">
      <c r="A314">
        <v>312</v>
      </c>
      <c r="B314" t="s">
        <v>304</v>
      </c>
      <c r="C314" t="s">
        <v>304</v>
      </c>
    </row>
    <row r="315" spans="1:3" x14ac:dyDescent="0.4">
      <c r="A315">
        <v>313</v>
      </c>
      <c r="B315" t="s">
        <v>305</v>
      </c>
      <c r="C315" t="s">
        <v>305</v>
      </c>
    </row>
    <row r="316" spans="1:3" x14ac:dyDescent="0.4">
      <c r="A316">
        <v>314</v>
      </c>
      <c r="B316" t="s">
        <v>306</v>
      </c>
      <c r="C316" t="s">
        <v>306</v>
      </c>
    </row>
    <row r="317" spans="1:3" x14ac:dyDescent="0.4">
      <c r="A317">
        <v>315</v>
      </c>
      <c r="B317" t="s">
        <v>307</v>
      </c>
      <c r="C317" t="s">
        <v>307</v>
      </c>
    </row>
    <row r="318" spans="1:3" x14ac:dyDescent="0.4">
      <c r="A318">
        <v>316</v>
      </c>
      <c r="B318" t="s">
        <v>308</v>
      </c>
      <c r="C318" t="s">
        <v>308</v>
      </c>
    </row>
    <row r="319" spans="1:3" x14ac:dyDescent="0.4">
      <c r="A319">
        <v>317</v>
      </c>
      <c r="B319" t="s">
        <v>309</v>
      </c>
      <c r="C319" t="s">
        <v>309</v>
      </c>
    </row>
    <row r="320" spans="1:3" x14ac:dyDescent="0.4">
      <c r="A320">
        <v>318</v>
      </c>
      <c r="B320" t="s">
        <v>310</v>
      </c>
      <c r="C320" t="s">
        <v>310</v>
      </c>
    </row>
    <row r="321" spans="1:3" x14ac:dyDescent="0.4">
      <c r="A321">
        <v>319</v>
      </c>
      <c r="B321" t="s">
        <v>311</v>
      </c>
      <c r="C321" t="s">
        <v>311</v>
      </c>
    </row>
    <row r="322" spans="1:3" x14ac:dyDescent="0.4">
      <c r="A322">
        <v>320</v>
      </c>
      <c r="B322" t="s">
        <v>312</v>
      </c>
      <c r="C322" t="s">
        <v>312</v>
      </c>
    </row>
    <row r="323" spans="1:3" x14ac:dyDescent="0.4">
      <c r="A323">
        <v>321</v>
      </c>
      <c r="B323" t="s">
        <v>313</v>
      </c>
      <c r="C323" t="s">
        <v>313</v>
      </c>
    </row>
    <row r="324" spans="1:3" x14ac:dyDescent="0.4">
      <c r="A324">
        <v>322</v>
      </c>
      <c r="B324" t="s">
        <v>314</v>
      </c>
      <c r="C324" t="s">
        <v>314</v>
      </c>
    </row>
    <row r="325" spans="1:3" x14ac:dyDescent="0.4">
      <c r="A325">
        <v>323</v>
      </c>
      <c r="B325" t="s">
        <v>315</v>
      </c>
      <c r="C325" t="s">
        <v>315</v>
      </c>
    </row>
    <row r="326" spans="1:3" x14ac:dyDescent="0.4">
      <c r="A326">
        <v>324</v>
      </c>
      <c r="B326" t="s">
        <v>316</v>
      </c>
      <c r="C326" t="s">
        <v>316</v>
      </c>
    </row>
    <row r="327" spans="1:3" x14ac:dyDescent="0.4">
      <c r="A327">
        <v>325</v>
      </c>
      <c r="B327" t="s">
        <v>317</v>
      </c>
      <c r="C327" t="s">
        <v>317</v>
      </c>
    </row>
    <row r="328" spans="1:3" x14ac:dyDescent="0.4">
      <c r="A328">
        <v>326</v>
      </c>
      <c r="B328" t="s">
        <v>318</v>
      </c>
      <c r="C328" t="s">
        <v>318</v>
      </c>
    </row>
    <row r="329" spans="1:3" x14ac:dyDescent="0.4">
      <c r="A329">
        <v>327</v>
      </c>
      <c r="B329" t="s">
        <v>319</v>
      </c>
      <c r="C329" t="s">
        <v>319</v>
      </c>
    </row>
    <row r="330" spans="1:3" x14ac:dyDescent="0.4">
      <c r="A330">
        <v>328</v>
      </c>
      <c r="B330" t="s">
        <v>320</v>
      </c>
      <c r="C330" t="s">
        <v>899</v>
      </c>
    </row>
    <row r="331" spans="1:3" x14ac:dyDescent="0.4">
      <c r="A331">
        <v>329</v>
      </c>
      <c r="B331" t="s">
        <v>321</v>
      </c>
      <c r="C331" t="s">
        <v>900</v>
      </c>
    </row>
    <row r="332" spans="1:3" x14ac:dyDescent="0.4">
      <c r="A332">
        <v>330</v>
      </c>
      <c r="B332" t="s">
        <v>322</v>
      </c>
      <c r="C332" t="s">
        <v>901</v>
      </c>
    </row>
    <row r="333" spans="1:3" x14ac:dyDescent="0.4">
      <c r="A333">
        <v>331</v>
      </c>
      <c r="B333" t="s">
        <v>323</v>
      </c>
      <c r="C333" t="s">
        <v>902</v>
      </c>
    </row>
    <row r="334" spans="1:3" x14ac:dyDescent="0.4">
      <c r="A334">
        <v>332</v>
      </c>
      <c r="B334" t="s">
        <v>324</v>
      </c>
      <c r="C334" t="s">
        <v>903</v>
      </c>
    </row>
    <row r="335" spans="1:3" x14ac:dyDescent="0.4">
      <c r="A335">
        <v>333</v>
      </c>
      <c r="B335" t="s">
        <v>325</v>
      </c>
      <c r="C335" t="s">
        <v>904</v>
      </c>
    </row>
    <row r="336" spans="1:3" x14ac:dyDescent="0.4">
      <c r="A336">
        <v>334</v>
      </c>
      <c r="B336" t="s">
        <v>326</v>
      </c>
      <c r="C336" t="s">
        <v>905</v>
      </c>
    </row>
    <row r="337" spans="1:3" x14ac:dyDescent="0.4">
      <c r="A337">
        <v>335</v>
      </c>
      <c r="B337" t="s">
        <v>327</v>
      </c>
      <c r="C337" t="s">
        <v>906</v>
      </c>
    </row>
    <row r="338" spans="1:3" x14ac:dyDescent="0.4">
      <c r="A338">
        <v>336</v>
      </c>
      <c r="B338" t="s">
        <v>328</v>
      </c>
      <c r="C338" t="s">
        <v>907</v>
      </c>
    </row>
    <row r="339" spans="1:3" x14ac:dyDescent="0.4">
      <c r="A339">
        <v>337</v>
      </c>
      <c r="B339" t="s">
        <v>329</v>
      </c>
      <c r="C339" t="s">
        <v>908</v>
      </c>
    </row>
    <row r="340" spans="1:3" x14ac:dyDescent="0.4">
      <c r="A340">
        <v>338</v>
      </c>
      <c r="B340" t="s">
        <v>330</v>
      </c>
      <c r="C340" t="s">
        <v>909</v>
      </c>
    </row>
    <row r="341" spans="1:3" x14ac:dyDescent="0.4">
      <c r="A341">
        <v>339</v>
      </c>
      <c r="B341" t="s">
        <v>331</v>
      </c>
      <c r="C341" t="s">
        <v>910</v>
      </c>
    </row>
    <row r="342" spans="1:3" x14ac:dyDescent="0.4">
      <c r="A342">
        <v>340</v>
      </c>
      <c r="B342" t="s">
        <v>332</v>
      </c>
      <c r="C342" t="s">
        <v>911</v>
      </c>
    </row>
    <row r="343" spans="1:3" x14ac:dyDescent="0.4">
      <c r="A343">
        <v>341</v>
      </c>
      <c r="B343" t="s">
        <v>333</v>
      </c>
      <c r="C343" t="s">
        <v>912</v>
      </c>
    </row>
    <row r="344" spans="1:3" x14ac:dyDescent="0.4">
      <c r="A344">
        <v>342</v>
      </c>
      <c r="B344" t="s">
        <v>334</v>
      </c>
      <c r="C344" t="s">
        <v>913</v>
      </c>
    </row>
    <row r="345" spans="1:3" x14ac:dyDescent="0.4">
      <c r="A345">
        <v>343</v>
      </c>
      <c r="B345" t="s">
        <v>335</v>
      </c>
      <c r="C345" t="s">
        <v>914</v>
      </c>
    </row>
    <row r="346" spans="1:3" x14ac:dyDescent="0.4">
      <c r="A346">
        <v>344</v>
      </c>
      <c r="B346" t="s">
        <v>336</v>
      </c>
      <c r="C346" t="s">
        <v>915</v>
      </c>
    </row>
    <row r="347" spans="1:3" x14ac:dyDescent="0.4">
      <c r="A347">
        <v>345</v>
      </c>
      <c r="B347" t="s">
        <v>337</v>
      </c>
      <c r="C347" t="s">
        <v>916</v>
      </c>
    </row>
    <row r="348" spans="1:3" x14ac:dyDescent="0.4">
      <c r="A348">
        <v>346</v>
      </c>
      <c r="B348" t="s">
        <v>338</v>
      </c>
      <c r="C348" t="s">
        <v>917</v>
      </c>
    </row>
    <row r="349" spans="1:3" x14ac:dyDescent="0.4">
      <c r="A349">
        <v>347</v>
      </c>
      <c r="B349" t="s">
        <v>339</v>
      </c>
      <c r="C349" t="s">
        <v>918</v>
      </c>
    </row>
    <row r="350" spans="1:3" x14ac:dyDescent="0.4">
      <c r="A350">
        <v>348</v>
      </c>
      <c r="B350" t="s">
        <v>340</v>
      </c>
      <c r="C350" t="s">
        <v>919</v>
      </c>
    </row>
    <row r="351" spans="1:3" x14ac:dyDescent="0.4">
      <c r="A351">
        <v>349</v>
      </c>
      <c r="B351" t="s">
        <v>341</v>
      </c>
      <c r="C351" t="s">
        <v>920</v>
      </c>
    </row>
    <row r="352" spans="1:3" x14ac:dyDescent="0.4">
      <c r="A352">
        <v>350</v>
      </c>
      <c r="B352" t="s">
        <v>342</v>
      </c>
      <c r="C352" t="s">
        <v>921</v>
      </c>
    </row>
    <row r="353" spans="1:3" x14ac:dyDescent="0.4">
      <c r="A353">
        <v>351</v>
      </c>
      <c r="B353" t="s">
        <v>343</v>
      </c>
      <c r="C353" t="s">
        <v>922</v>
      </c>
    </row>
    <row r="354" spans="1:3" x14ac:dyDescent="0.4">
      <c r="A354">
        <v>352</v>
      </c>
      <c r="B354" t="s">
        <v>344</v>
      </c>
      <c r="C354" t="s">
        <v>923</v>
      </c>
    </row>
    <row r="355" spans="1:3" x14ac:dyDescent="0.4">
      <c r="A355">
        <v>353</v>
      </c>
      <c r="B355" t="s">
        <v>345</v>
      </c>
      <c r="C355" t="s">
        <v>924</v>
      </c>
    </row>
    <row r="356" spans="1:3" x14ac:dyDescent="0.4">
      <c r="A356">
        <v>354</v>
      </c>
      <c r="B356" t="s">
        <v>346</v>
      </c>
      <c r="C356" t="s">
        <v>925</v>
      </c>
    </row>
    <row r="357" spans="1:3" x14ac:dyDescent="0.4">
      <c r="A357">
        <v>355</v>
      </c>
      <c r="B357" t="s">
        <v>347</v>
      </c>
      <c r="C357" t="s">
        <v>926</v>
      </c>
    </row>
    <row r="358" spans="1:3" x14ac:dyDescent="0.4">
      <c r="A358">
        <v>356</v>
      </c>
      <c r="B358" t="s">
        <v>348</v>
      </c>
      <c r="C358" t="s">
        <v>927</v>
      </c>
    </row>
    <row r="359" spans="1:3" x14ac:dyDescent="0.4">
      <c r="A359">
        <v>357</v>
      </c>
      <c r="B359" t="s">
        <v>349</v>
      </c>
      <c r="C359" t="s">
        <v>928</v>
      </c>
    </row>
    <row r="360" spans="1:3" x14ac:dyDescent="0.4">
      <c r="A360">
        <v>358</v>
      </c>
      <c r="B360" t="s">
        <v>350</v>
      </c>
      <c r="C360" t="s">
        <v>929</v>
      </c>
    </row>
    <row r="361" spans="1:3" x14ac:dyDescent="0.4">
      <c r="A361">
        <v>359</v>
      </c>
      <c r="B361" t="s">
        <v>351</v>
      </c>
      <c r="C361" t="s">
        <v>930</v>
      </c>
    </row>
    <row r="362" spans="1:3" x14ac:dyDescent="0.4">
      <c r="A362">
        <v>360</v>
      </c>
      <c r="B362" t="s">
        <v>352</v>
      </c>
      <c r="C362" t="s">
        <v>931</v>
      </c>
    </row>
    <row r="363" spans="1:3" x14ac:dyDescent="0.4">
      <c r="A363">
        <v>361</v>
      </c>
      <c r="B363" t="s">
        <v>353</v>
      </c>
      <c r="C363" t="s">
        <v>932</v>
      </c>
    </row>
    <row r="364" spans="1:3" x14ac:dyDescent="0.4">
      <c r="A364">
        <v>362</v>
      </c>
      <c r="B364" t="s">
        <v>354</v>
      </c>
      <c r="C364" t="s">
        <v>933</v>
      </c>
    </row>
    <row r="365" spans="1:3" x14ac:dyDescent="0.4">
      <c r="A365">
        <v>363</v>
      </c>
      <c r="B365" t="s">
        <v>355</v>
      </c>
      <c r="C365" t="s">
        <v>934</v>
      </c>
    </row>
    <row r="366" spans="1:3" x14ac:dyDescent="0.4">
      <c r="A366">
        <v>364</v>
      </c>
      <c r="B366" t="s">
        <v>356</v>
      </c>
      <c r="C366" t="s">
        <v>935</v>
      </c>
    </row>
    <row r="367" spans="1:3" x14ac:dyDescent="0.4">
      <c r="A367">
        <v>365</v>
      </c>
      <c r="B367" t="s">
        <v>357</v>
      </c>
      <c r="C367" t="s">
        <v>936</v>
      </c>
    </row>
    <row r="368" spans="1:3" x14ac:dyDescent="0.4">
      <c r="A368">
        <v>366</v>
      </c>
      <c r="B368" t="s">
        <v>358</v>
      </c>
      <c r="C368" t="s">
        <v>937</v>
      </c>
    </row>
    <row r="369" spans="1:3" x14ac:dyDescent="0.4">
      <c r="A369">
        <v>367</v>
      </c>
      <c r="B369" t="s">
        <v>359</v>
      </c>
      <c r="C369" t="s">
        <v>938</v>
      </c>
    </row>
    <row r="370" spans="1:3" x14ac:dyDescent="0.4">
      <c r="A370">
        <v>368</v>
      </c>
      <c r="B370" t="s">
        <v>360</v>
      </c>
      <c r="C370" t="s">
        <v>939</v>
      </c>
    </row>
    <row r="371" spans="1:3" x14ac:dyDescent="0.4">
      <c r="A371">
        <v>369</v>
      </c>
      <c r="B371" t="s">
        <v>361</v>
      </c>
      <c r="C371" t="s">
        <v>940</v>
      </c>
    </row>
    <row r="372" spans="1:3" x14ac:dyDescent="0.4">
      <c r="A372">
        <v>370</v>
      </c>
      <c r="B372" t="s">
        <v>362</v>
      </c>
      <c r="C372" t="s">
        <v>941</v>
      </c>
    </row>
    <row r="373" spans="1:3" x14ac:dyDescent="0.4">
      <c r="A373">
        <v>371</v>
      </c>
      <c r="B373" t="s">
        <v>363</v>
      </c>
      <c r="C373" t="s">
        <v>942</v>
      </c>
    </row>
    <row r="374" spans="1:3" x14ac:dyDescent="0.4">
      <c r="A374">
        <v>372</v>
      </c>
      <c r="B374" t="s">
        <v>364</v>
      </c>
      <c r="C374" t="s">
        <v>943</v>
      </c>
    </row>
    <row r="375" spans="1:3" x14ac:dyDescent="0.4">
      <c r="A375">
        <v>373</v>
      </c>
      <c r="B375" t="s">
        <v>365</v>
      </c>
      <c r="C375" t="s">
        <v>944</v>
      </c>
    </row>
    <row r="376" spans="1:3" x14ac:dyDescent="0.4">
      <c r="A376">
        <v>374</v>
      </c>
      <c r="B376" t="s">
        <v>366</v>
      </c>
      <c r="C376" t="s">
        <v>945</v>
      </c>
    </row>
    <row r="377" spans="1:3" x14ac:dyDescent="0.4">
      <c r="A377">
        <v>375</v>
      </c>
      <c r="B377" t="s">
        <v>367</v>
      </c>
      <c r="C377" t="s">
        <v>946</v>
      </c>
    </row>
    <row r="378" spans="1:3" x14ac:dyDescent="0.4">
      <c r="A378">
        <v>376</v>
      </c>
      <c r="B378" t="s">
        <v>368</v>
      </c>
      <c r="C378" t="s">
        <v>947</v>
      </c>
    </row>
    <row r="379" spans="1:3" x14ac:dyDescent="0.4">
      <c r="A379">
        <v>377</v>
      </c>
      <c r="B379" t="s">
        <v>369</v>
      </c>
      <c r="C379" t="s">
        <v>948</v>
      </c>
    </row>
    <row r="380" spans="1:3" x14ac:dyDescent="0.4">
      <c r="A380">
        <v>378</v>
      </c>
      <c r="B380" t="s">
        <v>370</v>
      </c>
      <c r="C380" t="s">
        <v>949</v>
      </c>
    </row>
    <row r="381" spans="1:3" x14ac:dyDescent="0.4">
      <c r="A381">
        <v>379</v>
      </c>
      <c r="B381" t="s">
        <v>371</v>
      </c>
      <c r="C381" t="s">
        <v>950</v>
      </c>
    </row>
    <row r="382" spans="1:3" x14ac:dyDescent="0.4">
      <c r="A382">
        <v>380</v>
      </c>
      <c r="B382" t="s">
        <v>372</v>
      </c>
      <c r="C382" t="s">
        <v>951</v>
      </c>
    </row>
    <row r="383" spans="1:3" x14ac:dyDescent="0.4">
      <c r="A383">
        <v>381</v>
      </c>
      <c r="B383" t="s">
        <v>373</v>
      </c>
      <c r="C383" t="s">
        <v>952</v>
      </c>
    </row>
    <row r="384" spans="1:3" x14ac:dyDescent="0.4">
      <c r="A384">
        <v>382</v>
      </c>
      <c r="B384" t="s">
        <v>374</v>
      </c>
      <c r="C384" t="s">
        <v>953</v>
      </c>
    </row>
    <row r="385" spans="1:3" x14ac:dyDescent="0.4">
      <c r="A385">
        <v>383</v>
      </c>
      <c r="B385" t="s">
        <v>375</v>
      </c>
      <c r="C385" t="s">
        <v>954</v>
      </c>
    </row>
    <row r="386" spans="1:3" x14ac:dyDescent="0.4">
      <c r="A386">
        <v>384</v>
      </c>
      <c r="B386" t="s">
        <v>376</v>
      </c>
      <c r="C386" t="s">
        <v>955</v>
      </c>
    </row>
    <row r="387" spans="1:3" x14ac:dyDescent="0.4">
      <c r="A387">
        <v>385</v>
      </c>
      <c r="B387" t="s">
        <v>377</v>
      </c>
      <c r="C387" t="s">
        <v>956</v>
      </c>
    </row>
    <row r="388" spans="1:3" x14ac:dyDescent="0.4">
      <c r="A388">
        <v>386</v>
      </c>
      <c r="B388" t="s">
        <v>378</v>
      </c>
      <c r="C388" t="s">
        <v>957</v>
      </c>
    </row>
    <row r="389" spans="1:3" x14ac:dyDescent="0.4">
      <c r="A389">
        <v>387</v>
      </c>
      <c r="B389" t="s">
        <v>379</v>
      </c>
      <c r="C389" t="s">
        <v>958</v>
      </c>
    </row>
    <row r="390" spans="1:3" x14ac:dyDescent="0.4">
      <c r="A390">
        <v>388</v>
      </c>
      <c r="B390" t="s">
        <v>380</v>
      </c>
      <c r="C390" t="s">
        <v>959</v>
      </c>
    </row>
    <row r="391" spans="1:3" x14ac:dyDescent="0.4">
      <c r="A391">
        <v>389</v>
      </c>
      <c r="B391" t="s">
        <v>381</v>
      </c>
      <c r="C391" t="s">
        <v>960</v>
      </c>
    </row>
    <row r="392" spans="1:3" x14ac:dyDescent="0.4">
      <c r="A392">
        <v>390</v>
      </c>
      <c r="B392" t="s">
        <v>382</v>
      </c>
      <c r="C392" t="s">
        <v>961</v>
      </c>
    </row>
    <row r="393" spans="1:3" x14ac:dyDescent="0.4">
      <c r="A393">
        <v>391</v>
      </c>
      <c r="B393" t="s">
        <v>383</v>
      </c>
      <c r="C393" t="s">
        <v>962</v>
      </c>
    </row>
    <row r="394" spans="1:3" x14ac:dyDescent="0.4">
      <c r="A394">
        <v>392</v>
      </c>
      <c r="B394" t="s">
        <v>384</v>
      </c>
      <c r="C394" t="s">
        <v>963</v>
      </c>
    </row>
    <row r="395" spans="1:3" x14ac:dyDescent="0.4">
      <c r="A395">
        <v>393</v>
      </c>
      <c r="B395" t="s">
        <v>385</v>
      </c>
      <c r="C395" t="s">
        <v>964</v>
      </c>
    </row>
    <row r="396" spans="1:3" x14ac:dyDescent="0.4">
      <c r="A396">
        <v>394</v>
      </c>
      <c r="B396" t="s">
        <v>386</v>
      </c>
      <c r="C396" t="s">
        <v>965</v>
      </c>
    </row>
    <row r="397" spans="1:3" x14ac:dyDescent="0.4">
      <c r="A397">
        <v>395</v>
      </c>
      <c r="B397" t="s">
        <v>387</v>
      </c>
      <c r="C397" t="s">
        <v>966</v>
      </c>
    </row>
    <row r="398" spans="1:3" x14ac:dyDescent="0.4">
      <c r="A398">
        <v>396</v>
      </c>
      <c r="B398" t="s">
        <v>388</v>
      </c>
      <c r="C398" t="s">
        <v>967</v>
      </c>
    </row>
    <row r="399" spans="1:3" x14ac:dyDescent="0.4">
      <c r="A399">
        <v>397</v>
      </c>
      <c r="B399" t="s">
        <v>389</v>
      </c>
      <c r="C399" t="s">
        <v>968</v>
      </c>
    </row>
    <row r="400" spans="1:3" x14ac:dyDescent="0.4">
      <c r="A400">
        <v>398</v>
      </c>
      <c r="B400" t="s">
        <v>390</v>
      </c>
      <c r="C400" t="s">
        <v>969</v>
      </c>
    </row>
    <row r="401" spans="1:3" x14ac:dyDescent="0.4">
      <c r="A401">
        <v>399</v>
      </c>
      <c r="B401" t="s">
        <v>391</v>
      </c>
      <c r="C401" t="s">
        <v>970</v>
      </c>
    </row>
    <row r="402" spans="1:3" x14ac:dyDescent="0.4">
      <c r="A402">
        <v>400</v>
      </c>
      <c r="B402" t="s">
        <v>392</v>
      </c>
      <c r="C402" t="s">
        <v>971</v>
      </c>
    </row>
    <row r="403" spans="1:3" x14ac:dyDescent="0.4">
      <c r="A403">
        <v>401</v>
      </c>
      <c r="B403" t="s">
        <v>393</v>
      </c>
      <c r="C403" t="s">
        <v>972</v>
      </c>
    </row>
    <row r="404" spans="1:3" x14ac:dyDescent="0.4">
      <c r="A404">
        <v>402</v>
      </c>
      <c r="B404" t="s">
        <v>394</v>
      </c>
      <c r="C404" t="s">
        <v>973</v>
      </c>
    </row>
    <row r="405" spans="1:3" x14ac:dyDescent="0.4">
      <c r="A405">
        <v>403</v>
      </c>
      <c r="B405" t="s">
        <v>395</v>
      </c>
      <c r="C405" t="s">
        <v>974</v>
      </c>
    </row>
    <row r="406" spans="1:3" x14ac:dyDescent="0.4">
      <c r="A406">
        <v>404</v>
      </c>
      <c r="B406" t="s">
        <v>396</v>
      </c>
      <c r="C406" t="s">
        <v>975</v>
      </c>
    </row>
    <row r="407" spans="1:3" x14ac:dyDescent="0.4">
      <c r="A407">
        <v>405</v>
      </c>
      <c r="B407" t="s">
        <v>397</v>
      </c>
      <c r="C407" t="s">
        <v>976</v>
      </c>
    </row>
    <row r="408" spans="1:3" x14ac:dyDescent="0.4">
      <c r="A408">
        <v>406</v>
      </c>
      <c r="B408" t="s">
        <v>398</v>
      </c>
      <c r="C408" t="s">
        <v>977</v>
      </c>
    </row>
    <row r="409" spans="1:3" x14ac:dyDescent="0.4">
      <c r="A409">
        <v>407</v>
      </c>
      <c r="B409" t="s">
        <v>399</v>
      </c>
      <c r="C409" t="s">
        <v>978</v>
      </c>
    </row>
    <row r="410" spans="1:3" x14ac:dyDescent="0.4">
      <c r="A410">
        <v>408</v>
      </c>
      <c r="B410" t="s">
        <v>400</v>
      </c>
      <c r="C410" t="s">
        <v>979</v>
      </c>
    </row>
    <row r="411" spans="1:3" x14ac:dyDescent="0.4">
      <c r="A411">
        <v>409</v>
      </c>
      <c r="B411" t="s">
        <v>401</v>
      </c>
      <c r="C411" t="s">
        <v>980</v>
      </c>
    </row>
    <row r="412" spans="1:3" x14ac:dyDescent="0.4">
      <c r="A412">
        <v>410</v>
      </c>
      <c r="B412" t="s">
        <v>402</v>
      </c>
      <c r="C412" t="s">
        <v>981</v>
      </c>
    </row>
    <row r="413" spans="1:3" x14ac:dyDescent="0.4">
      <c r="A413">
        <v>411</v>
      </c>
      <c r="B413" t="s">
        <v>403</v>
      </c>
      <c r="C413" t="s">
        <v>982</v>
      </c>
    </row>
    <row r="414" spans="1:3" x14ac:dyDescent="0.4">
      <c r="A414">
        <v>412</v>
      </c>
      <c r="B414" t="s">
        <v>404</v>
      </c>
      <c r="C414" t="s">
        <v>983</v>
      </c>
    </row>
    <row r="415" spans="1:3" x14ac:dyDescent="0.4">
      <c r="A415">
        <v>413</v>
      </c>
      <c r="B415" t="s">
        <v>405</v>
      </c>
      <c r="C415" t="s">
        <v>984</v>
      </c>
    </row>
    <row r="416" spans="1:3" x14ac:dyDescent="0.4">
      <c r="A416">
        <v>414</v>
      </c>
      <c r="B416" t="s">
        <v>406</v>
      </c>
      <c r="C416" t="s">
        <v>985</v>
      </c>
    </row>
    <row r="417" spans="1:3" x14ac:dyDescent="0.4">
      <c r="A417">
        <v>415</v>
      </c>
      <c r="B417" t="s">
        <v>407</v>
      </c>
      <c r="C417" t="s">
        <v>986</v>
      </c>
    </row>
    <row r="418" spans="1:3" x14ac:dyDescent="0.4">
      <c r="A418">
        <v>416</v>
      </c>
      <c r="B418" t="s">
        <v>408</v>
      </c>
      <c r="C418" t="s">
        <v>987</v>
      </c>
    </row>
    <row r="419" spans="1:3" x14ac:dyDescent="0.4">
      <c r="A419">
        <v>417</v>
      </c>
      <c r="B419" t="s">
        <v>409</v>
      </c>
      <c r="C419" t="s">
        <v>988</v>
      </c>
    </row>
    <row r="420" spans="1:3" x14ac:dyDescent="0.4">
      <c r="A420">
        <v>418</v>
      </c>
      <c r="B420" t="s">
        <v>410</v>
      </c>
      <c r="C420" t="s">
        <v>989</v>
      </c>
    </row>
    <row r="421" spans="1:3" x14ac:dyDescent="0.4">
      <c r="A421">
        <v>419</v>
      </c>
      <c r="B421" t="s">
        <v>411</v>
      </c>
      <c r="C421" t="s">
        <v>990</v>
      </c>
    </row>
    <row r="422" spans="1:3" x14ac:dyDescent="0.4">
      <c r="A422">
        <v>420</v>
      </c>
      <c r="B422" t="s">
        <v>412</v>
      </c>
      <c r="C422" t="s">
        <v>991</v>
      </c>
    </row>
    <row r="423" spans="1:3" x14ac:dyDescent="0.4">
      <c r="A423">
        <v>421</v>
      </c>
      <c r="B423" t="s">
        <v>413</v>
      </c>
      <c r="C423" t="s">
        <v>992</v>
      </c>
    </row>
    <row r="424" spans="1:3" x14ac:dyDescent="0.4">
      <c r="A424">
        <v>422</v>
      </c>
      <c r="B424" t="s">
        <v>414</v>
      </c>
      <c r="C424" t="s">
        <v>993</v>
      </c>
    </row>
    <row r="425" spans="1:3" x14ac:dyDescent="0.4">
      <c r="A425">
        <v>423</v>
      </c>
      <c r="B425" t="s">
        <v>415</v>
      </c>
      <c r="C425" t="s">
        <v>994</v>
      </c>
    </row>
    <row r="426" spans="1:3" x14ac:dyDescent="0.4">
      <c r="A426">
        <v>424</v>
      </c>
      <c r="B426" t="s">
        <v>416</v>
      </c>
      <c r="C426" t="s">
        <v>995</v>
      </c>
    </row>
    <row r="427" spans="1:3" x14ac:dyDescent="0.4">
      <c r="A427">
        <v>425</v>
      </c>
      <c r="B427" t="s">
        <v>417</v>
      </c>
      <c r="C427" t="s">
        <v>996</v>
      </c>
    </row>
    <row r="428" spans="1:3" x14ac:dyDescent="0.4">
      <c r="A428">
        <v>426</v>
      </c>
      <c r="B428" t="s">
        <v>418</v>
      </c>
      <c r="C428" t="s">
        <v>418</v>
      </c>
    </row>
    <row r="429" spans="1:3" x14ac:dyDescent="0.4">
      <c r="A429">
        <v>427</v>
      </c>
      <c r="B429" t="s">
        <v>125</v>
      </c>
      <c r="C429" t="s">
        <v>1064</v>
      </c>
    </row>
    <row r="430" spans="1:3" x14ac:dyDescent="0.4">
      <c r="A430">
        <v>428</v>
      </c>
      <c r="B430" t="s">
        <v>419</v>
      </c>
      <c r="C430" t="s">
        <v>419</v>
      </c>
    </row>
    <row r="431" spans="1:3" x14ac:dyDescent="0.4">
      <c r="A431">
        <v>429</v>
      </c>
      <c r="B431" t="s">
        <v>420</v>
      </c>
      <c r="C431" t="s">
        <v>420</v>
      </c>
    </row>
    <row r="432" spans="1:3" x14ac:dyDescent="0.4">
      <c r="A432">
        <v>430</v>
      </c>
      <c r="B432" t="s">
        <v>421</v>
      </c>
      <c r="C432" t="s">
        <v>421</v>
      </c>
    </row>
    <row r="433" spans="1:3" x14ac:dyDescent="0.4">
      <c r="A433">
        <v>431</v>
      </c>
      <c r="B433" t="s">
        <v>422</v>
      </c>
      <c r="C433" t="s">
        <v>422</v>
      </c>
    </row>
    <row r="434" spans="1:3" x14ac:dyDescent="0.4">
      <c r="A434">
        <v>432</v>
      </c>
      <c r="B434" t="s">
        <v>423</v>
      </c>
      <c r="C434" t="s">
        <v>423</v>
      </c>
    </row>
    <row r="435" spans="1:3" x14ac:dyDescent="0.4">
      <c r="A435">
        <v>433</v>
      </c>
      <c r="B435" t="s">
        <v>424</v>
      </c>
      <c r="C435" t="s">
        <v>424</v>
      </c>
    </row>
    <row r="436" spans="1:3" x14ac:dyDescent="0.4">
      <c r="A436">
        <v>434</v>
      </c>
      <c r="B436" t="s">
        <v>425</v>
      </c>
      <c r="C436" t="s">
        <v>425</v>
      </c>
    </row>
    <row r="437" spans="1:3" x14ac:dyDescent="0.4">
      <c r="A437">
        <v>435</v>
      </c>
      <c r="B437" t="s">
        <v>426</v>
      </c>
      <c r="C437" t="s">
        <v>426</v>
      </c>
    </row>
    <row r="438" spans="1:3" x14ac:dyDescent="0.4">
      <c r="A438">
        <v>436</v>
      </c>
      <c r="B438" t="s">
        <v>427</v>
      </c>
      <c r="C438" t="s">
        <v>427</v>
      </c>
    </row>
    <row r="439" spans="1:3" x14ac:dyDescent="0.4">
      <c r="A439">
        <v>437</v>
      </c>
      <c r="B439" t="s">
        <v>428</v>
      </c>
      <c r="C439" t="s">
        <v>428</v>
      </c>
    </row>
    <row r="440" spans="1:3" x14ac:dyDescent="0.4">
      <c r="A440">
        <v>438</v>
      </c>
      <c r="B440" t="s">
        <v>429</v>
      </c>
      <c r="C440" t="s">
        <v>429</v>
      </c>
    </row>
    <row r="441" spans="1:3" x14ac:dyDescent="0.4">
      <c r="A441">
        <v>439</v>
      </c>
      <c r="B441" t="s">
        <v>430</v>
      </c>
      <c r="C441" t="s">
        <v>430</v>
      </c>
    </row>
    <row r="442" spans="1:3" x14ac:dyDescent="0.4">
      <c r="A442">
        <v>440</v>
      </c>
      <c r="B442" t="s">
        <v>431</v>
      </c>
      <c r="C442" t="s">
        <v>431</v>
      </c>
    </row>
    <row r="443" spans="1:3" x14ac:dyDescent="0.4">
      <c r="A443">
        <v>441</v>
      </c>
      <c r="B443" t="s">
        <v>432</v>
      </c>
      <c r="C443" t="s">
        <v>432</v>
      </c>
    </row>
    <row r="444" spans="1:3" x14ac:dyDescent="0.4">
      <c r="A444">
        <v>442</v>
      </c>
      <c r="B444" t="s">
        <v>433</v>
      </c>
      <c r="C444" t="s">
        <v>433</v>
      </c>
    </row>
    <row r="445" spans="1:3" x14ac:dyDescent="0.4">
      <c r="A445">
        <v>443</v>
      </c>
      <c r="B445" t="s">
        <v>434</v>
      </c>
      <c r="C445" t="s">
        <v>434</v>
      </c>
    </row>
    <row r="446" spans="1:3" x14ac:dyDescent="0.4">
      <c r="A446">
        <v>444</v>
      </c>
      <c r="B446" t="s">
        <v>435</v>
      </c>
      <c r="C446" t="s">
        <v>435</v>
      </c>
    </row>
    <row r="447" spans="1:3" x14ac:dyDescent="0.4">
      <c r="A447">
        <v>445</v>
      </c>
      <c r="B447" t="s">
        <v>436</v>
      </c>
      <c r="C447" t="s">
        <v>436</v>
      </c>
    </row>
    <row r="448" spans="1:3" x14ac:dyDescent="0.4">
      <c r="A448">
        <v>446</v>
      </c>
      <c r="B448" t="s">
        <v>437</v>
      </c>
      <c r="C448" t="s">
        <v>437</v>
      </c>
    </row>
    <row r="449" spans="1:3" x14ac:dyDescent="0.4">
      <c r="A449">
        <v>447</v>
      </c>
      <c r="B449" t="s">
        <v>438</v>
      </c>
      <c r="C449" t="s">
        <v>438</v>
      </c>
    </row>
    <row r="450" spans="1:3" x14ac:dyDescent="0.4">
      <c r="A450">
        <v>448</v>
      </c>
      <c r="B450" t="s">
        <v>439</v>
      </c>
      <c r="C450" t="s">
        <v>439</v>
      </c>
    </row>
    <row r="451" spans="1:3" x14ac:dyDescent="0.4">
      <c r="A451">
        <v>449</v>
      </c>
      <c r="B451" t="s">
        <v>440</v>
      </c>
      <c r="C451" t="s">
        <v>440</v>
      </c>
    </row>
    <row r="452" spans="1:3" x14ac:dyDescent="0.4">
      <c r="A452">
        <v>450</v>
      </c>
      <c r="B452" t="s">
        <v>441</v>
      </c>
      <c r="C452" t="s">
        <v>441</v>
      </c>
    </row>
    <row r="453" spans="1:3" x14ac:dyDescent="0.4">
      <c r="A453">
        <v>451</v>
      </c>
      <c r="B453" t="s">
        <v>442</v>
      </c>
      <c r="C453" t="s">
        <v>442</v>
      </c>
    </row>
    <row r="454" spans="1:3" x14ac:dyDescent="0.4">
      <c r="A454">
        <v>452</v>
      </c>
      <c r="B454" t="s">
        <v>443</v>
      </c>
      <c r="C454" t="s">
        <v>443</v>
      </c>
    </row>
    <row r="455" spans="1:3" x14ac:dyDescent="0.4">
      <c r="A455">
        <v>453</v>
      </c>
      <c r="B455" t="s">
        <v>444</v>
      </c>
      <c r="C455" t="s">
        <v>444</v>
      </c>
    </row>
    <row r="456" spans="1:3" x14ac:dyDescent="0.4">
      <c r="A456">
        <v>454</v>
      </c>
      <c r="B456" t="s">
        <v>445</v>
      </c>
      <c r="C456" t="s">
        <v>445</v>
      </c>
    </row>
    <row r="457" spans="1:3" x14ac:dyDescent="0.4">
      <c r="A457">
        <v>455</v>
      </c>
      <c r="B457" t="s">
        <v>446</v>
      </c>
      <c r="C457" t="s">
        <v>446</v>
      </c>
    </row>
    <row r="458" spans="1:3" x14ac:dyDescent="0.4">
      <c r="A458">
        <v>456</v>
      </c>
      <c r="B458" t="s">
        <v>447</v>
      </c>
      <c r="C458" t="s">
        <v>447</v>
      </c>
    </row>
    <row r="459" spans="1:3" x14ac:dyDescent="0.4">
      <c r="A459">
        <v>457</v>
      </c>
      <c r="B459" t="s">
        <v>448</v>
      </c>
      <c r="C459" t="s">
        <v>448</v>
      </c>
    </row>
    <row r="460" spans="1:3" x14ac:dyDescent="0.4">
      <c r="A460">
        <v>458</v>
      </c>
      <c r="B460" t="s">
        <v>449</v>
      </c>
      <c r="C460" t="s">
        <v>449</v>
      </c>
    </row>
    <row r="461" spans="1:3" x14ac:dyDescent="0.4">
      <c r="A461">
        <v>459</v>
      </c>
      <c r="B461" t="s">
        <v>450</v>
      </c>
      <c r="C461" t="s">
        <v>450</v>
      </c>
    </row>
    <row r="462" spans="1:3" x14ac:dyDescent="0.4">
      <c r="A462">
        <v>460</v>
      </c>
      <c r="B462" t="s">
        <v>451</v>
      </c>
      <c r="C462" t="s">
        <v>451</v>
      </c>
    </row>
    <row r="463" spans="1:3" x14ac:dyDescent="0.4">
      <c r="A463">
        <v>461</v>
      </c>
      <c r="B463" t="s">
        <v>452</v>
      </c>
      <c r="C463" t="s">
        <v>452</v>
      </c>
    </row>
    <row r="464" spans="1:3" x14ac:dyDescent="0.4">
      <c r="A464">
        <v>462</v>
      </c>
      <c r="B464" t="s">
        <v>453</v>
      </c>
      <c r="C464" t="s">
        <v>453</v>
      </c>
    </row>
    <row r="465" spans="1:3" x14ac:dyDescent="0.4">
      <c r="A465">
        <v>463</v>
      </c>
      <c r="B465" t="s">
        <v>454</v>
      </c>
      <c r="C465" t="s">
        <v>454</v>
      </c>
    </row>
    <row r="466" spans="1:3" x14ac:dyDescent="0.4">
      <c r="A466">
        <v>464</v>
      </c>
      <c r="B466" t="s">
        <v>455</v>
      </c>
      <c r="C466" t="s">
        <v>455</v>
      </c>
    </row>
    <row r="467" spans="1:3" x14ac:dyDescent="0.4">
      <c r="A467">
        <v>465</v>
      </c>
      <c r="B467" t="s">
        <v>456</v>
      </c>
      <c r="C467" t="s">
        <v>456</v>
      </c>
    </row>
    <row r="468" spans="1:3" x14ac:dyDescent="0.4">
      <c r="A468">
        <v>466</v>
      </c>
      <c r="B468" t="s">
        <v>457</v>
      </c>
      <c r="C468" t="s">
        <v>457</v>
      </c>
    </row>
    <row r="469" spans="1:3" x14ac:dyDescent="0.4">
      <c r="A469">
        <v>467</v>
      </c>
      <c r="B469" t="s">
        <v>458</v>
      </c>
      <c r="C469" t="s">
        <v>458</v>
      </c>
    </row>
    <row r="470" spans="1:3" x14ac:dyDescent="0.4">
      <c r="A470">
        <v>468</v>
      </c>
      <c r="B470" t="s">
        <v>459</v>
      </c>
      <c r="C470" t="s">
        <v>459</v>
      </c>
    </row>
    <row r="471" spans="1:3" x14ac:dyDescent="0.4">
      <c r="A471">
        <v>469</v>
      </c>
      <c r="B471" t="s">
        <v>460</v>
      </c>
      <c r="C471" t="s">
        <v>460</v>
      </c>
    </row>
    <row r="472" spans="1:3" x14ac:dyDescent="0.4">
      <c r="A472">
        <v>470</v>
      </c>
      <c r="B472" t="s">
        <v>461</v>
      </c>
      <c r="C472" t="s">
        <v>461</v>
      </c>
    </row>
    <row r="473" spans="1:3" x14ac:dyDescent="0.4">
      <c r="A473">
        <v>471</v>
      </c>
      <c r="B473" t="s">
        <v>462</v>
      </c>
      <c r="C473" t="s">
        <v>462</v>
      </c>
    </row>
    <row r="474" spans="1:3" x14ac:dyDescent="0.4">
      <c r="A474">
        <v>472</v>
      </c>
      <c r="B474" t="s">
        <v>463</v>
      </c>
      <c r="C474" t="s">
        <v>463</v>
      </c>
    </row>
    <row r="475" spans="1:3" x14ac:dyDescent="0.4">
      <c r="A475">
        <v>473</v>
      </c>
      <c r="B475" t="s">
        <v>464</v>
      </c>
      <c r="C475" t="s">
        <v>464</v>
      </c>
    </row>
    <row r="476" spans="1:3" x14ac:dyDescent="0.4">
      <c r="A476">
        <v>474</v>
      </c>
      <c r="B476" t="s">
        <v>465</v>
      </c>
      <c r="C476" t="s">
        <v>465</v>
      </c>
    </row>
    <row r="477" spans="1:3" x14ac:dyDescent="0.4">
      <c r="A477">
        <v>475</v>
      </c>
      <c r="B477" t="s">
        <v>466</v>
      </c>
      <c r="C477" t="s">
        <v>466</v>
      </c>
    </row>
    <row r="478" spans="1:3" x14ac:dyDescent="0.4">
      <c r="A478">
        <v>476</v>
      </c>
      <c r="B478" t="s">
        <v>467</v>
      </c>
      <c r="C478" t="s">
        <v>467</v>
      </c>
    </row>
    <row r="479" spans="1:3" x14ac:dyDescent="0.4">
      <c r="A479">
        <v>477</v>
      </c>
      <c r="B479" t="s">
        <v>468</v>
      </c>
      <c r="C479" t="s">
        <v>468</v>
      </c>
    </row>
    <row r="480" spans="1:3" x14ac:dyDescent="0.4">
      <c r="A480">
        <v>478</v>
      </c>
      <c r="B480" t="s">
        <v>469</v>
      </c>
      <c r="C480" t="s">
        <v>469</v>
      </c>
    </row>
    <row r="481" spans="1:3" x14ac:dyDescent="0.4">
      <c r="A481">
        <v>479</v>
      </c>
      <c r="B481" t="s">
        <v>470</v>
      </c>
      <c r="C481" t="s">
        <v>470</v>
      </c>
    </row>
    <row r="482" spans="1:3" x14ac:dyDescent="0.4">
      <c r="A482">
        <v>480</v>
      </c>
      <c r="B482" t="s">
        <v>471</v>
      </c>
      <c r="C482" t="s">
        <v>471</v>
      </c>
    </row>
    <row r="483" spans="1:3" x14ac:dyDescent="0.4">
      <c r="A483">
        <v>481</v>
      </c>
      <c r="B483" t="s">
        <v>472</v>
      </c>
      <c r="C483" t="s">
        <v>472</v>
      </c>
    </row>
    <row r="484" spans="1:3" x14ac:dyDescent="0.4">
      <c r="A484">
        <v>482</v>
      </c>
      <c r="B484" t="s">
        <v>473</v>
      </c>
      <c r="C484" t="s">
        <v>473</v>
      </c>
    </row>
    <row r="485" spans="1:3" x14ac:dyDescent="0.4">
      <c r="A485">
        <v>483</v>
      </c>
      <c r="B485" t="s">
        <v>474</v>
      </c>
      <c r="C485" t="s">
        <v>474</v>
      </c>
    </row>
    <row r="486" spans="1:3" x14ac:dyDescent="0.4">
      <c r="A486">
        <v>484</v>
      </c>
      <c r="B486" t="s">
        <v>475</v>
      </c>
      <c r="C486" t="s">
        <v>475</v>
      </c>
    </row>
    <row r="487" spans="1:3" x14ac:dyDescent="0.4">
      <c r="A487">
        <v>485</v>
      </c>
      <c r="B487" t="s">
        <v>476</v>
      </c>
      <c r="C487" t="s">
        <v>476</v>
      </c>
    </row>
    <row r="488" spans="1:3" x14ac:dyDescent="0.4">
      <c r="A488">
        <v>486</v>
      </c>
      <c r="B488" t="s">
        <v>477</v>
      </c>
      <c r="C488" t="s">
        <v>477</v>
      </c>
    </row>
    <row r="489" spans="1:3" x14ac:dyDescent="0.4">
      <c r="A489">
        <v>487</v>
      </c>
      <c r="B489" t="s">
        <v>478</v>
      </c>
      <c r="C489" t="s">
        <v>478</v>
      </c>
    </row>
    <row r="490" spans="1:3" x14ac:dyDescent="0.4">
      <c r="A490">
        <v>488</v>
      </c>
      <c r="B490" t="s">
        <v>479</v>
      </c>
      <c r="C490" t="s">
        <v>479</v>
      </c>
    </row>
    <row r="491" spans="1:3" x14ac:dyDescent="0.4">
      <c r="A491">
        <v>489</v>
      </c>
      <c r="B491" t="s">
        <v>480</v>
      </c>
      <c r="C491" t="s">
        <v>480</v>
      </c>
    </row>
    <row r="492" spans="1:3" x14ac:dyDescent="0.4">
      <c r="A492">
        <v>490</v>
      </c>
      <c r="B492" t="s">
        <v>481</v>
      </c>
      <c r="C492" t="s">
        <v>481</v>
      </c>
    </row>
    <row r="493" spans="1:3" x14ac:dyDescent="0.4">
      <c r="A493">
        <v>491</v>
      </c>
      <c r="B493" t="s">
        <v>482</v>
      </c>
      <c r="C493" t="s">
        <v>482</v>
      </c>
    </row>
    <row r="494" spans="1:3" x14ac:dyDescent="0.4">
      <c r="A494">
        <v>492</v>
      </c>
      <c r="B494" t="s">
        <v>483</v>
      </c>
      <c r="C494" t="s">
        <v>483</v>
      </c>
    </row>
    <row r="495" spans="1:3" x14ac:dyDescent="0.4">
      <c r="A495">
        <v>493</v>
      </c>
      <c r="B495" t="s">
        <v>484</v>
      </c>
      <c r="C495" t="s">
        <v>484</v>
      </c>
    </row>
    <row r="496" spans="1:3" x14ac:dyDescent="0.4">
      <c r="A496">
        <v>494</v>
      </c>
      <c r="B496" t="s">
        <v>485</v>
      </c>
      <c r="C496" t="s">
        <v>485</v>
      </c>
    </row>
    <row r="497" spans="1:3" x14ac:dyDescent="0.4">
      <c r="A497">
        <v>495</v>
      </c>
      <c r="B497" t="s">
        <v>486</v>
      </c>
      <c r="C497" t="s">
        <v>486</v>
      </c>
    </row>
    <row r="498" spans="1:3" x14ac:dyDescent="0.4">
      <c r="A498">
        <v>496</v>
      </c>
      <c r="B498" t="s">
        <v>487</v>
      </c>
      <c r="C498" t="s">
        <v>487</v>
      </c>
    </row>
    <row r="499" spans="1:3" x14ac:dyDescent="0.4">
      <c r="A499">
        <v>497</v>
      </c>
      <c r="B499" t="s">
        <v>488</v>
      </c>
      <c r="C499" t="s">
        <v>488</v>
      </c>
    </row>
    <row r="500" spans="1:3" x14ac:dyDescent="0.4">
      <c r="A500">
        <v>498</v>
      </c>
      <c r="B500" t="s">
        <v>489</v>
      </c>
      <c r="C500" t="s">
        <v>489</v>
      </c>
    </row>
    <row r="501" spans="1:3" x14ac:dyDescent="0.4">
      <c r="A501">
        <v>499</v>
      </c>
      <c r="B501" t="s">
        <v>490</v>
      </c>
      <c r="C501" t="s">
        <v>490</v>
      </c>
    </row>
    <row r="502" spans="1:3" x14ac:dyDescent="0.4">
      <c r="A502">
        <v>500</v>
      </c>
      <c r="B502" t="s">
        <v>491</v>
      </c>
      <c r="C502" t="s">
        <v>491</v>
      </c>
    </row>
    <row r="503" spans="1:3" x14ac:dyDescent="0.4">
      <c r="A503">
        <v>501</v>
      </c>
      <c r="B503" t="s">
        <v>492</v>
      </c>
      <c r="C503" t="s">
        <v>492</v>
      </c>
    </row>
    <row r="504" spans="1:3" x14ac:dyDescent="0.4">
      <c r="A504">
        <v>502</v>
      </c>
      <c r="B504" t="s">
        <v>493</v>
      </c>
      <c r="C504" t="s">
        <v>493</v>
      </c>
    </row>
    <row r="505" spans="1:3" x14ac:dyDescent="0.4">
      <c r="A505">
        <v>503</v>
      </c>
      <c r="B505" t="s">
        <v>494</v>
      </c>
      <c r="C505" t="s">
        <v>494</v>
      </c>
    </row>
    <row r="506" spans="1:3" x14ac:dyDescent="0.4">
      <c r="A506">
        <v>504</v>
      </c>
      <c r="B506" t="s">
        <v>495</v>
      </c>
      <c r="C506" t="s">
        <v>495</v>
      </c>
    </row>
    <row r="507" spans="1:3" x14ac:dyDescent="0.4">
      <c r="A507">
        <v>505</v>
      </c>
      <c r="B507" t="s">
        <v>496</v>
      </c>
      <c r="C507" t="s">
        <v>496</v>
      </c>
    </row>
    <row r="508" spans="1:3" x14ac:dyDescent="0.4">
      <c r="A508">
        <v>506</v>
      </c>
      <c r="B508" t="s">
        <v>497</v>
      </c>
      <c r="C508" t="s">
        <v>497</v>
      </c>
    </row>
    <row r="509" spans="1:3" x14ac:dyDescent="0.4">
      <c r="A509">
        <v>507</v>
      </c>
      <c r="B509" t="s">
        <v>498</v>
      </c>
      <c r="C509" t="s">
        <v>498</v>
      </c>
    </row>
    <row r="510" spans="1:3" x14ac:dyDescent="0.4">
      <c r="A510">
        <v>508</v>
      </c>
      <c r="B510" t="s">
        <v>499</v>
      </c>
      <c r="C510" t="s">
        <v>499</v>
      </c>
    </row>
    <row r="511" spans="1:3" x14ac:dyDescent="0.4">
      <c r="A511">
        <v>509</v>
      </c>
      <c r="B511" t="s">
        <v>500</v>
      </c>
      <c r="C511" t="s">
        <v>500</v>
      </c>
    </row>
    <row r="512" spans="1:3" x14ac:dyDescent="0.4">
      <c r="A512">
        <v>510</v>
      </c>
      <c r="B512" t="s">
        <v>501</v>
      </c>
      <c r="C512" t="s">
        <v>501</v>
      </c>
    </row>
    <row r="513" spans="1:3" x14ac:dyDescent="0.4">
      <c r="A513">
        <v>511</v>
      </c>
      <c r="B513" t="s">
        <v>502</v>
      </c>
      <c r="C513" t="s">
        <v>502</v>
      </c>
    </row>
    <row r="514" spans="1:3" x14ac:dyDescent="0.4">
      <c r="A514">
        <v>512</v>
      </c>
      <c r="B514" t="s">
        <v>503</v>
      </c>
      <c r="C514" t="s">
        <v>503</v>
      </c>
    </row>
    <row r="515" spans="1:3" x14ac:dyDescent="0.4">
      <c r="A515">
        <v>513</v>
      </c>
      <c r="B515" t="s">
        <v>504</v>
      </c>
      <c r="C515" t="s">
        <v>504</v>
      </c>
    </row>
    <row r="516" spans="1:3" x14ac:dyDescent="0.4">
      <c r="A516">
        <v>514</v>
      </c>
      <c r="B516" t="s">
        <v>505</v>
      </c>
      <c r="C516" t="s">
        <v>505</v>
      </c>
    </row>
    <row r="517" spans="1:3" x14ac:dyDescent="0.4">
      <c r="A517">
        <v>515</v>
      </c>
      <c r="B517" t="s">
        <v>506</v>
      </c>
      <c r="C517" t="s">
        <v>506</v>
      </c>
    </row>
    <row r="518" spans="1:3" x14ac:dyDescent="0.4">
      <c r="A518">
        <v>516</v>
      </c>
      <c r="B518" t="s">
        <v>507</v>
      </c>
      <c r="C518" t="s">
        <v>507</v>
      </c>
    </row>
    <row r="519" spans="1:3" x14ac:dyDescent="0.4">
      <c r="A519">
        <v>517</v>
      </c>
      <c r="B519" t="s">
        <v>508</v>
      </c>
      <c r="C519" t="s">
        <v>508</v>
      </c>
    </row>
    <row r="520" spans="1:3" x14ac:dyDescent="0.4">
      <c r="A520">
        <v>518</v>
      </c>
      <c r="B520" t="s">
        <v>509</v>
      </c>
      <c r="C520" t="s">
        <v>509</v>
      </c>
    </row>
    <row r="521" spans="1:3" x14ac:dyDescent="0.4">
      <c r="A521">
        <v>519</v>
      </c>
      <c r="B521" t="s">
        <v>510</v>
      </c>
      <c r="C521" t="s">
        <v>510</v>
      </c>
    </row>
    <row r="522" spans="1:3" x14ac:dyDescent="0.4">
      <c r="A522">
        <v>520</v>
      </c>
      <c r="B522" t="s">
        <v>511</v>
      </c>
      <c r="C522" t="s">
        <v>511</v>
      </c>
    </row>
    <row r="523" spans="1:3" x14ac:dyDescent="0.4">
      <c r="A523">
        <v>521</v>
      </c>
      <c r="B523" t="s">
        <v>512</v>
      </c>
      <c r="C523" t="s">
        <v>512</v>
      </c>
    </row>
    <row r="524" spans="1:3" x14ac:dyDescent="0.4">
      <c r="A524">
        <v>522</v>
      </c>
      <c r="B524" t="s">
        <v>513</v>
      </c>
      <c r="C524" t="s">
        <v>513</v>
      </c>
    </row>
    <row r="525" spans="1:3" x14ac:dyDescent="0.4">
      <c r="A525">
        <v>523</v>
      </c>
      <c r="B525" t="s">
        <v>514</v>
      </c>
      <c r="C525" t="s">
        <v>514</v>
      </c>
    </row>
    <row r="526" spans="1:3" x14ac:dyDescent="0.4">
      <c r="A526">
        <v>524</v>
      </c>
      <c r="B526" t="s">
        <v>515</v>
      </c>
      <c r="C526" t="s">
        <v>515</v>
      </c>
    </row>
    <row r="527" spans="1:3" x14ac:dyDescent="0.4">
      <c r="A527">
        <v>525</v>
      </c>
      <c r="B527" t="s">
        <v>516</v>
      </c>
      <c r="C527" t="s">
        <v>516</v>
      </c>
    </row>
    <row r="528" spans="1:3" x14ac:dyDescent="0.4">
      <c r="A528">
        <v>526</v>
      </c>
      <c r="B528" t="s">
        <v>517</v>
      </c>
      <c r="C528" t="s">
        <v>517</v>
      </c>
    </row>
    <row r="529" spans="1:3" x14ac:dyDescent="0.4">
      <c r="A529">
        <v>527</v>
      </c>
      <c r="B529" t="s">
        <v>518</v>
      </c>
      <c r="C529" t="s">
        <v>518</v>
      </c>
    </row>
    <row r="530" spans="1:3" x14ac:dyDescent="0.4">
      <c r="A530">
        <v>528</v>
      </c>
      <c r="B530" t="s">
        <v>519</v>
      </c>
      <c r="C530" t="s">
        <v>519</v>
      </c>
    </row>
    <row r="531" spans="1:3" x14ac:dyDescent="0.4">
      <c r="A531">
        <v>529</v>
      </c>
      <c r="B531" t="s">
        <v>520</v>
      </c>
      <c r="C531" t="s">
        <v>520</v>
      </c>
    </row>
    <row r="532" spans="1:3" x14ac:dyDescent="0.4">
      <c r="A532">
        <v>530</v>
      </c>
      <c r="B532" t="s">
        <v>521</v>
      </c>
      <c r="C532" t="s">
        <v>521</v>
      </c>
    </row>
    <row r="533" spans="1:3" x14ac:dyDescent="0.4">
      <c r="A533">
        <v>531</v>
      </c>
      <c r="B533" t="s">
        <v>522</v>
      </c>
      <c r="C533" t="s">
        <v>522</v>
      </c>
    </row>
    <row r="534" spans="1:3" x14ac:dyDescent="0.4">
      <c r="A534">
        <v>532</v>
      </c>
      <c r="B534" t="s">
        <v>523</v>
      </c>
      <c r="C534" t="s">
        <v>523</v>
      </c>
    </row>
    <row r="535" spans="1:3" x14ac:dyDescent="0.4">
      <c r="A535">
        <v>533</v>
      </c>
      <c r="B535" t="s">
        <v>524</v>
      </c>
      <c r="C535" t="s">
        <v>524</v>
      </c>
    </row>
    <row r="536" spans="1:3" x14ac:dyDescent="0.4">
      <c r="A536">
        <v>534</v>
      </c>
      <c r="B536" t="s">
        <v>525</v>
      </c>
      <c r="C536" t="s">
        <v>525</v>
      </c>
    </row>
    <row r="537" spans="1:3" x14ac:dyDescent="0.4">
      <c r="A537">
        <v>535</v>
      </c>
      <c r="B537" t="s">
        <v>526</v>
      </c>
      <c r="C537" t="s">
        <v>526</v>
      </c>
    </row>
    <row r="538" spans="1:3" x14ac:dyDescent="0.4">
      <c r="A538">
        <v>536</v>
      </c>
      <c r="B538" t="s">
        <v>527</v>
      </c>
      <c r="C538" t="s">
        <v>527</v>
      </c>
    </row>
    <row r="539" spans="1:3" x14ac:dyDescent="0.4">
      <c r="A539">
        <v>537</v>
      </c>
      <c r="B539" t="s">
        <v>528</v>
      </c>
      <c r="C539" t="s">
        <v>528</v>
      </c>
    </row>
    <row r="540" spans="1:3" x14ac:dyDescent="0.4">
      <c r="A540">
        <v>538</v>
      </c>
      <c r="B540" t="s">
        <v>529</v>
      </c>
      <c r="C540" t="s">
        <v>529</v>
      </c>
    </row>
    <row r="541" spans="1:3" x14ac:dyDescent="0.4">
      <c r="A541">
        <v>539</v>
      </c>
      <c r="B541" t="s">
        <v>530</v>
      </c>
      <c r="C541" t="s">
        <v>530</v>
      </c>
    </row>
    <row r="542" spans="1:3" x14ac:dyDescent="0.4">
      <c r="A542">
        <v>540</v>
      </c>
      <c r="B542" t="s">
        <v>531</v>
      </c>
      <c r="C542" t="s">
        <v>531</v>
      </c>
    </row>
    <row r="543" spans="1:3" x14ac:dyDescent="0.4">
      <c r="A543">
        <v>541</v>
      </c>
      <c r="B543" t="s">
        <v>532</v>
      </c>
      <c r="C543" t="s">
        <v>532</v>
      </c>
    </row>
    <row r="544" spans="1:3" x14ac:dyDescent="0.4">
      <c r="A544">
        <v>542</v>
      </c>
      <c r="B544" t="s">
        <v>533</v>
      </c>
      <c r="C544" t="s">
        <v>533</v>
      </c>
    </row>
    <row r="545" spans="1:3" x14ac:dyDescent="0.4">
      <c r="A545">
        <v>543</v>
      </c>
      <c r="B545" t="s">
        <v>534</v>
      </c>
      <c r="C545" t="s">
        <v>534</v>
      </c>
    </row>
    <row r="546" spans="1:3" x14ac:dyDescent="0.4">
      <c r="A546">
        <v>544</v>
      </c>
      <c r="B546" t="s">
        <v>535</v>
      </c>
      <c r="C546" t="s">
        <v>535</v>
      </c>
    </row>
    <row r="547" spans="1:3" x14ac:dyDescent="0.4">
      <c r="A547">
        <v>545</v>
      </c>
      <c r="B547" t="s">
        <v>536</v>
      </c>
      <c r="C547" t="s">
        <v>536</v>
      </c>
    </row>
    <row r="548" spans="1:3" x14ac:dyDescent="0.4">
      <c r="A548">
        <v>546</v>
      </c>
      <c r="B548" t="s">
        <v>537</v>
      </c>
      <c r="C548" t="s">
        <v>537</v>
      </c>
    </row>
    <row r="549" spans="1:3" x14ac:dyDescent="0.4">
      <c r="A549">
        <v>547</v>
      </c>
      <c r="B549" t="s">
        <v>538</v>
      </c>
      <c r="C549" t="s">
        <v>538</v>
      </c>
    </row>
    <row r="550" spans="1:3" x14ac:dyDescent="0.4">
      <c r="A550">
        <v>548</v>
      </c>
      <c r="B550" t="s">
        <v>539</v>
      </c>
      <c r="C550" t="s">
        <v>539</v>
      </c>
    </row>
    <row r="551" spans="1:3" x14ac:dyDescent="0.4">
      <c r="A551">
        <v>549</v>
      </c>
      <c r="B551" t="s">
        <v>540</v>
      </c>
      <c r="C551" t="s">
        <v>540</v>
      </c>
    </row>
    <row r="552" spans="1:3" x14ac:dyDescent="0.4">
      <c r="A552">
        <v>550</v>
      </c>
      <c r="B552" t="s">
        <v>541</v>
      </c>
      <c r="C552" t="s">
        <v>541</v>
      </c>
    </row>
    <row r="553" spans="1:3" x14ac:dyDescent="0.4">
      <c r="A553">
        <v>551</v>
      </c>
      <c r="B553" t="s">
        <v>542</v>
      </c>
      <c r="C553" t="s">
        <v>542</v>
      </c>
    </row>
    <row r="554" spans="1:3" x14ac:dyDescent="0.4">
      <c r="A554">
        <v>552</v>
      </c>
      <c r="B554" t="s">
        <v>543</v>
      </c>
      <c r="C554" t="s">
        <v>543</v>
      </c>
    </row>
    <row r="555" spans="1:3" x14ac:dyDescent="0.4">
      <c r="A555">
        <v>553</v>
      </c>
      <c r="B555" t="s">
        <v>544</v>
      </c>
      <c r="C555" t="s">
        <v>544</v>
      </c>
    </row>
    <row r="556" spans="1:3" x14ac:dyDescent="0.4">
      <c r="A556">
        <v>554</v>
      </c>
      <c r="B556" t="s">
        <v>545</v>
      </c>
      <c r="C556" t="s">
        <v>545</v>
      </c>
    </row>
    <row r="557" spans="1:3" x14ac:dyDescent="0.4">
      <c r="A557">
        <v>555</v>
      </c>
      <c r="B557" t="s">
        <v>546</v>
      </c>
      <c r="C557" t="s">
        <v>546</v>
      </c>
    </row>
    <row r="558" spans="1:3" x14ac:dyDescent="0.4">
      <c r="A558">
        <v>556</v>
      </c>
      <c r="B558" t="s">
        <v>547</v>
      </c>
      <c r="C558" t="s">
        <v>547</v>
      </c>
    </row>
    <row r="559" spans="1:3" x14ac:dyDescent="0.4">
      <c r="A559">
        <v>557</v>
      </c>
      <c r="B559" t="s">
        <v>548</v>
      </c>
      <c r="C559" t="s">
        <v>548</v>
      </c>
    </row>
    <row r="560" spans="1:3" x14ac:dyDescent="0.4">
      <c r="A560">
        <v>558</v>
      </c>
      <c r="B560" t="s">
        <v>549</v>
      </c>
      <c r="C560" t="s">
        <v>549</v>
      </c>
    </row>
    <row r="561" spans="1:3" x14ac:dyDescent="0.4">
      <c r="A561">
        <v>559</v>
      </c>
      <c r="B561" t="s">
        <v>550</v>
      </c>
      <c r="C561" t="s">
        <v>550</v>
      </c>
    </row>
    <row r="562" spans="1:3" x14ac:dyDescent="0.4">
      <c r="A562">
        <v>560</v>
      </c>
      <c r="B562" t="s">
        <v>551</v>
      </c>
      <c r="C562" t="s">
        <v>551</v>
      </c>
    </row>
    <row r="563" spans="1:3" x14ac:dyDescent="0.4">
      <c r="A563">
        <v>561</v>
      </c>
      <c r="B563" t="s">
        <v>552</v>
      </c>
      <c r="C563" t="s">
        <v>552</v>
      </c>
    </row>
    <row r="564" spans="1:3" x14ac:dyDescent="0.4">
      <c r="A564">
        <v>562</v>
      </c>
      <c r="B564" t="s">
        <v>553</v>
      </c>
      <c r="C564" t="s">
        <v>553</v>
      </c>
    </row>
    <row r="565" spans="1:3" x14ac:dyDescent="0.4">
      <c r="A565">
        <v>563</v>
      </c>
      <c r="B565" t="s">
        <v>554</v>
      </c>
      <c r="C565" t="s">
        <v>554</v>
      </c>
    </row>
    <row r="566" spans="1:3" x14ac:dyDescent="0.4">
      <c r="A566">
        <v>564</v>
      </c>
      <c r="B566" t="s">
        <v>555</v>
      </c>
      <c r="C566" t="s">
        <v>555</v>
      </c>
    </row>
    <row r="567" spans="1:3" x14ac:dyDescent="0.4">
      <c r="A567">
        <v>565</v>
      </c>
      <c r="B567" t="s">
        <v>556</v>
      </c>
      <c r="C567" t="s">
        <v>556</v>
      </c>
    </row>
    <row r="568" spans="1:3" x14ac:dyDescent="0.4">
      <c r="A568">
        <v>566</v>
      </c>
      <c r="B568" t="s">
        <v>557</v>
      </c>
      <c r="C568" t="s">
        <v>557</v>
      </c>
    </row>
    <row r="569" spans="1:3" x14ac:dyDescent="0.4">
      <c r="A569">
        <v>567</v>
      </c>
      <c r="B569" t="s">
        <v>558</v>
      </c>
      <c r="C569" t="s">
        <v>558</v>
      </c>
    </row>
    <row r="570" spans="1:3" x14ac:dyDescent="0.4">
      <c r="A570">
        <v>568</v>
      </c>
      <c r="B570" t="s">
        <v>559</v>
      </c>
      <c r="C570" t="s">
        <v>559</v>
      </c>
    </row>
    <row r="571" spans="1:3" x14ac:dyDescent="0.4">
      <c r="A571">
        <v>569</v>
      </c>
      <c r="B571" t="s">
        <v>560</v>
      </c>
      <c r="C571" t="s">
        <v>560</v>
      </c>
    </row>
    <row r="572" spans="1:3" x14ac:dyDescent="0.4">
      <c r="A572">
        <v>570</v>
      </c>
      <c r="B572" t="s">
        <v>561</v>
      </c>
      <c r="C572" t="s">
        <v>561</v>
      </c>
    </row>
    <row r="573" spans="1:3" x14ac:dyDescent="0.4">
      <c r="A573">
        <v>571</v>
      </c>
      <c r="B573" t="s">
        <v>562</v>
      </c>
      <c r="C573" t="s">
        <v>562</v>
      </c>
    </row>
    <row r="574" spans="1:3" x14ac:dyDescent="0.4">
      <c r="A574">
        <v>572</v>
      </c>
      <c r="B574" t="s">
        <v>563</v>
      </c>
      <c r="C574" t="s">
        <v>563</v>
      </c>
    </row>
    <row r="575" spans="1:3" x14ac:dyDescent="0.4">
      <c r="A575">
        <v>573</v>
      </c>
      <c r="B575" t="s">
        <v>564</v>
      </c>
      <c r="C575" t="s">
        <v>564</v>
      </c>
    </row>
    <row r="576" spans="1:3" x14ac:dyDescent="0.4">
      <c r="A576">
        <v>574</v>
      </c>
      <c r="B576" t="s">
        <v>565</v>
      </c>
      <c r="C576" t="s">
        <v>565</v>
      </c>
    </row>
    <row r="577" spans="1:3" x14ac:dyDescent="0.4">
      <c r="A577">
        <v>575</v>
      </c>
      <c r="B577" t="s">
        <v>566</v>
      </c>
      <c r="C577" t="s">
        <v>566</v>
      </c>
    </row>
    <row r="578" spans="1:3" x14ac:dyDescent="0.4">
      <c r="A578">
        <v>576</v>
      </c>
      <c r="B578" t="s">
        <v>567</v>
      </c>
      <c r="C578" t="s">
        <v>567</v>
      </c>
    </row>
    <row r="579" spans="1:3" x14ac:dyDescent="0.4">
      <c r="A579">
        <v>577</v>
      </c>
      <c r="B579" t="s">
        <v>568</v>
      </c>
      <c r="C579" t="s">
        <v>568</v>
      </c>
    </row>
    <row r="580" spans="1:3" x14ac:dyDescent="0.4">
      <c r="A580">
        <v>578</v>
      </c>
      <c r="B580" t="s">
        <v>569</v>
      </c>
      <c r="C580" t="s">
        <v>569</v>
      </c>
    </row>
    <row r="581" spans="1:3" x14ac:dyDescent="0.4">
      <c r="A581">
        <v>579</v>
      </c>
      <c r="B581" t="s">
        <v>570</v>
      </c>
      <c r="C581" t="s">
        <v>570</v>
      </c>
    </row>
    <row r="582" spans="1:3" x14ac:dyDescent="0.4">
      <c r="A582">
        <v>580</v>
      </c>
      <c r="B582" t="s">
        <v>571</v>
      </c>
      <c r="C582" t="s">
        <v>571</v>
      </c>
    </row>
    <row r="583" spans="1:3" x14ac:dyDescent="0.4">
      <c r="A583">
        <v>581</v>
      </c>
      <c r="B583" t="s">
        <v>572</v>
      </c>
      <c r="C583" t="s">
        <v>572</v>
      </c>
    </row>
    <row r="584" spans="1:3" x14ac:dyDescent="0.4">
      <c r="A584">
        <v>582</v>
      </c>
      <c r="B584" t="s">
        <v>573</v>
      </c>
      <c r="C584" t="s">
        <v>573</v>
      </c>
    </row>
    <row r="585" spans="1:3" x14ac:dyDescent="0.4">
      <c r="A585">
        <v>583</v>
      </c>
      <c r="B585" t="s">
        <v>574</v>
      </c>
      <c r="C585" t="s">
        <v>574</v>
      </c>
    </row>
    <row r="586" spans="1:3" x14ac:dyDescent="0.4">
      <c r="A586">
        <v>584</v>
      </c>
      <c r="B586" t="s">
        <v>575</v>
      </c>
      <c r="C586" t="s">
        <v>575</v>
      </c>
    </row>
    <row r="587" spans="1:3" x14ac:dyDescent="0.4">
      <c r="A587">
        <v>585</v>
      </c>
      <c r="B587" t="s">
        <v>576</v>
      </c>
      <c r="C587" t="s">
        <v>576</v>
      </c>
    </row>
    <row r="588" spans="1:3" x14ac:dyDescent="0.4">
      <c r="A588">
        <v>586</v>
      </c>
      <c r="B588" t="s">
        <v>577</v>
      </c>
      <c r="C588" t="s">
        <v>577</v>
      </c>
    </row>
    <row r="589" spans="1:3" x14ac:dyDescent="0.4">
      <c r="A589">
        <v>587</v>
      </c>
      <c r="B589" t="s">
        <v>578</v>
      </c>
      <c r="C589" t="s">
        <v>578</v>
      </c>
    </row>
    <row r="590" spans="1:3" x14ac:dyDescent="0.4">
      <c r="A590">
        <v>588</v>
      </c>
      <c r="B590" t="s">
        <v>579</v>
      </c>
      <c r="C590" t="s">
        <v>579</v>
      </c>
    </row>
    <row r="591" spans="1:3" x14ac:dyDescent="0.4">
      <c r="A591">
        <v>589</v>
      </c>
      <c r="B591" t="s">
        <v>580</v>
      </c>
      <c r="C591" t="s">
        <v>580</v>
      </c>
    </row>
    <row r="592" spans="1:3" x14ac:dyDescent="0.4">
      <c r="A592">
        <v>590</v>
      </c>
      <c r="B592" t="s">
        <v>581</v>
      </c>
      <c r="C592" t="s">
        <v>581</v>
      </c>
    </row>
    <row r="593" spans="1:3" x14ac:dyDescent="0.4">
      <c r="A593">
        <v>591</v>
      </c>
      <c r="B593" t="s">
        <v>582</v>
      </c>
      <c r="C593" t="s">
        <v>582</v>
      </c>
    </row>
    <row r="594" spans="1:3" x14ac:dyDescent="0.4">
      <c r="A594">
        <v>592</v>
      </c>
      <c r="B594" t="s">
        <v>583</v>
      </c>
      <c r="C594" t="s">
        <v>583</v>
      </c>
    </row>
    <row r="595" spans="1:3" x14ac:dyDescent="0.4">
      <c r="A595">
        <v>593</v>
      </c>
      <c r="B595" t="s">
        <v>584</v>
      </c>
      <c r="C595" t="s">
        <v>584</v>
      </c>
    </row>
    <row r="596" spans="1:3" x14ac:dyDescent="0.4">
      <c r="A596">
        <v>594</v>
      </c>
      <c r="B596" t="s">
        <v>585</v>
      </c>
      <c r="C596" t="s">
        <v>585</v>
      </c>
    </row>
    <row r="597" spans="1:3" x14ac:dyDescent="0.4">
      <c r="A597">
        <v>595</v>
      </c>
      <c r="B597" t="s">
        <v>586</v>
      </c>
      <c r="C597" t="s">
        <v>586</v>
      </c>
    </row>
    <row r="598" spans="1:3" x14ac:dyDescent="0.4">
      <c r="A598">
        <v>596</v>
      </c>
      <c r="B598" t="s">
        <v>587</v>
      </c>
      <c r="C598" t="s">
        <v>587</v>
      </c>
    </row>
    <row r="599" spans="1:3" x14ac:dyDescent="0.4">
      <c r="A599">
        <v>597</v>
      </c>
      <c r="B599" t="s">
        <v>588</v>
      </c>
      <c r="C599" t="s">
        <v>588</v>
      </c>
    </row>
    <row r="600" spans="1:3" x14ac:dyDescent="0.4">
      <c r="A600">
        <v>598</v>
      </c>
      <c r="B600" t="s">
        <v>589</v>
      </c>
      <c r="C600" t="s">
        <v>589</v>
      </c>
    </row>
    <row r="601" spans="1:3" x14ac:dyDescent="0.4">
      <c r="A601">
        <v>599</v>
      </c>
      <c r="B601" t="s">
        <v>590</v>
      </c>
      <c r="C601" t="s">
        <v>590</v>
      </c>
    </row>
    <row r="602" spans="1:3" x14ac:dyDescent="0.4">
      <c r="A602">
        <v>600</v>
      </c>
      <c r="B602" t="s">
        <v>591</v>
      </c>
      <c r="C602" t="s">
        <v>591</v>
      </c>
    </row>
    <row r="603" spans="1:3" x14ac:dyDescent="0.4">
      <c r="A603">
        <v>601</v>
      </c>
      <c r="B603" t="s">
        <v>592</v>
      </c>
      <c r="C603" t="s">
        <v>592</v>
      </c>
    </row>
    <row r="604" spans="1:3" x14ac:dyDescent="0.4">
      <c r="A604">
        <v>602</v>
      </c>
      <c r="B604" t="s">
        <v>593</v>
      </c>
      <c r="C604" t="s">
        <v>593</v>
      </c>
    </row>
    <row r="605" spans="1:3" x14ac:dyDescent="0.4">
      <c r="A605">
        <v>603</v>
      </c>
      <c r="B605" t="s">
        <v>594</v>
      </c>
      <c r="C605" t="s">
        <v>594</v>
      </c>
    </row>
    <row r="606" spans="1:3" x14ac:dyDescent="0.4">
      <c r="A606">
        <v>604</v>
      </c>
      <c r="B606" t="s">
        <v>595</v>
      </c>
      <c r="C606" t="s">
        <v>595</v>
      </c>
    </row>
    <row r="607" spans="1:3" x14ac:dyDescent="0.4">
      <c r="A607">
        <v>605</v>
      </c>
      <c r="B607" t="s">
        <v>596</v>
      </c>
      <c r="C607" t="s">
        <v>596</v>
      </c>
    </row>
    <row r="608" spans="1:3" x14ac:dyDescent="0.4">
      <c r="A608">
        <v>606</v>
      </c>
      <c r="B608" t="s">
        <v>597</v>
      </c>
      <c r="C608" t="s">
        <v>597</v>
      </c>
    </row>
    <row r="609" spans="1:3" x14ac:dyDescent="0.4">
      <c r="A609">
        <v>607</v>
      </c>
      <c r="B609" t="s">
        <v>598</v>
      </c>
      <c r="C609" t="s">
        <v>598</v>
      </c>
    </row>
    <row r="610" spans="1:3" x14ac:dyDescent="0.4">
      <c r="A610">
        <v>608</v>
      </c>
      <c r="B610" t="s">
        <v>599</v>
      </c>
      <c r="C610" t="s">
        <v>599</v>
      </c>
    </row>
    <row r="611" spans="1:3" x14ac:dyDescent="0.4">
      <c r="A611">
        <v>609</v>
      </c>
      <c r="B611" t="s">
        <v>600</v>
      </c>
      <c r="C611" t="s">
        <v>600</v>
      </c>
    </row>
    <row r="612" spans="1:3" x14ac:dyDescent="0.4">
      <c r="A612">
        <v>610</v>
      </c>
      <c r="B612" t="s">
        <v>601</v>
      </c>
      <c r="C612" t="s">
        <v>601</v>
      </c>
    </row>
    <row r="613" spans="1:3" x14ac:dyDescent="0.4">
      <c r="A613">
        <v>611</v>
      </c>
      <c r="B613" t="s">
        <v>602</v>
      </c>
      <c r="C613" t="s">
        <v>602</v>
      </c>
    </row>
    <row r="614" spans="1:3" x14ac:dyDescent="0.4">
      <c r="A614">
        <v>612</v>
      </c>
      <c r="B614" t="s">
        <v>603</v>
      </c>
      <c r="C614" t="s">
        <v>603</v>
      </c>
    </row>
    <row r="615" spans="1:3" x14ac:dyDescent="0.4">
      <c r="A615">
        <v>613</v>
      </c>
      <c r="B615" t="s">
        <v>604</v>
      </c>
      <c r="C615" t="s">
        <v>604</v>
      </c>
    </row>
    <row r="616" spans="1:3" x14ac:dyDescent="0.4">
      <c r="A616">
        <v>614</v>
      </c>
      <c r="B616" t="s">
        <v>605</v>
      </c>
      <c r="C616" t="s">
        <v>605</v>
      </c>
    </row>
    <row r="617" spans="1:3" x14ac:dyDescent="0.4">
      <c r="A617">
        <v>615</v>
      </c>
      <c r="B617" t="s">
        <v>606</v>
      </c>
      <c r="C617" t="s">
        <v>606</v>
      </c>
    </row>
    <row r="618" spans="1:3" x14ac:dyDescent="0.4">
      <c r="A618">
        <v>616</v>
      </c>
      <c r="B618" t="s">
        <v>607</v>
      </c>
      <c r="C618" t="s">
        <v>607</v>
      </c>
    </row>
    <row r="619" spans="1:3" x14ac:dyDescent="0.4">
      <c r="A619">
        <v>617</v>
      </c>
      <c r="B619" t="s">
        <v>608</v>
      </c>
      <c r="C619" t="s">
        <v>608</v>
      </c>
    </row>
    <row r="620" spans="1:3" x14ac:dyDescent="0.4">
      <c r="A620">
        <v>618</v>
      </c>
      <c r="B620" t="s">
        <v>609</v>
      </c>
      <c r="C620" t="s">
        <v>997</v>
      </c>
    </row>
    <row r="621" spans="1:3" x14ac:dyDescent="0.4">
      <c r="A621">
        <v>619</v>
      </c>
      <c r="B621" t="s">
        <v>610</v>
      </c>
      <c r="C621" t="s">
        <v>998</v>
      </c>
    </row>
    <row r="622" spans="1:3" x14ac:dyDescent="0.4">
      <c r="A622">
        <v>620</v>
      </c>
      <c r="B622" t="s">
        <v>611</v>
      </c>
      <c r="C622" t="s">
        <v>999</v>
      </c>
    </row>
    <row r="623" spans="1:3" x14ac:dyDescent="0.4">
      <c r="A623">
        <v>621</v>
      </c>
      <c r="B623" t="s">
        <v>612</v>
      </c>
      <c r="C623" t="s">
        <v>612</v>
      </c>
    </row>
    <row r="624" spans="1:3" x14ac:dyDescent="0.4">
      <c r="A624">
        <v>622</v>
      </c>
      <c r="B624" t="s">
        <v>613</v>
      </c>
      <c r="C624" t="s">
        <v>613</v>
      </c>
    </row>
    <row r="625" spans="1:3" x14ac:dyDescent="0.4">
      <c r="A625">
        <v>623</v>
      </c>
      <c r="B625" t="s">
        <v>614</v>
      </c>
      <c r="C625" t="s">
        <v>614</v>
      </c>
    </row>
    <row r="626" spans="1:3" x14ac:dyDescent="0.4">
      <c r="A626">
        <v>624</v>
      </c>
      <c r="B626" t="s">
        <v>615</v>
      </c>
      <c r="C626" t="s">
        <v>615</v>
      </c>
    </row>
    <row r="627" spans="1:3" x14ac:dyDescent="0.4">
      <c r="A627">
        <v>625</v>
      </c>
      <c r="B627" t="s">
        <v>616</v>
      </c>
      <c r="C627" t="s">
        <v>616</v>
      </c>
    </row>
    <row r="628" spans="1:3" x14ac:dyDescent="0.4">
      <c r="A628">
        <v>626</v>
      </c>
      <c r="B628" t="s">
        <v>612</v>
      </c>
      <c r="C628" t="s">
        <v>612</v>
      </c>
    </row>
    <row r="629" spans="1:3" x14ac:dyDescent="0.4">
      <c r="A629">
        <v>627</v>
      </c>
      <c r="B629" t="s">
        <v>617</v>
      </c>
      <c r="C629" t="s">
        <v>617</v>
      </c>
    </row>
    <row r="630" spans="1:3" x14ac:dyDescent="0.4">
      <c r="A630">
        <v>628</v>
      </c>
      <c r="B630" t="s">
        <v>618</v>
      </c>
      <c r="C630" t="s">
        <v>618</v>
      </c>
    </row>
    <row r="631" spans="1:3" x14ac:dyDescent="0.4">
      <c r="A631">
        <v>629</v>
      </c>
      <c r="B631" t="s">
        <v>618</v>
      </c>
      <c r="C631" t="s">
        <v>618</v>
      </c>
    </row>
    <row r="632" spans="1:3" x14ac:dyDescent="0.4">
      <c r="A632">
        <v>630</v>
      </c>
      <c r="B632" t="s">
        <v>619</v>
      </c>
      <c r="C632" t="s">
        <v>619</v>
      </c>
    </row>
    <row r="633" spans="1:3" x14ac:dyDescent="0.4">
      <c r="A633">
        <v>631</v>
      </c>
      <c r="B633" t="s">
        <v>620</v>
      </c>
      <c r="C633" t="s">
        <v>620</v>
      </c>
    </row>
    <row r="634" spans="1:3" x14ac:dyDescent="0.4">
      <c r="A634">
        <v>632</v>
      </c>
      <c r="B634" t="s">
        <v>621</v>
      </c>
      <c r="C634" t="s">
        <v>621</v>
      </c>
    </row>
    <row r="635" spans="1:3" x14ac:dyDescent="0.4">
      <c r="A635">
        <v>633</v>
      </c>
      <c r="B635" t="s">
        <v>622</v>
      </c>
      <c r="C635" t="s">
        <v>622</v>
      </c>
    </row>
    <row r="636" spans="1:3" x14ac:dyDescent="0.4">
      <c r="A636">
        <v>634</v>
      </c>
      <c r="B636" t="s">
        <v>623</v>
      </c>
      <c r="C636" t="s">
        <v>623</v>
      </c>
    </row>
    <row r="637" spans="1:3" x14ac:dyDescent="0.4">
      <c r="A637">
        <v>635</v>
      </c>
      <c r="B637" t="s">
        <v>624</v>
      </c>
      <c r="C637" t="s">
        <v>624</v>
      </c>
    </row>
    <row r="638" spans="1:3" x14ac:dyDescent="0.4">
      <c r="A638">
        <v>636</v>
      </c>
      <c r="B638" t="s">
        <v>625</v>
      </c>
      <c r="C638" t="s">
        <v>625</v>
      </c>
    </row>
    <row r="639" spans="1:3" x14ac:dyDescent="0.4">
      <c r="A639">
        <v>637</v>
      </c>
      <c r="B639" t="s">
        <v>625</v>
      </c>
      <c r="C639" t="s">
        <v>625</v>
      </c>
    </row>
    <row r="640" spans="1:3" x14ac:dyDescent="0.4">
      <c r="A640">
        <v>638</v>
      </c>
      <c r="B640" t="s">
        <v>626</v>
      </c>
      <c r="C640" t="s">
        <v>626</v>
      </c>
    </row>
    <row r="641" spans="1:3" x14ac:dyDescent="0.4">
      <c r="A641">
        <v>639</v>
      </c>
      <c r="B641" t="s">
        <v>627</v>
      </c>
      <c r="C641" t="s">
        <v>627</v>
      </c>
    </row>
    <row r="642" spans="1:3" x14ac:dyDescent="0.4">
      <c r="A642">
        <v>640</v>
      </c>
      <c r="B642" t="s">
        <v>628</v>
      </c>
      <c r="C642" t="s">
        <v>628</v>
      </c>
    </row>
    <row r="643" spans="1:3" x14ac:dyDescent="0.4">
      <c r="A643">
        <v>641</v>
      </c>
      <c r="B643" t="s">
        <v>629</v>
      </c>
      <c r="C643" t="s">
        <v>629</v>
      </c>
    </row>
    <row r="644" spans="1:3" x14ac:dyDescent="0.4">
      <c r="A644">
        <v>642</v>
      </c>
      <c r="B644" t="s">
        <v>630</v>
      </c>
      <c r="C644" t="s">
        <v>630</v>
      </c>
    </row>
    <row r="645" spans="1:3" x14ac:dyDescent="0.4">
      <c r="A645">
        <v>643</v>
      </c>
      <c r="B645" t="s">
        <v>631</v>
      </c>
      <c r="C645" t="s">
        <v>631</v>
      </c>
    </row>
    <row r="646" spans="1:3" x14ac:dyDescent="0.4">
      <c r="A646">
        <v>644</v>
      </c>
      <c r="B646" t="s">
        <v>632</v>
      </c>
      <c r="C646" t="s">
        <v>632</v>
      </c>
    </row>
    <row r="647" spans="1:3" x14ac:dyDescent="0.4">
      <c r="A647">
        <v>645</v>
      </c>
      <c r="B647" t="s">
        <v>633</v>
      </c>
      <c r="C647" t="s">
        <v>633</v>
      </c>
    </row>
    <row r="648" spans="1:3" x14ac:dyDescent="0.4">
      <c r="A648">
        <v>646</v>
      </c>
      <c r="B648" t="s">
        <v>634</v>
      </c>
      <c r="C648" t="s">
        <v>634</v>
      </c>
    </row>
    <row r="649" spans="1:3" x14ac:dyDescent="0.4">
      <c r="A649">
        <v>647</v>
      </c>
      <c r="B649" t="s">
        <v>635</v>
      </c>
      <c r="C649" t="s">
        <v>635</v>
      </c>
    </row>
    <row r="650" spans="1:3" x14ac:dyDescent="0.4">
      <c r="A650">
        <v>648</v>
      </c>
      <c r="B650" t="s">
        <v>636</v>
      </c>
      <c r="C650" t="s">
        <v>636</v>
      </c>
    </row>
    <row r="651" spans="1:3" x14ac:dyDescent="0.4">
      <c r="A651">
        <v>649</v>
      </c>
      <c r="B651" t="s">
        <v>637</v>
      </c>
      <c r="C651" t="s">
        <v>637</v>
      </c>
    </row>
    <row r="652" spans="1:3" x14ac:dyDescent="0.4">
      <c r="A652">
        <v>650</v>
      </c>
      <c r="B652" t="s">
        <v>638</v>
      </c>
      <c r="C652" t="s">
        <v>638</v>
      </c>
    </row>
    <row r="653" spans="1:3" x14ac:dyDescent="0.4">
      <c r="A653">
        <v>651</v>
      </c>
      <c r="B653" t="s">
        <v>639</v>
      </c>
      <c r="C653" t="s">
        <v>639</v>
      </c>
    </row>
    <row r="654" spans="1:3" x14ac:dyDescent="0.4">
      <c r="A654">
        <v>652</v>
      </c>
      <c r="B654" t="s">
        <v>640</v>
      </c>
      <c r="C654" t="s">
        <v>640</v>
      </c>
    </row>
    <row r="655" spans="1:3" x14ac:dyDescent="0.4">
      <c r="A655">
        <v>653</v>
      </c>
      <c r="B655" t="s">
        <v>641</v>
      </c>
      <c r="C655" t="s">
        <v>641</v>
      </c>
    </row>
    <row r="656" spans="1:3" x14ac:dyDescent="0.4">
      <c r="A656">
        <v>654</v>
      </c>
      <c r="B656" t="s">
        <v>642</v>
      </c>
      <c r="C656" t="s">
        <v>642</v>
      </c>
    </row>
    <row r="657" spans="1:3" x14ac:dyDescent="0.4">
      <c r="A657">
        <v>655</v>
      </c>
      <c r="B657" t="s">
        <v>643</v>
      </c>
      <c r="C657" t="s">
        <v>643</v>
      </c>
    </row>
    <row r="658" spans="1:3" x14ac:dyDescent="0.4">
      <c r="A658">
        <v>656</v>
      </c>
      <c r="B658" t="s">
        <v>644</v>
      </c>
      <c r="C658" t="s">
        <v>644</v>
      </c>
    </row>
    <row r="659" spans="1:3" x14ac:dyDescent="0.4">
      <c r="A659">
        <v>657</v>
      </c>
      <c r="B659" t="s">
        <v>645</v>
      </c>
      <c r="C659" t="s">
        <v>645</v>
      </c>
    </row>
    <row r="660" spans="1:3" x14ac:dyDescent="0.4">
      <c r="A660">
        <v>658</v>
      </c>
      <c r="B660" t="s">
        <v>646</v>
      </c>
      <c r="C660" t="s">
        <v>646</v>
      </c>
    </row>
    <row r="661" spans="1:3" x14ac:dyDescent="0.4">
      <c r="A661">
        <v>659</v>
      </c>
      <c r="B661" t="s">
        <v>647</v>
      </c>
      <c r="C661" t="s">
        <v>647</v>
      </c>
    </row>
    <row r="662" spans="1:3" x14ac:dyDescent="0.4">
      <c r="A662">
        <v>660</v>
      </c>
      <c r="B662" t="s">
        <v>648</v>
      </c>
      <c r="C662" t="s">
        <v>648</v>
      </c>
    </row>
    <row r="663" spans="1:3" x14ac:dyDescent="0.4">
      <c r="A663">
        <v>661</v>
      </c>
      <c r="B663" t="s">
        <v>649</v>
      </c>
      <c r="C663" t="s">
        <v>649</v>
      </c>
    </row>
    <row r="664" spans="1:3" x14ac:dyDescent="0.4">
      <c r="A664">
        <v>662</v>
      </c>
      <c r="B664" t="s">
        <v>650</v>
      </c>
      <c r="C664" t="s">
        <v>650</v>
      </c>
    </row>
    <row r="665" spans="1:3" x14ac:dyDescent="0.4">
      <c r="A665">
        <v>663</v>
      </c>
      <c r="B665" t="s">
        <v>651</v>
      </c>
      <c r="C665" t="s">
        <v>651</v>
      </c>
    </row>
    <row r="666" spans="1:3" x14ac:dyDescent="0.4">
      <c r="A666">
        <v>664</v>
      </c>
      <c r="B666" t="s">
        <v>652</v>
      </c>
      <c r="C666" t="s">
        <v>652</v>
      </c>
    </row>
    <row r="667" spans="1:3" x14ac:dyDescent="0.4">
      <c r="A667">
        <v>665</v>
      </c>
      <c r="B667" t="s">
        <v>653</v>
      </c>
      <c r="C667" t="s">
        <v>653</v>
      </c>
    </row>
    <row r="668" spans="1:3" x14ac:dyDescent="0.4">
      <c r="A668">
        <v>666</v>
      </c>
      <c r="B668" t="s">
        <v>654</v>
      </c>
      <c r="C668" t="s">
        <v>654</v>
      </c>
    </row>
    <row r="669" spans="1:3" x14ac:dyDescent="0.4">
      <c r="A669">
        <v>667</v>
      </c>
      <c r="B669" t="s">
        <v>655</v>
      </c>
      <c r="C669" t="s">
        <v>655</v>
      </c>
    </row>
    <row r="670" spans="1:3" x14ac:dyDescent="0.4">
      <c r="A670">
        <v>668</v>
      </c>
      <c r="B670" t="s">
        <v>656</v>
      </c>
      <c r="C670" t="s">
        <v>656</v>
      </c>
    </row>
    <row r="671" spans="1:3" x14ac:dyDescent="0.4">
      <c r="A671">
        <v>669</v>
      </c>
      <c r="B671" t="s">
        <v>657</v>
      </c>
      <c r="C671" t="s">
        <v>657</v>
      </c>
    </row>
    <row r="672" spans="1:3" x14ac:dyDescent="0.4">
      <c r="A672">
        <v>670</v>
      </c>
      <c r="B672" t="s">
        <v>658</v>
      </c>
      <c r="C672" t="s">
        <v>658</v>
      </c>
    </row>
    <row r="673" spans="1:3" x14ac:dyDescent="0.4">
      <c r="A673">
        <v>671</v>
      </c>
      <c r="B673" t="s">
        <v>659</v>
      </c>
      <c r="C673" t="s">
        <v>659</v>
      </c>
    </row>
    <row r="674" spans="1:3" x14ac:dyDescent="0.4">
      <c r="A674">
        <v>672</v>
      </c>
      <c r="B674" t="s">
        <v>660</v>
      </c>
      <c r="C674" t="s">
        <v>660</v>
      </c>
    </row>
    <row r="675" spans="1:3" x14ac:dyDescent="0.4">
      <c r="A675">
        <v>673</v>
      </c>
      <c r="B675" t="s">
        <v>661</v>
      </c>
      <c r="C675" t="s">
        <v>661</v>
      </c>
    </row>
    <row r="676" spans="1:3" x14ac:dyDescent="0.4">
      <c r="A676">
        <v>674</v>
      </c>
      <c r="B676" t="s">
        <v>662</v>
      </c>
      <c r="C676" t="s">
        <v>662</v>
      </c>
    </row>
    <row r="677" spans="1:3" x14ac:dyDescent="0.4">
      <c r="A677">
        <v>675</v>
      </c>
      <c r="B677" t="s">
        <v>663</v>
      </c>
      <c r="C677" t="s">
        <v>663</v>
      </c>
    </row>
    <row r="678" spans="1:3" x14ac:dyDescent="0.4">
      <c r="A678">
        <v>676</v>
      </c>
      <c r="B678" t="s">
        <v>664</v>
      </c>
      <c r="C678" t="s">
        <v>664</v>
      </c>
    </row>
    <row r="679" spans="1:3" x14ac:dyDescent="0.4">
      <c r="A679">
        <v>677</v>
      </c>
      <c r="B679" t="s">
        <v>665</v>
      </c>
      <c r="C679" t="s">
        <v>665</v>
      </c>
    </row>
    <row r="680" spans="1:3" x14ac:dyDescent="0.4">
      <c r="A680">
        <v>678</v>
      </c>
      <c r="B680" t="s">
        <v>666</v>
      </c>
      <c r="C680" t="s">
        <v>666</v>
      </c>
    </row>
    <row r="681" spans="1:3" x14ac:dyDescent="0.4">
      <c r="A681">
        <v>679</v>
      </c>
      <c r="B681" t="s">
        <v>667</v>
      </c>
      <c r="C681" t="s">
        <v>667</v>
      </c>
    </row>
    <row r="682" spans="1:3" x14ac:dyDescent="0.4">
      <c r="A682">
        <v>680</v>
      </c>
      <c r="B682" t="s">
        <v>668</v>
      </c>
      <c r="C682" t="s">
        <v>668</v>
      </c>
    </row>
    <row r="683" spans="1:3" x14ac:dyDescent="0.4">
      <c r="A683">
        <v>681</v>
      </c>
      <c r="B683" t="s">
        <v>669</v>
      </c>
      <c r="C683" t="s">
        <v>669</v>
      </c>
    </row>
    <row r="684" spans="1:3" x14ac:dyDescent="0.4">
      <c r="A684">
        <v>682</v>
      </c>
      <c r="B684" t="s">
        <v>670</v>
      </c>
      <c r="C684" t="s">
        <v>670</v>
      </c>
    </row>
    <row r="685" spans="1:3" x14ac:dyDescent="0.4">
      <c r="A685">
        <v>683</v>
      </c>
      <c r="B685" t="s">
        <v>671</v>
      </c>
      <c r="C685" t="s">
        <v>671</v>
      </c>
    </row>
    <row r="686" spans="1:3" x14ac:dyDescent="0.4">
      <c r="A686">
        <v>684</v>
      </c>
      <c r="B686" t="s">
        <v>672</v>
      </c>
      <c r="C686" t="s">
        <v>672</v>
      </c>
    </row>
    <row r="687" spans="1:3" x14ac:dyDescent="0.4">
      <c r="A687">
        <v>685</v>
      </c>
      <c r="B687" t="s">
        <v>673</v>
      </c>
      <c r="C687" t="s">
        <v>673</v>
      </c>
    </row>
    <row r="688" spans="1:3" x14ac:dyDescent="0.4">
      <c r="A688">
        <v>686</v>
      </c>
      <c r="B688" t="s">
        <v>674</v>
      </c>
      <c r="C688" t="s">
        <v>674</v>
      </c>
    </row>
    <row r="689" spans="1:3" x14ac:dyDescent="0.4">
      <c r="A689">
        <v>687</v>
      </c>
      <c r="B689" t="s">
        <v>675</v>
      </c>
      <c r="C689" t="s">
        <v>675</v>
      </c>
    </row>
    <row r="690" spans="1:3" x14ac:dyDescent="0.4">
      <c r="A690">
        <v>688</v>
      </c>
      <c r="B690" t="s">
        <v>676</v>
      </c>
      <c r="C690" t="s">
        <v>676</v>
      </c>
    </row>
    <row r="691" spans="1:3" x14ac:dyDescent="0.4">
      <c r="A691">
        <v>689</v>
      </c>
      <c r="B691" t="s">
        <v>677</v>
      </c>
      <c r="C691" t="s">
        <v>677</v>
      </c>
    </row>
    <row r="692" spans="1:3" x14ac:dyDescent="0.4">
      <c r="A692">
        <v>690</v>
      </c>
      <c r="B692" t="s">
        <v>678</v>
      </c>
      <c r="C692" t="s">
        <v>1000</v>
      </c>
    </row>
    <row r="693" spans="1:3" x14ac:dyDescent="0.4">
      <c r="A693">
        <v>691</v>
      </c>
      <c r="B693" t="s">
        <v>679</v>
      </c>
      <c r="C693" t="s">
        <v>1001</v>
      </c>
    </row>
    <row r="694" spans="1:3" x14ac:dyDescent="0.4">
      <c r="A694">
        <v>692</v>
      </c>
      <c r="B694" t="s">
        <v>680</v>
      </c>
      <c r="C694" t="s">
        <v>1002</v>
      </c>
    </row>
    <row r="695" spans="1:3" x14ac:dyDescent="0.4">
      <c r="A695">
        <v>693</v>
      </c>
      <c r="B695" t="s">
        <v>681</v>
      </c>
      <c r="C695" t="s">
        <v>1003</v>
      </c>
    </row>
    <row r="696" spans="1:3" x14ac:dyDescent="0.4">
      <c r="A696">
        <v>694</v>
      </c>
      <c r="B696" t="s">
        <v>682</v>
      </c>
      <c r="C696" t="s">
        <v>682</v>
      </c>
    </row>
    <row r="697" spans="1:3" x14ac:dyDescent="0.4">
      <c r="A697">
        <v>695</v>
      </c>
      <c r="B697" t="s">
        <v>683</v>
      </c>
      <c r="C697" t="s">
        <v>683</v>
      </c>
    </row>
    <row r="698" spans="1:3" x14ac:dyDescent="0.4">
      <c r="A698">
        <v>696</v>
      </c>
      <c r="B698" t="s">
        <v>684</v>
      </c>
      <c r="C698" t="s">
        <v>684</v>
      </c>
    </row>
    <row r="699" spans="1:3" x14ac:dyDescent="0.4">
      <c r="A699">
        <v>697</v>
      </c>
      <c r="B699" t="s">
        <v>685</v>
      </c>
      <c r="C699" t="s">
        <v>685</v>
      </c>
    </row>
    <row r="700" spans="1:3" x14ac:dyDescent="0.4">
      <c r="A700">
        <v>698</v>
      </c>
      <c r="B700" t="s">
        <v>686</v>
      </c>
      <c r="C700" t="s">
        <v>686</v>
      </c>
    </row>
    <row r="701" spans="1:3" x14ac:dyDescent="0.4">
      <c r="A701">
        <v>699</v>
      </c>
      <c r="B701" t="s">
        <v>687</v>
      </c>
      <c r="C701" t="s">
        <v>687</v>
      </c>
    </row>
    <row r="702" spans="1:3" x14ac:dyDescent="0.4">
      <c r="A702">
        <v>700</v>
      </c>
      <c r="B702" t="s">
        <v>688</v>
      </c>
      <c r="C702" t="s">
        <v>688</v>
      </c>
    </row>
    <row r="703" spans="1:3" x14ac:dyDescent="0.4">
      <c r="A703">
        <v>701</v>
      </c>
      <c r="B703" t="s">
        <v>689</v>
      </c>
      <c r="C703" t="s">
        <v>689</v>
      </c>
    </row>
    <row r="704" spans="1:3" x14ac:dyDescent="0.4">
      <c r="A704">
        <v>702</v>
      </c>
      <c r="B704" t="s">
        <v>690</v>
      </c>
      <c r="C704" t="s">
        <v>690</v>
      </c>
    </row>
    <row r="705" spans="1:3" x14ac:dyDescent="0.4">
      <c r="A705">
        <v>703</v>
      </c>
      <c r="B705" t="s">
        <v>691</v>
      </c>
      <c r="C705" t="s">
        <v>691</v>
      </c>
    </row>
    <row r="706" spans="1:3" x14ac:dyDescent="0.4">
      <c r="A706">
        <v>704</v>
      </c>
      <c r="B706" t="s">
        <v>692</v>
      </c>
      <c r="C706" t="s">
        <v>692</v>
      </c>
    </row>
    <row r="707" spans="1:3" x14ac:dyDescent="0.4">
      <c r="A707">
        <v>705</v>
      </c>
      <c r="B707" t="s">
        <v>693</v>
      </c>
      <c r="C707" t="s">
        <v>693</v>
      </c>
    </row>
    <row r="708" spans="1:3" x14ac:dyDescent="0.4">
      <c r="A708">
        <v>706</v>
      </c>
      <c r="B708" t="s">
        <v>694</v>
      </c>
      <c r="C708" t="s">
        <v>694</v>
      </c>
    </row>
    <row r="709" spans="1:3" x14ac:dyDescent="0.4">
      <c r="A709">
        <v>707</v>
      </c>
      <c r="B709" t="s">
        <v>695</v>
      </c>
      <c r="C709" t="s">
        <v>695</v>
      </c>
    </row>
    <row r="710" spans="1:3" x14ac:dyDescent="0.4">
      <c r="A710">
        <v>708</v>
      </c>
      <c r="B710" t="s">
        <v>696</v>
      </c>
      <c r="C710" t="s">
        <v>696</v>
      </c>
    </row>
    <row r="711" spans="1:3" x14ac:dyDescent="0.4">
      <c r="A711">
        <v>709</v>
      </c>
      <c r="B711" t="s">
        <v>697</v>
      </c>
      <c r="C711" t="s">
        <v>697</v>
      </c>
    </row>
    <row r="712" spans="1:3" x14ac:dyDescent="0.4">
      <c r="A712">
        <v>710</v>
      </c>
      <c r="B712" t="s">
        <v>698</v>
      </c>
      <c r="C712" t="s">
        <v>698</v>
      </c>
    </row>
    <row r="713" spans="1:3" x14ac:dyDescent="0.4">
      <c r="A713">
        <v>711</v>
      </c>
      <c r="B713" t="s">
        <v>699</v>
      </c>
      <c r="C713" t="s">
        <v>699</v>
      </c>
    </row>
    <row r="714" spans="1:3" x14ac:dyDescent="0.4">
      <c r="A714">
        <v>712</v>
      </c>
      <c r="B714" t="s">
        <v>700</v>
      </c>
      <c r="C714" t="s">
        <v>700</v>
      </c>
    </row>
    <row r="715" spans="1:3" x14ac:dyDescent="0.4">
      <c r="A715">
        <v>713</v>
      </c>
      <c r="B715" t="s">
        <v>441</v>
      </c>
      <c r="C715" t="s">
        <v>441</v>
      </c>
    </row>
    <row r="716" spans="1:3" x14ac:dyDescent="0.4">
      <c r="A716">
        <v>714</v>
      </c>
      <c r="B716" t="s">
        <v>629</v>
      </c>
      <c r="C716" t="s">
        <v>629</v>
      </c>
    </row>
    <row r="717" spans="1:3" x14ac:dyDescent="0.4">
      <c r="A717">
        <v>715</v>
      </c>
      <c r="B717" t="s">
        <v>701</v>
      </c>
      <c r="C717" t="s">
        <v>701</v>
      </c>
    </row>
    <row r="718" spans="1:3" x14ac:dyDescent="0.4">
      <c r="A718">
        <v>716</v>
      </c>
      <c r="B718" t="s">
        <v>702</v>
      </c>
      <c r="C718" t="s">
        <v>702</v>
      </c>
    </row>
    <row r="719" spans="1:3" x14ac:dyDescent="0.4">
      <c r="A719">
        <v>717</v>
      </c>
      <c r="B719" t="s">
        <v>703</v>
      </c>
      <c r="C719" t="s">
        <v>703</v>
      </c>
    </row>
    <row r="720" spans="1:3" x14ac:dyDescent="0.4">
      <c r="A720">
        <v>718</v>
      </c>
      <c r="B720" t="s">
        <v>704</v>
      </c>
      <c r="C720" t="s">
        <v>704</v>
      </c>
    </row>
    <row r="721" spans="1:3" x14ac:dyDescent="0.4">
      <c r="A721">
        <v>719</v>
      </c>
      <c r="B721" t="s">
        <v>705</v>
      </c>
      <c r="C721" t="s">
        <v>705</v>
      </c>
    </row>
    <row r="722" spans="1:3" x14ac:dyDescent="0.4">
      <c r="A722">
        <v>720</v>
      </c>
      <c r="B722" t="s">
        <v>706</v>
      </c>
      <c r="C722" t="s">
        <v>706</v>
      </c>
    </row>
    <row r="723" spans="1:3" x14ac:dyDescent="0.4">
      <c r="A723">
        <v>721</v>
      </c>
      <c r="B723" t="s">
        <v>707</v>
      </c>
      <c r="C723" t="s">
        <v>707</v>
      </c>
    </row>
    <row r="724" spans="1:3" x14ac:dyDescent="0.4">
      <c r="A724">
        <v>722</v>
      </c>
      <c r="B724" t="s">
        <v>708</v>
      </c>
      <c r="C724" t="s">
        <v>708</v>
      </c>
    </row>
    <row r="725" spans="1:3" x14ac:dyDescent="0.4">
      <c r="A725">
        <v>723</v>
      </c>
      <c r="B725" t="s">
        <v>467</v>
      </c>
      <c r="C725" t="s">
        <v>467</v>
      </c>
    </row>
    <row r="726" spans="1:3" x14ac:dyDescent="0.4">
      <c r="A726">
        <v>724</v>
      </c>
      <c r="B726" t="s">
        <v>709</v>
      </c>
      <c r="C726" t="s">
        <v>709</v>
      </c>
    </row>
    <row r="727" spans="1:3" x14ac:dyDescent="0.4">
      <c r="A727">
        <v>725</v>
      </c>
      <c r="B727" t="s">
        <v>710</v>
      </c>
      <c r="C727" t="s">
        <v>710</v>
      </c>
    </row>
    <row r="728" spans="1:3" x14ac:dyDescent="0.4">
      <c r="A728">
        <v>726</v>
      </c>
      <c r="B728" t="s">
        <v>711</v>
      </c>
      <c r="C728" t="s">
        <v>711</v>
      </c>
    </row>
    <row r="729" spans="1:3" x14ac:dyDescent="0.4">
      <c r="A729">
        <v>727</v>
      </c>
      <c r="B729" t="s">
        <v>712</v>
      </c>
      <c r="C729" t="s">
        <v>712</v>
      </c>
    </row>
    <row r="730" spans="1:3" x14ac:dyDescent="0.4">
      <c r="A730">
        <v>728</v>
      </c>
      <c r="B730" t="s">
        <v>713</v>
      </c>
      <c r="C730" t="s">
        <v>713</v>
      </c>
    </row>
    <row r="731" spans="1:3" x14ac:dyDescent="0.4">
      <c r="A731">
        <v>729</v>
      </c>
      <c r="B731" t="s">
        <v>714</v>
      </c>
      <c r="C731" t="s">
        <v>714</v>
      </c>
    </row>
    <row r="732" spans="1:3" x14ac:dyDescent="0.4">
      <c r="A732">
        <v>730</v>
      </c>
      <c r="B732" t="s">
        <v>715</v>
      </c>
      <c r="C732" t="s">
        <v>715</v>
      </c>
    </row>
    <row r="733" spans="1:3" x14ac:dyDescent="0.4">
      <c r="A733">
        <v>731</v>
      </c>
      <c r="B733" t="s">
        <v>716</v>
      </c>
      <c r="C733" t="s">
        <v>716</v>
      </c>
    </row>
    <row r="734" spans="1:3" x14ac:dyDescent="0.4">
      <c r="A734">
        <v>732</v>
      </c>
      <c r="B734" t="s">
        <v>717</v>
      </c>
      <c r="C734" t="s">
        <v>717</v>
      </c>
    </row>
    <row r="735" spans="1:3" x14ac:dyDescent="0.4">
      <c r="A735">
        <v>733</v>
      </c>
      <c r="B735" t="s">
        <v>718</v>
      </c>
      <c r="C735" t="s">
        <v>718</v>
      </c>
    </row>
    <row r="736" spans="1:3" x14ac:dyDescent="0.4">
      <c r="A736">
        <v>734</v>
      </c>
      <c r="B736" t="s">
        <v>454</v>
      </c>
      <c r="C736" t="s">
        <v>454</v>
      </c>
    </row>
    <row r="737" spans="1:3" x14ac:dyDescent="0.4">
      <c r="A737">
        <v>735</v>
      </c>
      <c r="B737" t="s">
        <v>719</v>
      </c>
      <c r="C737" t="s">
        <v>719</v>
      </c>
    </row>
    <row r="738" spans="1:3" x14ac:dyDescent="0.4">
      <c r="A738">
        <v>736</v>
      </c>
      <c r="B738" t="s">
        <v>447</v>
      </c>
      <c r="C738" t="s">
        <v>447</v>
      </c>
    </row>
    <row r="739" spans="1:3" x14ac:dyDescent="0.4">
      <c r="A739">
        <v>737</v>
      </c>
      <c r="B739" t="s">
        <v>720</v>
      </c>
      <c r="C739" t="s">
        <v>1004</v>
      </c>
    </row>
    <row r="740" spans="1:3" x14ac:dyDescent="0.4">
      <c r="A740">
        <v>738</v>
      </c>
      <c r="B740" t="s">
        <v>721</v>
      </c>
      <c r="C740" t="s">
        <v>721</v>
      </c>
    </row>
    <row r="741" spans="1:3" x14ac:dyDescent="0.4">
      <c r="A741">
        <v>739</v>
      </c>
      <c r="B741" t="s">
        <v>722</v>
      </c>
      <c r="C741" t="s">
        <v>722</v>
      </c>
    </row>
    <row r="742" spans="1:3" x14ac:dyDescent="0.4">
      <c r="A742">
        <v>740</v>
      </c>
      <c r="B742" t="s">
        <v>722</v>
      </c>
      <c r="C742" t="s">
        <v>722</v>
      </c>
    </row>
    <row r="743" spans="1:3" x14ac:dyDescent="0.4">
      <c r="A743">
        <v>741</v>
      </c>
      <c r="B743" t="s">
        <v>723</v>
      </c>
      <c r="C743" t="s">
        <v>723</v>
      </c>
    </row>
    <row r="744" spans="1:3" x14ac:dyDescent="0.4">
      <c r="A744">
        <v>742</v>
      </c>
      <c r="B744" t="s">
        <v>724</v>
      </c>
      <c r="C744" t="s">
        <v>724</v>
      </c>
    </row>
    <row r="745" spans="1:3" x14ac:dyDescent="0.4">
      <c r="A745">
        <v>743</v>
      </c>
      <c r="B745" t="s">
        <v>725</v>
      </c>
      <c r="C745" t="s">
        <v>725</v>
      </c>
    </row>
    <row r="746" spans="1:3" x14ac:dyDescent="0.4">
      <c r="A746">
        <v>744</v>
      </c>
      <c r="B746" t="s">
        <v>726</v>
      </c>
      <c r="C746" t="s">
        <v>726</v>
      </c>
    </row>
    <row r="747" spans="1:3" x14ac:dyDescent="0.4">
      <c r="A747">
        <v>745</v>
      </c>
      <c r="B747" t="s">
        <v>727</v>
      </c>
      <c r="C747" t="s">
        <v>727</v>
      </c>
    </row>
    <row r="748" spans="1:3" x14ac:dyDescent="0.4">
      <c r="A748">
        <v>746</v>
      </c>
      <c r="B748" t="s">
        <v>728</v>
      </c>
      <c r="C748" t="s">
        <v>728</v>
      </c>
    </row>
    <row r="749" spans="1:3" x14ac:dyDescent="0.4">
      <c r="A749">
        <v>747</v>
      </c>
      <c r="B749" t="s">
        <v>729</v>
      </c>
      <c r="C749" t="s">
        <v>729</v>
      </c>
    </row>
    <row r="750" spans="1:3" x14ac:dyDescent="0.4">
      <c r="A750">
        <v>748</v>
      </c>
      <c r="B750" t="s">
        <v>730</v>
      </c>
      <c r="C750" t="s">
        <v>730</v>
      </c>
    </row>
    <row r="751" spans="1:3" x14ac:dyDescent="0.4">
      <c r="A751">
        <v>749</v>
      </c>
      <c r="B751" t="s">
        <v>731</v>
      </c>
      <c r="C751" t="s">
        <v>731</v>
      </c>
    </row>
    <row r="752" spans="1:3" x14ac:dyDescent="0.4">
      <c r="A752">
        <v>750</v>
      </c>
      <c r="B752" t="s">
        <v>732</v>
      </c>
      <c r="C752" t="s">
        <v>732</v>
      </c>
    </row>
    <row r="753" spans="1:3" x14ac:dyDescent="0.4">
      <c r="A753">
        <v>751</v>
      </c>
      <c r="B753" t="s">
        <v>714</v>
      </c>
      <c r="C753" t="s">
        <v>714</v>
      </c>
    </row>
    <row r="754" spans="1:3" x14ac:dyDescent="0.4">
      <c r="A754">
        <v>752</v>
      </c>
      <c r="B754" t="s">
        <v>733</v>
      </c>
      <c r="C754" t="s">
        <v>733</v>
      </c>
    </row>
    <row r="755" spans="1:3" x14ac:dyDescent="0.4">
      <c r="A755">
        <v>753</v>
      </c>
      <c r="B755" t="s">
        <v>734</v>
      </c>
      <c r="C755" t="s">
        <v>734</v>
      </c>
    </row>
    <row r="756" spans="1:3" x14ac:dyDescent="0.4">
      <c r="A756">
        <v>754</v>
      </c>
      <c r="B756" t="s">
        <v>735</v>
      </c>
      <c r="C756" t="s">
        <v>735</v>
      </c>
    </row>
    <row r="757" spans="1:3" x14ac:dyDescent="0.4">
      <c r="A757">
        <v>755</v>
      </c>
      <c r="B757" t="s">
        <v>736</v>
      </c>
      <c r="C757" t="s">
        <v>736</v>
      </c>
    </row>
    <row r="758" spans="1:3" x14ac:dyDescent="0.4">
      <c r="A758">
        <v>756</v>
      </c>
      <c r="B758" t="s">
        <v>737</v>
      </c>
      <c r="C758" t="s">
        <v>737</v>
      </c>
    </row>
    <row r="759" spans="1:3" x14ac:dyDescent="0.4">
      <c r="A759">
        <v>757</v>
      </c>
      <c r="B759" t="s">
        <v>738</v>
      </c>
      <c r="C759" t="s">
        <v>738</v>
      </c>
    </row>
    <row r="760" spans="1:3" x14ac:dyDescent="0.4">
      <c r="A760">
        <v>758</v>
      </c>
      <c r="B760" t="s">
        <v>739</v>
      </c>
      <c r="C760" t="s">
        <v>739</v>
      </c>
    </row>
    <row r="761" spans="1:3" x14ac:dyDescent="0.4">
      <c r="A761">
        <v>759</v>
      </c>
      <c r="B761" t="s">
        <v>740</v>
      </c>
      <c r="C761" t="s">
        <v>740</v>
      </c>
    </row>
    <row r="762" spans="1:3" x14ac:dyDescent="0.4">
      <c r="A762">
        <v>760</v>
      </c>
      <c r="B762" t="s">
        <v>741</v>
      </c>
      <c r="C762" t="s">
        <v>741</v>
      </c>
    </row>
    <row r="763" spans="1:3" x14ac:dyDescent="0.4">
      <c r="A763">
        <v>761</v>
      </c>
      <c r="B763" t="s">
        <v>742</v>
      </c>
      <c r="C763" t="s">
        <v>742</v>
      </c>
    </row>
    <row r="764" spans="1:3" x14ac:dyDescent="0.4">
      <c r="A764">
        <v>762</v>
      </c>
      <c r="B764" t="s">
        <v>743</v>
      </c>
      <c r="C764" t="s">
        <v>743</v>
      </c>
    </row>
    <row r="765" spans="1:3" x14ac:dyDescent="0.4">
      <c r="A765">
        <v>763</v>
      </c>
      <c r="B765" t="s">
        <v>744</v>
      </c>
      <c r="C765" t="s">
        <v>744</v>
      </c>
    </row>
    <row r="766" spans="1:3" x14ac:dyDescent="0.4">
      <c r="A766">
        <v>764</v>
      </c>
      <c r="B766" t="s">
        <v>745</v>
      </c>
      <c r="C766" t="s">
        <v>745</v>
      </c>
    </row>
    <row r="767" spans="1:3" x14ac:dyDescent="0.4">
      <c r="A767">
        <v>765</v>
      </c>
      <c r="B767" t="s">
        <v>746</v>
      </c>
      <c r="C767" t="s">
        <v>746</v>
      </c>
    </row>
    <row r="768" spans="1:3" x14ac:dyDescent="0.4">
      <c r="A768">
        <v>766</v>
      </c>
      <c r="B768" t="s">
        <v>747</v>
      </c>
      <c r="C768" t="s">
        <v>747</v>
      </c>
    </row>
    <row r="769" spans="1:3" x14ac:dyDescent="0.4">
      <c r="A769">
        <v>767</v>
      </c>
      <c r="B769" t="s">
        <v>748</v>
      </c>
      <c r="C769" t="s">
        <v>748</v>
      </c>
    </row>
    <row r="770" spans="1:3" x14ac:dyDescent="0.4">
      <c r="A770">
        <v>768</v>
      </c>
      <c r="B770" t="s">
        <v>749</v>
      </c>
      <c r="C770" t="s">
        <v>749</v>
      </c>
    </row>
    <row r="771" spans="1:3" x14ac:dyDescent="0.4">
      <c r="A771">
        <v>769</v>
      </c>
      <c r="B771" t="s">
        <v>750</v>
      </c>
      <c r="C771" t="s">
        <v>750</v>
      </c>
    </row>
    <row r="772" spans="1:3" x14ac:dyDescent="0.4">
      <c r="A772">
        <v>770</v>
      </c>
      <c r="B772" t="s">
        <v>751</v>
      </c>
      <c r="C772" t="s">
        <v>751</v>
      </c>
    </row>
    <row r="773" spans="1:3" x14ac:dyDescent="0.4">
      <c r="A773">
        <v>771</v>
      </c>
      <c r="B773" t="s">
        <v>714</v>
      </c>
      <c r="C773" t="s">
        <v>714</v>
      </c>
    </row>
    <row r="774" spans="1:3" x14ac:dyDescent="0.4">
      <c r="A774">
        <v>772</v>
      </c>
      <c r="B774" t="s">
        <v>752</v>
      </c>
      <c r="C774" t="s">
        <v>752</v>
      </c>
    </row>
    <row r="775" spans="1:3" x14ac:dyDescent="0.4">
      <c r="A775">
        <v>773</v>
      </c>
      <c r="B775" t="s">
        <v>753</v>
      </c>
      <c r="C775" t="s">
        <v>753</v>
      </c>
    </row>
    <row r="776" spans="1:3" x14ac:dyDescent="0.4">
      <c r="A776">
        <v>774</v>
      </c>
      <c r="B776" t="s">
        <v>754</v>
      </c>
      <c r="C776" t="s">
        <v>754</v>
      </c>
    </row>
    <row r="777" spans="1:3" x14ac:dyDescent="0.4">
      <c r="A777">
        <v>775</v>
      </c>
      <c r="B777" t="s">
        <v>755</v>
      </c>
      <c r="C777" t="s">
        <v>755</v>
      </c>
    </row>
    <row r="778" spans="1:3" x14ac:dyDescent="0.4">
      <c r="A778">
        <v>776</v>
      </c>
      <c r="B778" t="s">
        <v>756</v>
      </c>
      <c r="C778" t="s">
        <v>756</v>
      </c>
    </row>
    <row r="779" spans="1:3" x14ac:dyDescent="0.4">
      <c r="A779">
        <v>777</v>
      </c>
      <c r="B779" t="s">
        <v>757</v>
      </c>
      <c r="C779" t="s">
        <v>757</v>
      </c>
    </row>
    <row r="780" spans="1:3" x14ac:dyDescent="0.4">
      <c r="A780">
        <v>778</v>
      </c>
      <c r="B780" t="s">
        <v>758</v>
      </c>
      <c r="C780" t="s">
        <v>758</v>
      </c>
    </row>
    <row r="781" spans="1:3" x14ac:dyDescent="0.4">
      <c r="A781">
        <v>779</v>
      </c>
      <c r="B781" t="s">
        <v>759</v>
      </c>
      <c r="C781" t="s">
        <v>759</v>
      </c>
    </row>
    <row r="782" spans="1:3" x14ac:dyDescent="0.4">
      <c r="A782">
        <v>780</v>
      </c>
      <c r="B782" t="s">
        <v>760</v>
      </c>
      <c r="C782" t="s">
        <v>760</v>
      </c>
    </row>
    <row r="783" spans="1:3" x14ac:dyDescent="0.4">
      <c r="A783">
        <v>781</v>
      </c>
      <c r="B783" t="s">
        <v>761</v>
      </c>
      <c r="C783" t="s">
        <v>761</v>
      </c>
    </row>
    <row r="784" spans="1:3" x14ac:dyDescent="0.4">
      <c r="A784">
        <v>782</v>
      </c>
      <c r="B784" t="s">
        <v>762</v>
      </c>
      <c r="C784" t="s">
        <v>762</v>
      </c>
    </row>
    <row r="785" spans="1:3" x14ac:dyDescent="0.4">
      <c r="A785">
        <v>783</v>
      </c>
      <c r="B785" t="s">
        <v>763</v>
      </c>
      <c r="C785" t="s">
        <v>763</v>
      </c>
    </row>
    <row r="786" spans="1:3" x14ac:dyDescent="0.4">
      <c r="A786">
        <v>784</v>
      </c>
      <c r="B786" t="s">
        <v>764</v>
      </c>
      <c r="C786" t="s">
        <v>764</v>
      </c>
    </row>
    <row r="787" spans="1:3" x14ac:dyDescent="0.4">
      <c r="A787">
        <v>785</v>
      </c>
      <c r="B787" t="s">
        <v>765</v>
      </c>
      <c r="C787" t="s">
        <v>765</v>
      </c>
    </row>
    <row r="788" spans="1:3" x14ac:dyDescent="0.4">
      <c r="A788">
        <v>786</v>
      </c>
      <c r="B788" t="s">
        <v>766</v>
      </c>
      <c r="C788" t="s">
        <v>766</v>
      </c>
    </row>
    <row r="789" spans="1:3" x14ac:dyDescent="0.4">
      <c r="A789">
        <v>787</v>
      </c>
      <c r="B789" t="s">
        <v>767</v>
      </c>
      <c r="C789" t="s">
        <v>767</v>
      </c>
    </row>
    <row r="790" spans="1:3" x14ac:dyDescent="0.4">
      <c r="A790">
        <v>788</v>
      </c>
      <c r="B790" t="s">
        <v>768</v>
      </c>
      <c r="C790" t="s">
        <v>768</v>
      </c>
    </row>
    <row r="791" spans="1:3" x14ac:dyDescent="0.4">
      <c r="A791">
        <v>789</v>
      </c>
      <c r="B791" t="s">
        <v>769</v>
      </c>
      <c r="C791" t="s">
        <v>769</v>
      </c>
    </row>
    <row r="792" spans="1:3" x14ac:dyDescent="0.4">
      <c r="A792">
        <v>790</v>
      </c>
      <c r="B792" t="s">
        <v>770</v>
      </c>
      <c r="C792" t="s">
        <v>770</v>
      </c>
    </row>
    <row r="793" spans="1:3" x14ac:dyDescent="0.4">
      <c r="A793">
        <v>791</v>
      </c>
      <c r="B793" t="s">
        <v>771</v>
      </c>
      <c r="C793" t="s">
        <v>771</v>
      </c>
    </row>
    <row r="794" spans="1:3" x14ac:dyDescent="0.4">
      <c r="A794">
        <v>792</v>
      </c>
      <c r="B794" t="s">
        <v>772</v>
      </c>
      <c r="C794" t="s">
        <v>772</v>
      </c>
    </row>
    <row r="795" spans="1:3" x14ac:dyDescent="0.4">
      <c r="A795">
        <v>793</v>
      </c>
      <c r="B795" t="s">
        <v>773</v>
      </c>
      <c r="C795" t="s">
        <v>773</v>
      </c>
    </row>
    <row r="796" spans="1:3" x14ac:dyDescent="0.4">
      <c r="A796">
        <v>794</v>
      </c>
      <c r="B796" t="s">
        <v>774</v>
      </c>
      <c r="C796" t="s">
        <v>774</v>
      </c>
    </row>
    <row r="797" spans="1:3" x14ac:dyDescent="0.4">
      <c r="A797">
        <v>795</v>
      </c>
      <c r="B797" t="s">
        <v>775</v>
      </c>
      <c r="C797" t="s">
        <v>775</v>
      </c>
    </row>
    <row r="798" spans="1:3" x14ac:dyDescent="0.4">
      <c r="A798">
        <v>796</v>
      </c>
      <c r="B798" t="s">
        <v>776</v>
      </c>
      <c r="C798" t="s">
        <v>776</v>
      </c>
    </row>
    <row r="799" spans="1:3" x14ac:dyDescent="0.4">
      <c r="A799">
        <v>797</v>
      </c>
      <c r="B799" t="s">
        <v>777</v>
      </c>
      <c r="C799" t="s">
        <v>777</v>
      </c>
    </row>
    <row r="800" spans="1:3" x14ac:dyDescent="0.4">
      <c r="A800">
        <v>798</v>
      </c>
      <c r="B800" t="s">
        <v>778</v>
      </c>
      <c r="C800" t="s">
        <v>778</v>
      </c>
    </row>
    <row r="801" spans="1:3" x14ac:dyDescent="0.4">
      <c r="A801">
        <v>799</v>
      </c>
      <c r="B801" t="s">
        <v>779</v>
      </c>
      <c r="C801" t="s">
        <v>779</v>
      </c>
    </row>
    <row r="802" spans="1:3" x14ac:dyDescent="0.4">
      <c r="A802">
        <v>800</v>
      </c>
      <c r="B802" t="s">
        <v>780</v>
      </c>
      <c r="C802" t="s">
        <v>780</v>
      </c>
    </row>
    <row r="803" spans="1:3" x14ac:dyDescent="0.4">
      <c r="A803">
        <v>801</v>
      </c>
      <c r="B803" t="s">
        <v>781</v>
      </c>
      <c r="C803" t="s">
        <v>781</v>
      </c>
    </row>
    <row r="804" spans="1:3" x14ac:dyDescent="0.4">
      <c r="A804">
        <v>802</v>
      </c>
      <c r="B804" t="s">
        <v>782</v>
      </c>
      <c r="C804" t="s">
        <v>782</v>
      </c>
    </row>
    <row r="805" spans="1:3" x14ac:dyDescent="0.4">
      <c r="A805">
        <v>803</v>
      </c>
      <c r="B805" t="s">
        <v>783</v>
      </c>
      <c r="C805" t="s">
        <v>783</v>
      </c>
    </row>
    <row r="806" spans="1:3" x14ac:dyDescent="0.4">
      <c r="A806">
        <v>804</v>
      </c>
      <c r="B806" t="s">
        <v>784</v>
      </c>
      <c r="C806" t="s">
        <v>784</v>
      </c>
    </row>
    <row r="807" spans="1:3" x14ac:dyDescent="0.4">
      <c r="A807">
        <v>805</v>
      </c>
      <c r="B807" t="s">
        <v>785</v>
      </c>
      <c r="C807" t="s">
        <v>785</v>
      </c>
    </row>
    <row r="808" spans="1:3" x14ac:dyDescent="0.4">
      <c r="A808">
        <v>806</v>
      </c>
      <c r="B808" t="s">
        <v>786</v>
      </c>
      <c r="C808" t="s">
        <v>786</v>
      </c>
    </row>
    <row r="809" spans="1:3" x14ac:dyDescent="0.4">
      <c r="A809">
        <v>807</v>
      </c>
      <c r="B809" t="s">
        <v>787</v>
      </c>
      <c r="C809" t="s">
        <v>787</v>
      </c>
    </row>
    <row r="810" spans="1:3" x14ac:dyDescent="0.4">
      <c r="A810">
        <v>808</v>
      </c>
      <c r="B810" t="s">
        <v>788</v>
      </c>
      <c r="C810" t="s">
        <v>788</v>
      </c>
    </row>
    <row r="811" spans="1:3" x14ac:dyDescent="0.4">
      <c r="A811">
        <v>809</v>
      </c>
      <c r="B811" t="s">
        <v>789</v>
      </c>
      <c r="C811" t="s">
        <v>789</v>
      </c>
    </row>
    <row r="812" spans="1:3" x14ac:dyDescent="0.4">
      <c r="A812">
        <v>810</v>
      </c>
      <c r="B812" t="s">
        <v>790</v>
      </c>
      <c r="C812" t="s">
        <v>790</v>
      </c>
    </row>
    <row r="813" spans="1:3" x14ac:dyDescent="0.4">
      <c r="A813">
        <v>811</v>
      </c>
      <c r="B813" t="s">
        <v>791</v>
      </c>
      <c r="C813" t="s">
        <v>791</v>
      </c>
    </row>
    <row r="814" spans="1:3" x14ac:dyDescent="0.4">
      <c r="A814">
        <v>812</v>
      </c>
      <c r="B814" t="s">
        <v>792</v>
      </c>
      <c r="C814" t="s">
        <v>792</v>
      </c>
    </row>
    <row r="815" spans="1:3" x14ac:dyDescent="0.4">
      <c r="A815">
        <v>813</v>
      </c>
      <c r="B815" t="s">
        <v>793</v>
      </c>
      <c r="C815" t="s">
        <v>793</v>
      </c>
    </row>
    <row r="816" spans="1:3" x14ac:dyDescent="0.4">
      <c r="A816">
        <v>814</v>
      </c>
      <c r="B816" t="s">
        <v>794</v>
      </c>
      <c r="C816" t="s">
        <v>794</v>
      </c>
    </row>
    <row r="817" spans="1:3" x14ac:dyDescent="0.4">
      <c r="A817">
        <v>815</v>
      </c>
      <c r="B817" t="s">
        <v>795</v>
      </c>
      <c r="C817" t="s">
        <v>795</v>
      </c>
    </row>
    <row r="818" spans="1:3" x14ac:dyDescent="0.4">
      <c r="A818">
        <v>816</v>
      </c>
      <c r="B818" t="s">
        <v>796</v>
      </c>
      <c r="C818" t="s">
        <v>796</v>
      </c>
    </row>
    <row r="819" spans="1:3" x14ac:dyDescent="0.4">
      <c r="A819">
        <v>817</v>
      </c>
      <c r="B819" t="s">
        <v>797</v>
      </c>
      <c r="C819" t="s">
        <v>797</v>
      </c>
    </row>
    <row r="820" spans="1:3" x14ac:dyDescent="0.4">
      <c r="A820">
        <v>818</v>
      </c>
      <c r="B820" t="s">
        <v>798</v>
      </c>
      <c r="C820" t="s">
        <v>798</v>
      </c>
    </row>
    <row r="821" spans="1:3" x14ac:dyDescent="0.4">
      <c r="A821">
        <v>819</v>
      </c>
      <c r="B821" t="s">
        <v>799</v>
      </c>
      <c r="C821" t="s">
        <v>799</v>
      </c>
    </row>
    <row r="822" spans="1:3" x14ac:dyDescent="0.4">
      <c r="A822">
        <v>820</v>
      </c>
      <c r="B822" t="s">
        <v>800</v>
      </c>
      <c r="C822" t="s">
        <v>800</v>
      </c>
    </row>
    <row r="823" spans="1:3" x14ac:dyDescent="0.4">
      <c r="A823">
        <v>821</v>
      </c>
      <c r="B823" t="s">
        <v>801</v>
      </c>
      <c r="C823" t="s">
        <v>801</v>
      </c>
    </row>
    <row r="824" spans="1:3" x14ac:dyDescent="0.4">
      <c r="A824">
        <v>822</v>
      </c>
      <c r="B824" t="s">
        <v>802</v>
      </c>
      <c r="C824" t="s">
        <v>802</v>
      </c>
    </row>
    <row r="825" spans="1:3" x14ac:dyDescent="0.4">
      <c r="A825">
        <v>823</v>
      </c>
      <c r="B825" t="s">
        <v>803</v>
      </c>
      <c r="C825" t="s">
        <v>803</v>
      </c>
    </row>
    <row r="826" spans="1:3" x14ac:dyDescent="0.4">
      <c r="A826">
        <v>824</v>
      </c>
      <c r="B826" t="s">
        <v>804</v>
      </c>
      <c r="C826" t="s">
        <v>804</v>
      </c>
    </row>
    <row r="827" spans="1:3" x14ac:dyDescent="0.4">
      <c r="A827">
        <v>825</v>
      </c>
      <c r="B827" t="s">
        <v>805</v>
      </c>
      <c r="C827" t="s">
        <v>805</v>
      </c>
    </row>
    <row r="828" spans="1:3" x14ac:dyDescent="0.4">
      <c r="A828">
        <v>826</v>
      </c>
      <c r="B828" t="s">
        <v>806</v>
      </c>
      <c r="C828" t="s">
        <v>806</v>
      </c>
    </row>
    <row r="829" spans="1:3" x14ac:dyDescent="0.4">
      <c r="A829">
        <v>827</v>
      </c>
      <c r="B829" t="s">
        <v>807</v>
      </c>
      <c r="C829" t="s">
        <v>807</v>
      </c>
    </row>
    <row r="830" spans="1:3" x14ac:dyDescent="0.4">
      <c r="A830">
        <v>828</v>
      </c>
      <c r="B830" t="s">
        <v>808</v>
      </c>
      <c r="C830" t="s">
        <v>808</v>
      </c>
    </row>
    <row r="831" spans="1:3" x14ac:dyDescent="0.4">
      <c r="A831">
        <v>829</v>
      </c>
      <c r="B831" t="s">
        <v>809</v>
      </c>
      <c r="C831" t="s">
        <v>809</v>
      </c>
    </row>
    <row r="832" spans="1:3" x14ac:dyDescent="0.4">
      <c r="A832">
        <v>830</v>
      </c>
      <c r="B832" t="s">
        <v>810</v>
      </c>
      <c r="C832" t="s">
        <v>810</v>
      </c>
    </row>
    <row r="833" spans="1:3" x14ac:dyDescent="0.4">
      <c r="A833">
        <v>831</v>
      </c>
      <c r="B833" t="s">
        <v>811</v>
      </c>
      <c r="C833" t="s">
        <v>811</v>
      </c>
    </row>
    <row r="834" spans="1:3" x14ac:dyDescent="0.4">
      <c r="A834">
        <v>832</v>
      </c>
      <c r="B834" t="s">
        <v>812</v>
      </c>
      <c r="C834" t="s">
        <v>812</v>
      </c>
    </row>
    <row r="835" spans="1:3" x14ac:dyDescent="0.4">
      <c r="A835">
        <v>833</v>
      </c>
      <c r="B835" t="s">
        <v>813</v>
      </c>
      <c r="C835" t="s">
        <v>813</v>
      </c>
    </row>
    <row r="836" spans="1:3" x14ac:dyDescent="0.4">
      <c r="A836">
        <v>834</v>
      </c>
      <c r="B836" t="s">
        <v>814</v>
      </c>
      <c r="C836" t="s">
        <v>814</v>
      </c>
    </row>
    <row r="837" spans="1:3" x14ac:dyDescent="0.4">
      <c r="A837">
        <v>835</v>
      </c>
      <c r="B837" t="s">
        <v>815</v>
      </c>
      <c r="C837" t="s">
        <v>815</v>
      </c>
    </row>
    <row r="838" spans="1:3" x14ac:dyDescent="0.4">
      <c r="A838">
        <v>836</v>
      </c>
      <c r="B838" t="s">
        <v>816</v>
      </c>
      <c r="C838" t="s">
        <v>816</v>
      </c>
    </row>
    <row r="839" spans="1:3" x14ac:dyDescent="0.4">
      <c r="A839">
        <v>837</v>
      </c>
      <c r="B839" t="s">
        <v>125</v>
      </c>
      <c r="C839" t="s">
        <v>1065</v>
      </c>
    </row>
    <row r="840" spans="1:3" x14ac:dyDescent="0.4">
      <c r="A840">
        <v>838</v>
      </c>
      <c r="B840" t="s">
        <v>125</v>
      </c>
      <c r="C840" t="s">
        <v>1066</v>
      </c>
    </row>
    <row r="841" spans="1:3" x14ac:dyDescent="0.4">
      <c r="A841">
        <v>839</v>
      </c>
      <c r="B841" t="s">
        <v>125</v>
      </c>
      <c r="C841" t="s">
        <v>1067</v>
      </c>
    </row>
    <row r="842" spans="1:3" x14ac:dyDescent="0.4">
      <c r="A842">
        <v>840</v>
      </c>
      <c r="B842" t="s">
        <v>125</v>
      </c>
      <c r="C842" t="s">
        <v>1068</v>
      </c>
    </row>
    <row r="843" spans="1:3" x14ac:dyDescent="0.4">
      <c r="A843">
        <v>841</v>
      </c>
      <c r="B843" t="s">
        <v>817</v>
      </c>
      <c r="C843" t="s">
        <v>817</v>
      </c>
    </row>
    <row r="844" spans="1:3" x14ac:dyDescent="0.4">
      <c r="A844">
        <v>842</v>
      </c>
      <c r="B844" t="s">
        <v>818</v>
      </c>
      <c r="C844" t="s">
        <v>818</v>
      </c>
    </row>
    <row r="845" spans="1:3" x14ac:dyDescent="0.4">
      <c r="A845">
        <v>843</v>
      </c>
      <c r="B845" t="s">
        <v>819</v>
      </c>
      <c r="C845" t="s">
        <v>819</v>
      </c>
    </row>
    <row r="846" spans="1:3" x14ac:dyDescent="0.4">
      <c r="A846">
        <v>844</v>
      </c>
      <c r="B846" t="s">
        <v>820</v>
      </c>
      <c r="C846" t="s">
        <v>820</v>
      </c>
    </row>
    <row r="847" spans="1:3" x14ac:dyDescent="0.4">
      <c r="A847">
        <v>845</v>
      </c>
      <c r="B847" t="s">
        <v>821</v>
      </c>
      <c r="C847" t="s">
        <v>821</v>
      </c>
    </row>
    <row r="848" spans="1:3" x14ac:dyDescent="0.4">
      <c r="A848">
        <v>846</v>
      </c>
      <c r="B848" t="s">
        <v>822</v>
      </c>
      <c r="C848" t="s">
        <v>822</v>
      </c>
    </row>
    <row r="849" spans="1:3" x14ac:dyDescent="0.4">
      <c r="A849">
        <v>847</v>
      </c>
      <c r="B849" t="s">
        <v>823</v>
      </c>
      <c r="C849" t="s">
        <v>823</v>
      </c>
    </row>
    <row r="850" spans="1:3" x14ac:dyDescent="0.4">
      <c r="A850">
        <v>848</v>
      </c>
      <c r="B850" t="s">
        <v>125</v>
      </c>
      <c r="C850" t="s">
        <v>1069</v>
      </c>
    </row>
    <row r="851" spans="1:3" x14ac:dyDescent="0.4">
      <c r="A851">
        <v>849</v>
      </c>
      <c r="B851" t="s">
        <v>824</v>
      </c>
      <c r="C851" t="s">
        <v>824</v>
      </c>
    </row>
    <row r="852" spans="1:3" x14ac:dyDescent="0.4">
      <c r="A852">
        <v>850</v>
      </c>
      <c r="B852" t="s">
        <v>825</v>
      </c>
      <c r="C852" t="s">
        <v>825</v>
      </c>
    </row>
    <row r="853" spans="1:3" x14ac:dyDescent="0.4">
      <c r="A853">
        <v>851</v>
      </c>
      <c r="B853" t="s">
        <v>826</v>
      </c>
      <c r="C853" t="s">
        <v>826</v>
      </c>
    </row>
    <row r="854" spans="1:3" x14ac:dyDescent="0.4">
      <c r="A854">
        <v>852</v>
      </c>
      <c r="B854" t="s">
        <v>827</v>
      </c>
      <c r="C854" t="s">
        <v>827</v>
      </c>
    </row>
    <row r="855" spans="1:3" x14ac:dyDescent="0.4">
      <c r="A855">
        <v>853</v>
      </c>
      <c r="B855" t="s">
        <v>828</v>
      </c>
      <c r="C855" t="s">
        <v>828</v>
      </c>
    </row>
    <row r="856" spans="1:3" x14ac:dyDescent="0.4">
      <c r="A856">
        <v>854</v>
      </c>
      <c r="B856" t="s">
        <v>829</v>
      </c>
      <c r="C856" t="s">
        <v>829</v>
      </c>
    </row>
    <row r="857" spans="1:3" x14ac:dyDescent="0.4">
      <c r="A857">
        <v>855</v>
      </c>
      <c r="B857" t="s">
        <v>830</v>
      </c>
      <c r="C857" t="s">
        <v>830</v>
      </c>
    </row>
    <row r="858" spans="1:3" x14ac:dyDescent="0.4">
      <c r="A858">
        <v>856</v>
      </c>
      <c r="B858" t="s">
        <v>831</v>
      </c>
      <c r="C858" t="s">
        <v>831</v>
      </c>
    </row>
    <row r="859" spans="1:3" x14ac:dyDescent="0.4">
      <c r="A859">
        <v>857</v>
      </c>
      <c r="B859" t="s">
        <v>832</v>
      </c>
      <c r="C859" t="s">
        <v>832</v>
      </c>
    </row>
    <row r="860" spans="1:3" x14ac:dyDescent="0.4">
      <c r="A860">
        <v>858</v>
      </c>
      <c r="B860" t="s">
        <v>833</v>
      </c>
      <c r="C860" t="s">
        <v>833</v>
      </c>
    </row>
    <row r="861" spans="1:3" x14ac:dyDescent="0.4">
      <c r="A861">
        <v>859</v>
      </c>
      <c r="B861" t="s">
        <v>125</v>
      </c>
      <c r="C861" t="s">
        <v>1070</v>
      </c>
    </row>
    <row r="862" spans="1:3" x14ac:dyDescent="0.4">
      <c r="A862">
        <v>860</v>
      </c>
      <c r="B862" t="s">
        <v>834</v>
      </c>
      <c r="C862" t="s">
        <v>834</v>
      </c>
    </row>
    <row r="863" spans="1:3" x14ac:dyDescent="0.4">
      <c r="A863">
        <v>861</v>
      </c>
      <c r="B863" t="s">
        <v>125</v>
      </c>
      <c r="C863" t="s">
        <v>1027</v>
      </c>
    </row>
    <row r="864" spans="1:3" x14ac:dyDescent="0.4">
      <c r="A864">
        <v>862</v>
      </c>
      <c r="B864" t="s">
        <v>125</v>
      </c>
      <c r="C864" t="s">
        <v>1071</v>
      </c>
    </row>
    <row r="865" spans="1:3" x14ac:dyDescent="0.4">
      <c r="A865">
        <v>863</v>
      </c>
      <c r="B865" t="s">
        <v>125</v>
      </c>
      <c r="C865" t="s">
        <v>1072</v>
      </c>
    </row>
    <row r="866" spans="1:3" x14ac:dyDescent="0.4">
      <c r="A866">
        <v>864</v>
      </c>
      <c r="B866" t="s">
        <v>125</v>
      </c>
      <c r="C866" t="s">
        <v>1073</v>
      </c>
    </row>
    <row r="867" spans="1:3" x14ac:dyDescent="0.4">
      <c r="A867">
        <v>865</v>
      </c>
      <c r="B867" t="s">
        <v>125</v>
      </c>
      <c r="C867" t="s">
        <v>1074</v>
      </c>
    </row>
    <row r="868" spans="1:3" x14ac:dyDescent="0.4">
      <c r="A868">
        <v>866</v>
      </c>
      <c r="B868" t="s">
        <v>125</v>
      </c>
      <c r="C868" t="s">
        <v>1075</v>
      </c>
    </row>
    <row r="869" spans="1:3" x14ac:dyDescent="0.4">
      <c r="A869">
        <v>867</v>
      </c>
      <c r="B869" t="s">
        <v>125</v>
      </c>
      <c r="C869" t="s">
        <v>1076</v>
      </c>
    </row>
    <row r="870" spans="1:3" x14ac:dyDescent="0.4">
      <c r="A870">
        <v>868</v>
      </c>
      <c r="B870" t="s">
        <v>125</v>
      </c>
      <c r="C870" t="s">
        <v>1077</v>
      </c>
    </row>
    <row r="871" spans="1:3" x14ac:dyDescent="0.4">
      <c r="A871">
        <v>869</v>
      </c>
      <c r="B871" t="s">
        <v>125</v>
      </c>
      <c r="C871" t="s">
        <v>1078</v>
      </c>
    </row>
    <row r="872" spans="1:3" x14ac:dyDescent="0.4">
      <c r="A872">
        <v>870</v>
      </c>
      <c r="B872" t="s">
        <v>125</v>
      </c>
      <c r="C872" t="s">
        <v>1079</v>
      </c>
    </row>
    <row r="873" spans="1:3" x14ac:dyDescent="0.4">
      <c r="A873">
        <v>871</v>
      </c>
      <c r="B873" t="s">
        <v>125</v>
      </c>
      <c r="C873" t="s">
        <v>1080</v>
      </c>
    </row>
    <row r="874" spans="1:3" x14ac:dyDescent="0.4">
      <c r="A874">
        <v>872</v>
      </c>
      <c r="B874" t="s">
        <v>125</v>
      </c>
      <c r="C874" t="s">
        <v>1081</v>
      </c>
    </row>
    <row r="875" spans="1:3" x14ac:dyDescent="0.4">
      <c r="A875">
        <v>873</v>
      </c>
      <c r="B875" t="s">
        <v>125</v>
      </c>
      <c r="C875" t="s">
        <v>1082</v>
      </c>
    </row>
    <row r="876" spans="1:3" x14ac:dyDescent="0.4">
      <c r="A876">
        <v>874</v>
      </c>
      <c r="B876" t="s">
        <v>125</v>
      </c>
      <c r="C876" t="s">
        <v>1083</v>
      </c>
    </row>
    <row r="877" spans="1:3" x14ac:dyDescent="0.4">
      <c r="A877">
        <v>875</v>
      </c>
      <c r="B877" t="s">
        <v>125</v>
      </c>
      <c r="C877" t="s">
        <v>1084</v>
      </c>
    </row>
    <row r="878" spans="1:3" x14ac:dyDescent="0.4">
      <c r="A878">
        <v>876</v>
      </c>
      <c r="B878" t="s">
        <v>125</v>
      </c>
      <c r="C878" t="s">
        <v>1085</v>
      </c>
    </row>
    <row r="879" spans="1:3" x14ac:dyDescent="0.4">
      <c r="A879">
        <v>877</v>
      </c>
      <c r="B879" t="s">
        <v>125</v>
      </c>
      <c r="C879" t="s">
        <v>1086</v>
      </c>
    </row>
    <row r="880" spans="1:3" x14ac:dyDescent="0.4">
      <c r="A880">
        <v>878</v>
      </c>
      <c r="B880" t="s">
        <v>125</v>
      </c>
      <c r="C880" t="s">
        <v>1094</v>
      </c>
    </row>
    <row r="881" spans="1:3" x14ac:dyDescent="0.4">
      <c r="A881">
        <v>879</v>
      </c>
      <c r="B881" t="s">
        <v>835</v>
      </c>
      <c r="C881" t="s">
        <v>835</v>
      </c>
    </row>
    <row r="882" spans="1:3" x14ac:dyDescent="0.4">
      <c r="A882">
        <v>880</v>
      </c>
      <c r="B882" t="s">
        <v>836</v>
      </c>
      <c r="C882" t="s">
        <v>836</v>
      </c>
    </row>
    <row r="883" spans="1:3" x14ac:dyDescent="0.4">
      <c r="A883">
        <v>881</v>
      </c>
      <c r="B883" t="s">
        <v>837</v>
      </c>
      <c r="C883" t="s">
        <v>837</v>
      </c>
    </row>
    <row r="884" spans="1:3" x14ac:dyDescent="0.4">
      <c r="A884">
        <v>882</v>
      </c>
      <c r="B884" t="s">
        <v>838</v>
      </c>
      <c r="C884" t="s">
        <v>838</v>
      </c>
    </row>
    <row r="885" spans="1:3" x14ac:dyDescent="0.4">
      <c r="A885">
        <v>883</v>
      </c>
      <c r="B885" t="s">
        <v>839</v>
      </c>
      <c r="C885" t="s">
        <v>839</v>
      </c>
    </row>
    <row r="886" spans="1:3" x14ac:dyDescent="0.4">
      <c r="A886">
        <v>884</v>
      </c>
      <c r="B886" t="s">
        <v>840</v>
      </c>
      <c r="C886" t="s">
        <v>840</v>
      </c>
    </row>
    <row r="887" spans="1:3" x14ac:dyDescent="0.4">
      <c r="A887">
        <v>885</v>
      </c>
      <c r="B887" t="s">
        <v>125</v>
      </c>
      <c r="C887" t="s">
        <v>1087</v>
      </c>
    </row>
    <row r="888" spans="1:3" x14ac:dyDescent="0.4">
      <c r="A888">
        <v>886</v>
      </c>
      <c r="B888" t="s">
        <v>125</v>
      </c>
      <c r="C888" t="s">
        <v>1088</v>
      </c>
    </row>
    <row r="889" spans="1:3" x14ac:dyDescent="0.4">
      <c r="A889">
        <v>887</v>
      </c>
      <c r="B889" t="s">
        <v>125</v>
      </c>
      <c r="C889" t="s">
        <v>1089</v>
      </c>
    </row>
    <row r="890" spans="1:3" x14ac:dyDescent="0.4">
      <c r="A890">
        <v>888</v>
      </c>
      <c r="B890" t="s">
        <v>125</v>
      </c>
      <c r="C890" t="s">
        <v>1090</v>
      </c>
    </row>
    <row r="891" spans="1:3" x14ac:dyDescent="0.4">
      <c r="A891">
        <v>889</v>
      </c>
      <c r="B891" t="s">
        <v>125</v>
      </c>
      <c r="C891" t="s">
        <v>1091</v>
      </c>
    </row>
    <row r="892" spans="1:3" x14ac:dyDescent="0.4">
      <c r="A892">
        <v>890</v>
      </c>
      <c r="B892" t="s">
        <v>125</v>
      </c>
      <c r="C892" t="s">
        <v>1092</v>
      </c>
    </row>
    <row r="893" spans="1:3" x14ac:dyDescent="0.4">
      <c r="A893">
        <v>891</v>
      </c>
      <c r="B893" t="s">
        <v>125</v>
      </c>
      <c r="C893" t="s">
        <v>1093</v>
      </c>
    </row>
    <row r="894" spans="1:3" x14ac:dyDescent="0.4">
      <c r="A894">
        <v>892</v>
      </c>
      <c r="B894" t="s">
        <v>125</v>
      </c>
      <c r="C894" t="s">
        <v>1094</v>
      </c>
    </row>
    <row r="895" spans="1:3" x14ac:dyDescent="0.4">
      <c r="A895">
        <v>893</v>
      </c>
      <c r="B895" t="s">
        <v>125</v>
      </c>
      <c r="C895" t="s">
        <v>1095</v>
      </c>
    </row>
    <row r="896" spans="1:3" x14ac:dyDescent="0.4">
      <c r="A896">
        <v>894</v>
      </c>
      <c r="B896" t="s">
        <v>125</v>
      </c>
      <c r="C896" t="s">
        <v>1096</v>
      </c>
    </row>
    <row r="897" spans="1:3" x14ac:dyDescent="0.4">
      <c r="A897">
        <v>895</v>
      </c>
      <c r="B897" t="s">
        <v>125</v>
      </c>
      <c r="C897" t="s">
        <v>1097</v>
      </c>
    </row>
    <row r="898" spans="1:3" x14ac:dyDescent="0.4">
      <c r="A898">
        <v>896</v>
      </c>
      <c r="B898" t="s">
        <v>125</v>
      </c>
      <c r="C898" t="s">
        <v>1098</v>
      </c>
    </row>
    <row r="899" spans="1:3" x14ac:dyDescent="0.4">
      <c r="A899">
        <v>897</v>
      </c>
      <c r="B899" t="s">
        <v>125</v>
      </c>
      <c r="C899" t="s">
        <v>1099</v>
      </c>
    </row>
    <row r="900" spans="1:3" x14ac:dyDescent="0.4">
      <c r="A900">
        <v>898</v>
      </c>
      <c r="B900" t="s">
        <v>125</v>
      </c>
      <c r="C900" t="s">
        <v>1100</v>
      </c>
    </row>
    <row r="901" spans="1:3" x14ac:dyDescent="0.4">
      <c r="A901">
        <v>899</v>
      </c>
      <c r="B901" t="s">
        <v>125</v>
      </c>
      <c r="C901" t="s">
        <v>1101</v>
      </c>
    </row>
    <row r="902" spans="1:3" x14ac:dyDescent="0.4">
      <c r="A902">
        <v>900</v>
      </c>
      <c r="B902" t="s">
        <v>125</v>
      </c>
      <c r="C902" t="s">
        <v>1102</v>
      </c>
    </row>
    <row r="903" spans="1:3" x14ac:dyDescent="0.4">
      <c r="A903">
        <v>901</v>
      </c>
      <c r="B903" t="s">
        <v>125</v>
      </c>
      <c r="C903" t="s">
        <v>1103</v>
      </c>
    </row>
    <row r="904" spans="1:3" x14ac:dyDescent="0.4">
      <c r="A904">
        <v>902</v>
      </c>
      <c r="B904" t="s">
        <v>125</v>
      </c>
      <c r="C904" t="s">
        <v>125</v>
      </c>
    </row>
    <row r="905" spans="1:3" x14ac:dyDescent="0.4">
      <c r="A905">
        <v>903</v>
      </c>
      <c r="B905" t="s">
        <v>125</v>
      </c>
      <c r="C905" t="s">
        <v>125</v>
      </c>
    </row>
    <row r="906" spans="1:3" x14ac:dyDescent="0.4">
      <c r="A906">
        <v>904</v>
      </c>
      <c r="B906" t="s">
        <v>841</v>
      </c>
      <c r="C906" t="s">
        <v>841</v>
      </c>
    </row>
    <row r="907" spans="1:3" x14ac:dyDescent="0.4">
      <c r="A907">
        <v>905</v>
      </c>
      <c r="B907" t="s">
        <v>842</v>
      </c>
      <c r="C907" t="s">
        <v>842</v>
      </c>
    </row>
    <row r="908" spans="1:3" x14ac:dyDescent="0.4">
      <c r="A908">
        <v>906</v>
      </c>
      <c r="B908" t="s">
        <v>843</v>
      </c>
      <c r="C908" t="s">
        <v>843</v>
      </c>
    </row>
    <row r="909" spans="1:3" x14ac:dyDescent="0.4">
      <c r="A909">
        <v>907</v>
      </c>
      <c r="B909" t="s">
        <v>844</v>
      </c>
      <c r="C909" t="s">
        <v>844</v>
      </c>
    </row>
    <row r="910" spans="1:3" x14ac:dyDescent="0.4">
      <c r="A910">
        <v>908</v>
      </c>
      <c r="B910" t="s">
        <v>845</v>
      </c>
      <c r="C910" t="s">
        <v>845</v>
      </c>
    </row>
    <row r="911" spans="1:3" x14ac:dyDescent="0.4">
      <c r="A911">
        <v>909</v>
      </c>
      <c r="B911" t="s">
        <v>846</v>
      </c>
      <c r="C911" t="s">
        <v>846</v>
      </c>
    </row>
    <row r="912" spans="1:3" x14ac:dyDescent="0.4">
      <c r="A912">
        <v>910</v>
      </c>
      <c r="B912" t="s">
        <v>847</v>
      </c>
      <c r="C912" t="s">
        <v>847</v>
      </c>
    </row>
    <row r="913" spans="1:3" x14ac:dyDescent="0.4">
      <c r="A913">
        <v>911</v>
      </c>
      <c r="B913" t="s">
        <v>848</v>
      </c>
      <c r="C913" t="s">
        <v>848</v>
      </c>
    </row>
    <row r="914" spans="1:3" x14ac:dyDescent="0.4">
      <c r="A914">
        <v>912</v>
      </c>
      <c r="B914" t="s">
        <v>849</v>
      </c>
      <c r="C914" t="s">
        <v>849</v>
      </c>
    </row>
    <row r="915" spans="1:3" x14ac:dyDescent="0.4">
      <c r="A915">
        <v>913</v>
      </c>
      <c r="B915" t="s">
        <v>850</v>
      </c>
      <c r="C915" t="s">
        <v>850</v>
      </c>
    </row>
    <row r="916" spans="1:3" x14ac:dyDescent="0.4">
      <c r="A916">
        <v>914</v>
      </c>
      <c r="B916" t="s">
        <v>851</v>
      </c>
      <c r="C916" t="s">
        <v>851</v>
      </c>
    </row>
    <row r="917" spans="1:3" x14ac:dyDescent="0.4">
      <c r="A917">
        <v>915</v>
      </c>
      <c r="B917" t="s">
        <v>852</v>
      </c>
      <c r="C917" t="s">
        <v>852</v>
      </c>
    </row>
    <row r="918" spans="1:3" x14ac:dyDescent="0.4">
      <c r="A918">
        <v>916</v>
      </c>
      <c r="B918" t="s">
        <v>853</v>
      </c>
      <c r="C918" t="s">
        <v>853</v>
      </c>
    </row>
    <row r="919" spans="1:3" x14ac:dyDescent="0.4">
      <c r="A919">
        <v>917</v>
      </c>
      <c r="B919" t="s">
        <v>854</v>
      </c>
      <c r="C919" t="s">
        <v>854</v>
      </c>
    </row>
    <row r="920" spans="1:3" x14ac:dyDescent="0.4">
      <c r="A920">
        <v>918</v>
      </c>
      <c r="B920" t="s">
        <v>855</v>
      </c>
      <c r="C920" t="s">
        <v>855</v>
      </c>
    </row>
    <row r="921" spans="1:3" x14ac:dyDescent="0.4">
      <c r="A921">
        <v>919</v>
      </c>
      <c r="B921" t="s">
        <v>856</v>
      </c>
      <c r="C921" t="s">
        <v>856</v>
      </c>
    </row>
    <row r="922" spans="1:3" x14ac:dyDescent="0.4">
      <c r="A922">
        <v>920</v>
      </c>
      <c r="B922" t="s">
        <v>857</v>
      </c>
      <c r="C922" t="s">
        <v>857</v>
      </c>
    </row>
    <row r="923" spans="1:3" x14ac:dyDescent="0.4">
      <c r="A923">
        <v>921</v>
      </c>
      <c r="B923" t="s">
        <v>858</v>
      </c>
      <c r="C923" t="s">
        <v>858</v>
      </c>
    </row>
    <row r="924" spans="1:3" x14ac:dyDescent="0.4">
      <c r="A924">
        <v>922</v>
      </c>
      <c r="B924" t="s">
        <v>859</v>
      </c>
      <c r="C924" t="s">
        <v>859</v>
      </c>
    </row>
    <row r="925" spans="1:3" x14ac:dyDescent="0.4">
      <c r="A925">
        <v>923</v>
      </c>
      <c r="B925" t="s">
        <v>860</v>
      </c>
      <c r="C925" t="s">
        <v>860</v>
      </c>
    </row>
    <row r="926" spans="1:3" x14ac:dyDescent="0.4">
      <c r="A926">
        <v>924</v>
      </c>
      <c r="B926" t="s">
        <v>861</v>
      </c>
      <c r="C926" t="s">
        <v>861</v>
      </c>
    </row>
    <row r="927" spans="1:3" x14ac:dyDescent="0.4">
      <c r="A927">
        <v>925</v>
      </c>
      <c r="B927" t="s">
        <v>862</v>
      </c>
      <c r="C927" t="s">
        <v>862</v>
      </c>
    </row>
    <row r="928" spans="1:3" x14ac:dyDescent="0.4">
      <c r="A928">
        <v>926</v>
      </c>
      <c r="B928" t="s">
        <v>863</v>
      </c>
      <c r="C928" t="s">
        <v>863</v>
      </c>
    </row>
    <row r="929" spans="1:3" x14ac:dyDescent="0.4">
      <c r="A929">
        <v>927</v>
      </c>
      <c r="B929" t="s">
        <v>858</v>
      </c>
      <c r="C929" t="s">
        <v>858</v>
      </c>
    </row>
    <row r="930" spans="1:3" x14ac:dyDescent="0.4">
      <c r="A930">
        <v>928</v>
      </c>
      <c r="B930" t="s">
        <v>859</v>
      </c>
      <c r="C930" t="s">
        <v>859</v>
      </c>
    </row>
    <row r="931" spans="1:3" x14ac:dyDescent="0.4">
      <c r="A931">
        <v>929</v>
      </c>
      <c r="B931" t="s">
        <v>864</v>
      </c>
      <c r="C931" t="s">
        <v>864</v>
      </c>
    </row>
    <row r="932" spans="1:3" x14ac:dyDescent="0.4">
      <c r="A932">
        <v>930</v>
      </c>
      <c r="B932" t="s">
        <v>865</v>
      </c>
      <c r="C932" t="s">
        <v>865</v>
      </c>
    </row>
    <row r="933" spans="1:3" x14ac:dyDescent="0.4">
      <c r="A933">
        <v>931</v>
      </c>
      <c r="B933" t="s">
        <v>866</v>
      </c>
      <c r="C933" t="s">
        <v>866</v>
      </c>
    </row>
    <row r="934" spans="1:3" x14ac:dyDescent="0.4">
      <c r="A934">
        <v>932</v>
      </c>
      <c r="B934" t="s">
        <v>867</v>
      </c>
      <c r="C934" t="s">
        <v>867</v>
      </c>
    </row>
    <row r="935" spans="1:3" x14ac:dyDescent="0.4">
      <c r="A935">
        <v>933</v>
      </c>
      <c r="B935" t="s">
        <v>868</v>
      </c>
      <c r="C935" t="s">
        <v>868</v>
      </c>
    </row>
    <row r="936" spans="1:3" x14ac:dyDescent="0.4">
      <c r="A936">
        <v>934</v>
      </c>
      <c r="B936" t="s">
        <v>869</v>
      </c>
      <c r="C936" t="s">
        <v>869</v>
      </c>
    </row>
    <row r="937" spans="1:3" x14ac:dyDescent="0.4">
      <c r="A937">
        <v>935</v>
      </c>
      <c r="B937" t="s">
        <v>870</v>
      </c>
      <c r="C937" t="s">
        <v>870</v>
      </c>
    </row>
    <row r="938" spans="1:3" x14ac:dyDescent="0.4">
      <c r="A938">
        <v>936</v>
      </c>
      <c r="B938" t="s">
        <v>871</v>
      </c>
      <c r="C938" t="s">
        <v>871</v>
      </c>
    </row>
    <row r="939" spans="1:3" x14ac:dyDescent="0.4">
      <c r="A939">
        <v>937</v>
      </c>
      <c r="B939" t="s">
        <v>872</v>
      </c>
      <c r="C939" t="s">
        <v>872</v>
      </c>
    </row>
    <row r="940" spans="1:3" x14ac:dyDescent="0.4">
      <c r="A940">
        <v>938</v>
      </c>
      <c r="B940" t="s">
        <v>873</v>
      </c>
      <c r="C940" t="s">
        <v>873</v>
      </c>
    </row>
    <row r="941" spans="1:3" x14ac:dyDescent="0.4">
      <c r="A941">
        <v>939</v>
      </c>
      <c r="B941" t="s">
        <v>874</v>
      </c>
      <c r="C941" t="s">
        <v>874</v>
      </c>
    </row>
    <row r="942" spans="1:3" x14ac:dyDescent="0.4">
      <c r="A942">
        <v>940</v>
      </c>
      <c r="B942" t="s">
        <v>875</v>
      </c>
      <c r="C942" t="s">
        <v>875</v>
      </c>
    </row>
    <row r="943" spans="1:3" x14ac:dyDescent="0.4">
      <c r="A943">
        <v>941</v>
      </c>
      <c r="B943" t="s">
        <v>876</v>
      </c>
      <c r="C943" t="s">
        <v>876</v>
      </c>
    </row>
    <row r="944" spans="1:3" x14ac:dyDescent="0.4">
      <c r="A944">
        <v>942</v>
      </c>
      <c r="B944" t="s">
        <v>877</v>
      </c>
      <c r="C944" t="s">
        <v>877</v>
      </c>
    </row>
    <row r="945" spans="1:3" x14ac:dyDescent="0.4">
      <c r="A945">
        <v>943</v>
      </c>
      <c r="B945" t="s">
        <v>878</v>
      </c>
      <c r="C945" t="s">
        <v>878</v>
      </c>
    </row>
    <row r="946" spans="1:3" x14ac:dyDescent="0.4">
      <c r="A946">
        <v>944</v>
      </c>
      <c r="B946" t="s">
        <v>879</v>
      </c>
      <c r="C946" t="s">
        <v>879</v>
      </c>
    </row>
    <row r="947" spans="1:3" x14ac:dyDescent="0.4">
      <c r="A947">
        <v>945</v>
      </c>
      <c r="B947" t="s">
        <v>878</v>
      </c>
      <c r="C947" t="s">
        <v>878</v>
      </c>
    </row>
    <row r="948" spans="1:3" x14ac:dyDescent="0.4">
      <c r="A948">
        <v>946</v>
      </c>
      <c r="B948" t="s">
        <v>879</v>
      </c>
      <c r="C948" t="s">
        <v>879</v>
      </c>
    </row>
    <row r="949" spans="1:3" x14ac:dyDescent="0.4">
      <c r="A949">
        <v>947</v>
      </c>
      <c r="B949" t="s">
        <v>880</v>
      </c>
      <c r="C949" t="s">
        <v>880</v>
      </c>
    </row>
    <row r="950" spans="1:3" x14ac:dyDescent="0.4">
      <c r="A950">
        <v>948</v>
      </c>
      <c r="B950" t="s">
        <v>881</v>
      </c>
      <c r="C950" t="s">
        <v>881</v>
      </c>
    </row>
    <row r="951" spans="1:3" x14ac:dyDescent="0.4">
      <c r="A951">
        <v>949</v>
      </c>
      <c r="B951" t="s">
        <v>882</v>
      </c>
      <c r="C951" t="s">
        <v>882</v>
      </c>
    </row>
    <row r="952" spans="1:3" x14ac:dyDescent="0.4">
      <c r="A952">
        <v>950</v>
      </c>
      <c r="B952" t="s">
        <v>883</v>
      </c>
      <c r="C952" t="s">
        <v>883</v>
      </c>
    </row>
    <row r="953" spans="1:3" x14ac:dyDescent="0.4">
      <c r="A953">
        <v>951</v>
      </c>
      <c r="B953" t="s">
        <v>884</v>
      </c>
      <c r="C953" t="s">
        <v>884</v>
      </c>
    </row>
    <row r="954" spans="1:3" x14ac:dyDescent="0.4">
      <c r="A954">
        <v>952</v>
      </c>
      <c r="B954" t="s">
        <v>885</v>
      </c>
      <c r="C954" t="s">
        <v>885</v>
      </c>
    </row>
    <row r="955" spans="1:3" x14ac:dyDescent="0.4">
      <c r="A955">
        <v>953</v>
      </c>
      <c r="B955" t="s">
        <v>886</v>
      </c>
      <c r="C955" t="s">
        <v>886</v>
      </c>
    </row>
    <row r="956" spans="1:3" x14ac:dyDescent="0.4">
      <c r="A956">
        <v>954</v>
      </c>
      <c r="B956" t="s">
        <v>887</v>
      </c>
      <c r="C956" t="s">
        <v>887</v>
      </c>
    </row>
    <row r="957" spans="1:3" x14ac:dyDescent="0.4">
      <c r="A957">
        <v>955</v>
      </c>
      <c r="B957" t="s">
        <v>888</v>
      </c>
      <c r="C957" t="s">
        <v>888</v>
      </c>
    </row>
    <row r="958" spans="1:3" x14ac:dyDescent="0.4">
      <c r="A958">
        <v>956</v>
      </c>
      <c r="B958" t="s">
        <v>889</v>
      </c>
      <c r="C958" t="s">
        <v>889</v>
      </c>
    </row>
    <row r="959" spans="1:3" x14ac:dyDescent="0.4">
      <c r="A959">
        <v>957</v>
      </c>
      <c r="B959" t="s">
        <v>890</v>
      </c>
      <c r="C959" t="s">
        <v>890</v>
      </c>
    </row>
    <row r="960" spans="1:3" x14ac:dyDescent="0.4">
      <c r="A960">
        <v>958</v>
      </c>
      <c r="B960" t="s">
        <v>891</v>
      </c>
      <c r="C960" t="s">
        <v>891</v>
      </c>
    </row>
    <row r="961" spans="1:3" x14ac:dyDescent="0.4">
      <c r="A961">
        <v>959</v>
      </c>
      <c r="B961" t="s">
        <v>892</v>
      </c>
      <c r="C961" t="s">
        <v>892</v>
      </c>
    </row>
    <row r="962" spans="1:3" x14ac:dyDescent="0.4">
      <c r="A962">
        <v>960</v>
      </c>
      <c r="C962" t="s">
        <v>1005</v>
      </c>
    </row>
    <row r="963" spans="1:3" x14ac:dyDescent="0.4">
      <c r="A963">
        <v>961</v>
      </c>
      <c r="C963" t="s">
        <v>1006</v>
      </c>
    </row>
    <row r="964" spans="1:3" x14ac:dyDescent="0.4">
      <c r="A964">
        <v>962</v>
      </c>
      <c r="C964" t="s">
        <v>1007</v>
      </c>
    </row>
    <row r="965" spans="1:3" x14ac:dyDescent="0.4">
      <c r="A965">
        <v>963</v>
      </c>
      <c r="C965" t="s">
        <v>1008</v>
      </c>
    </row>
    <row r="966" spans="1:3" x14ac:dyDescent="0.4">
      <c r="A966">
        <v>964</v>
      </c>
      <c r="C966" t="s">
        <v>1009</v>
      </c>
    </row>
    <row r="967" spans="1:3" x14ac:dyDescent="0.4">
      <c r="A967">
        <v>965</v>
      </c>
      <c r="C967" t="s">
        <v>1010</v>
      </c>
    </row>
    <row r="968" spans="1:3" x14ac:dyDescent="0.4">
      <c r="A968">
        <v>966</v>
      </c>
      <c r="C968" t="s">
        <v>1011</v>
      </c>
    </row>
    <row r="969" spans="1:3" x14ac:dyDescent="0.4">
      <c r="A969">
        <v>967</v>
      </c>
      <c r="C969" t="s">
        <v>1032</v>
      </c>
    </row>
    <row r="970" spans="1:3" x14ac:dyDescent="0.4">
      <c r="A970">
        <v>968</v>
      </c>
      <c r="C970" t="s">
        <v>1033</v>
      </c>
    </row>
    <row r="971" spans="1:3" x14ac:dyDescent="0.4">
      <c r="A971">
        <v>969</v>
      </c>
      <c r="C971" t="s">
        <v>1034</v>
      </c>
    </row>
    <row r="972" spans="1:3" x14ac:dyDescent="0.4">
      <c r="A972">
        <v>970</v>
      </c>
      <c r="C972" t="s">
        <v>1035</v>
      </c>
    </row>
    <row r="973" spans="1:3" x14ac:dyDescent="0.4">
      <c r="A973">
        <v>971</v>
      </c>
      <c r="C973" t="s">
        <v>1036</v>
      </c>
    </row>
    <row r="974" spans="1:3" x14ac:dyDescent="0.4">
      <c r="A974">
        <v>972</v>
      </c>
      <c r="C974" t="s">
        <v>1037</v>
      </c>
    </row>
    <row r="975" spans="1:3" x14ac:dyDescent="0.4">
      <c r="A975">
        <v>973</v>
      </c>
      <c r="C975" t="s">
        <v>1038</v>
      </c>
    </row>
    <row r="976" spans="1:3" x14ac:dyDescent="0.4">
      <c r="A976">
        <v>974</v>
      </c>
      <c r="C976" t="s">
        <v>1039</v>
      </c>
    </row>
    <row r="977" spans="1:3" x14ac:dyDescent="0.4">
      <c r="A977">
        <v>975</v>
      </c>
      <c r="C977" t="s">
        <v>1040</v>
      </c>
    </row>
    <row r="978" spans="1:3" x14ac:dyDescent="0.4">
      <c r="A978">
        <v>976</v>
      </c>
      <c r="C978" t="s">
        <v>1041</v>
      </c>
    </row>
    <row r="979" spans="1:3" x14ac:dyDescent="0.4">
      <c r="A979">
        <v>977</v>
      </c>
      <c r="C979" t="s">
        <v>1042</v>
      </c>
    </row>
    <row r="980" spans="1:3" x14ac:dyDescent="0.4">
      <c r="A980">
        <v>978</v>
      </c>
      <c r="C980" t="s">
        <v>1043</v>
      </c>
    </row>
    <row r="981" spans="1:3" x14ac:dyDescent="0.4">
      <c r="A981">
        <v>979</v>
      </c>
      <c r="C981" t="s">
        <v>1044</v>
      </c>
    </row>
    <row r="982" spans="1:3" x14ac:dyDescent="0.4">
      <c r="A982">
        <v>980</v>
      </c>
      <c r="C982" t="s">
        <v>1045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Hex</vt:lpstr>
      <vt:lpstr>Edit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</dc:creator>
  <cp:lastModifiedBy>Andrew Baruch</cp:lastModifiedBy>
  <dcterms:created xsi:type="dcterms:W3CDTF">2015-06-05T18:17:20Z</dcterms:created>
  <dcterms:modified xsi:type="dcterms:W3CDTF">2026-06-17T23:14:45Z</dcterms:modified>
</cp:coreProperties>
</file>