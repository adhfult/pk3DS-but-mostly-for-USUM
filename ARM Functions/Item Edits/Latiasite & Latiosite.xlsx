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DB49B3DB-96BE-4882-AB0E-E96B6A1F32D7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A37" i="1"/>
  <c r="A38" i="1" s="1"/>
  <c r="A39" i="1" s="1"/>
  <c r="A40" i="1" s="1"/>
  <c r="A41" i="1" s="1"/>
  <c r="A42" i="1" s="1"/>
  <c r="A43" i="1" s="1"/>
  <c r="A44" i="1" s="1"/>
  <c r="A2" i="1" a="1"/>
  <c r="A2" i="1" s="1"/>
  <c r="C27" i="1"/>
  <c r="C21" i="1" s="1"/>
  <c r="C33" i="1"/>
  <c r="C22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C24" i="1" l="1"/>
  <c r="C25" i="1"/>
  <c r="C17" i="1"/>
  <c r="A4" i="1"/>
  <c r="A5" i="1" s="1"/>
  <c r="A6" i="1" s="1"/>
  <c r="A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<sst xmlns="http://schemas.openxmlformats.org/spreadsheetml/2006/main" count="83" uniqueCount="72">
  <si>
    <t>notes</t>
  </si>
  <si>
    <t>instruction</t>
  </si>
  <si>
    <t>Hex</t>
  </si>
  <si>
    <t>Address</t>
  </si>
  <si>
    <t>0210A0E3</t>
  </si>
  <si>
    <t>001080E5</t>
  </si>
  <si>
    <t>str r1, [r0]</t>
  </si>
  <si>
    <t>00009FE5</t>
  </si>
  <si>
    <t>ldr r0, [pc]</t>
  </si>
  <si>
    <t>1EFF2FE1</t>
  </si>
  <si>
    <t>bx lr</t>
  </si>
  <si>
    <t>00000000</t>
  </si>
  <si>
    <t>bl 0x00092298</t>
  </si>
  <si>
    <t>Latias</t>
  </si>
  <si>
    <t>Latios</t>
  </si>
  <si>
    <t>000FCF70</t>
  </si>
  <si>
    <t>push {r0, r1, r2, r4, lr}</t>
  </si>
  <si>
    <t>0100A0E1</t>
  </si>
  <si>
    <t>mov r0, r1</t>
  </si>
  <si>
    <t>Get pointer to self</t>
  </si>
  <si>
    <t>0210A0E1</t>
  </si>
  <si>
    <t>mov r1, r2</t>
  </si>
  <si>
    <t>mov r4, r0</t>
  </si>
  <si>
    <t>bl 0x000D6F98</t>
  </si>
  <si>
    <t>is Mega</t>
  </si>
  <si>
    <t>cmp r1, 0x1</t>
  </si>
  <si>
    <t>ldrb r1, [r4, 0xC]</t>
  </si>
  <si>
    <t>otherwise not mega, effect depends on species</t>
  </si>
  <si>
    <t>sub r1, r1, 0x100</t>
  </si>
  <si>
    <t>subs r1, r1, 0x7C</t>
  </si>
  <si>
    <t>Mega gets Leftovers</t>
  </si>
  <si>
    <t>Switch Leftovers (0x8A/0x8E), Covert Cloak (0x5F/0x67/0x7B/0x84/0x9D), Radiant Cloak (0x8A/0x8E/0xB2/0xB3)</t>
  </si>
  <si>
    <t>mov r1, 0x9</t>
  </si>
  <si>
    <t>cmp r9, 0x8A</t>
  </si>
  <si>
    <t>beq 0x000BBDB8</t>
  </si>
  <si>
    <t>cmp r9, 0x8E</t>
  </si>
  <si>
    <t>beq 0x000BE2B4</t>
  </si>
  <si>
    <t>Leftovers</t>
  </si>
  <si>
    <t>beq 0x000D7E90</t>
  </si>
  <si>
    <t>beq 0x000D9420</t>
  </si>
  <si>
    <t>Radiant Cloak handling (0x8A/0x8E/0xB2/0xB3)</t>
  </si>
  <si>
    <t>beq 0x000D8948</t>
  </si>
  <si>
    <t>beq 0x000D7ECC</t>
  </si>
  <si>
    <t>cmp r9, 0xB2</t>
  </si>
  <si>
    <t>cmp r9, 0xB3</t>
  </si>
  <si>
    <t>00102D4C</t>
  </si>
  <si>
    <t>8A0059E3</t>
  </si>
  <si>
    <t>FC56FF0A</t>
  </si>
  <si>
    <t>8E0059E3</t>
  </si>
  <si>
    <t>4C54FF0A</t>
  </si>
  <si>
    <t>B20059E3</t>
  </si>
  <si>
    <t>5954FF0A</t>
  </si>
  <si>
    <t>B30059E3</t>
  </si>
  <si>
    <t>AC59FF0A</t>
  </si>
  <si>
    <t>00102EF8</t>
  </si>
  <si>
    <t>17402DE9</t>
  </si>
  <si>
    <t>E33CFEEB</t>
  </si>
  <si>
    <t>0040A0E1</t>
  </si>
  <si>
    <t>2150FFEB</t>
  </si>
  <si>
    <t>010051E3</t>
  </si>
  <si>
    <t>0800000A</t>
  </si>
  <si>
    <t>0C10D4E5</t>
  </si>
  <si>
    <t>011C41E2</t>
  </si>
  <si>
    <t>7C1051E2</t>
  </si>
  <si>
    <t>1740BD08</t>
  </si>
  <si>
    <t>87FFFF0A</t>
  </si>
  <si>
    <t>0700001A</t>
  </si>
  <si>
    <t>1740BDE8</t>
  </si>
  <si>
    <t>91BEFEEA</t>
  </si>
  <si>
    <t>9BE3FE0A</t>
  </si>
  <si>
    <t>D8ECFE0A</t>
  </si>
  <si>
    <t>1780BDE8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</si>
</sst>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ropbox\ROM\3ds\USUM%20ARM%20research\Item%20Edits\Soul%20Dew.xlsx" TargetMode="External"/><Relationship Id="rId1" Type="http://schemas.openxmlformats.org/officeDocument/2006/relationships/externalLinkPath" Target="Soul%20D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"/>
    </sheetNames>
    <sheetDataSet>
      <sheetData sheetId="0">
        <row r="34">
          <cell r="A34" t="str">
            <v>000B2984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44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2109375" style="2" bestFit="1" customWidth="1"/>
    <col min="3" max="3" width="28.92578125" style="2" bestFit="1" customWidth="1"/>
    <col min="4" max="4" width="63.85546875" style="2" bestFit="1" customWidth="1"/>
    <col min="5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Latiasite &amp; Latiosite Call Function</v>
      </c>
      <c r="B2" s="1"/>
      <c r="C2" s="1"/>
      <c r="D2" s="1"/>
    </row>
    <row r="3" spans="1:4">
      <c r="A3" s="2" t="s">
        <v>15</v>
      </c>
      <c r="B3" s="2" t="s">
        <v>4</v>
      </c>
      <c r="C3" s="2" t="s">
        <v>32</v>
      </c>
    </row>
    <row r="4" spans="1:4">
      <c r="A4" s="2" t="str">
        <f>DEC2HEX(HEX2DEC(A3)+4,8)</f>
        <v>000FCF74</v>
      </c>
      <c r="B4" s="3" t="s">
        <v>5</v>
      </c>
      <c r="C4" s="2" t="s">
        <v>6</v>
      </c>
    </row>
    <row r="5" spans="1:4">
      <c r="A5" s="2" t="str">
        <f t="shared" ref="A5:A7" si="0">DEC2HEX(HEX2DEC(A4)+4,8)</f>
        <v>000FCF78</v>
      </c>
      <c r="B5" s="3" t="s">
        <v>7</v>
      </c>
      <c r="C5" s="2" t="s">
        <v>8</v>
      </c>
    </row>
    <row r="6" spans="1:4">
      <c r="A6" s="2" t="str">
        <f t="shared" si="0"/>
        <v>000FCF7C</v>
      </c>
      <c r="B6" s="2" t="s">
        <v>9</v>
      </c>
      <c r="C6" s="2" t="s">
        <v>10</v>
      </c>
    </row>
    <row r="7" spans="1:4">
      <c r="A7" s="2" t="str">
        <f t="shared" si="0"/>
        <v>000FCF80</v>
      </c>
      <c r="B7" s="3" t="s">
        <v>11</v>
      </c>
    </row>
    <row r="9" spans="1:4">
      <c r="A9" s="1" t="s">
        <v>31</v>
      </c>
    </row>
    <row r="10" spans="1:4">
      <c r="A10" s="3" t="s">
        <v>54</v>
      </c>
      <c r="B10" s="2" t="s">
        <v>55</v>
      </c>
      <c r="C10" s="2" t="s">
        <v>16</v>
      </c>
    </row>
    <row r="11" spans="1:4">
      <c r="A11" s="4" t="str">
        <f t="shared" ref="A11:A33" si="1">DEC2HEX(HEX2DEC(A10)+4,8)</f>
        <v>00102EFC</v>
      </c>
      <c r="B11" s="4" t="s">
        <v>17</v>
      </c>
      <c r="C11" s="4" t="s">
        <v>18</v>
      </c>
      <c r="D11" s="4" t="s">
        <v>19</v>
      </c>
    </row>
    <row r="12" spans="1:4">
      <c r="A12" s="4" t="str">
        <f t="shared" si="1"/>
        <v>00102F00</v>
      </c>
      <c r="B12" s="4" t="s">
        <v>20</v>
      </c>
      <c r="C12" s="4" t="s">
        <v>21</v>
      </c>
      <c r="D12" s="4"/>
    </row>
    <row r="13" spans="1:4">
      <c r="A13" s="4" t="str">
        <f t="shared" si="1"/>
        <v>00102F04</v>
      </c>
      <c r="B13" s="5" t="s">
        <v>56</v>
      </c>
      <c r="C13" s="4" t="s">
        <v>12</v>
      </c>
      <c r="D13" s="4"/>
    </row>
    <row r="14" spans="1:4">
      <c r="A14" s="4" t="str">
        <f t="shared" si="1"/>
        <v>00102F08</v>
      </c>
      <c r="B14" s="5" t="s">
        <v>57</v>
      </c>
      <c r="C14" s="4" t="s">
        <v>22</v>
      </c>
      <c r="D14" s="4"/>
    </row>
    <row r="15" spans="1:4">
      <c r="A15" s="6" t="str">
        <f t="shared" si="1"/>
        <v>00102F0C</v>
      </c>
      <c r="B15" s="7" t="s">
        <v>58</v>
      </c>
      <c r="C15" s="6" t="s">
        <v>23</v>
      </c>
      <c r="D15" s="6" t="s">
        <v>24</v>
      </c>
    </row>
    <row r="16" spans="1:4">
      <c r="A16" s="6" t="str">
        <f t="shared" si="1"/>
        <v>00102F10</v>
      </c>
      <c r="B16" s="7" t="s">
        <v>59</v>
      </c>
      <c r="C16" s="6" t="s">
        <v>25</v>
      </c>
      <c r="D16" s="6" t="s">
        <v>30</v>
      </c>
    </row>
    <row r="17" spans="1:4">
      <c r="A17" s="8" t="str">
        <f t="shared" si="1"/>
        <v>00102F14</v>
      </c>
      <c r="B17" s="9" t="s">
        <v>60</v>
      </c>
      <c r="C17" s="8" t="str">
        <f>_xlfn.CONCAT("beq 0x",A27)</f>
        <v>beq 0x00102F3C</v>
      </c>
      <c r="D17" s="8"/>
    </row>
    <row r="18" spans="1:4">
      <c r="A18" s="2" t="str">
        <f t="shared" si="1"/>
        <v>00102F18</v>
      </c>
      <c r="B18" s="3" t="s">
        <v>61</v>
      </c>
      <c r="C18" s="2" t="s">
        <v>26</v>
      </c>
      <c r="D18" s="2" t="s">
        <v>27</v>
      </c>
    </row>
    <row r="19" spans="1:4">
      <c r="A19" s="2" t="str">
        <f t="shared" si="1"/>
        <v>00102F1C</v>
      </c>
      <c r="B19" s="3" t="s">
        <v>62</v>
      </c>
      <c r="C19" s="2" t="s">
        <v>28</v>
      </c>
    </row>
    <row r="20" spans="1:4">
      <c r="A20" s="2" t="str">
        <f t="shared" si="1"/>
        <v>00102F20</v>
      </c>
      <c r="B20" s="3" t="s">
        <v>63</v>
      </c>
      <c r="C20" s="2" t="s">
        <v>29</v>
      </c>
    </row>
    <row r="21" spans="1:4">
      <c r="A21" s="10" t="str">
        <f t="shared" si="1"/>
        <v>00102F24</v>
      </c>
      <c r="B21" s="11" t="s">
        <v>64</v>
      </c>
      <c r="C21" s="10" t="str">
        <f>SUBSTITUTE(C27,"pop","popeq")</f>
        <v>popeq {r0, r1, r2, r4, lr}</v>
      </c>
      <c r="D21" s="10" t="s">
        <v>13</v>
      </c>
    </row>
    <row r="22" spans="1:4">
      <c r="A22" s="10" t="str">
        <f t="shared" si="1"/>
        <v>00102F28</v>
      </c>
      <c r="B22" s="11" t="s">
        <v>65</v>
      </c>
      <c r="C22" s="10" t="str">
        <f>_xlfn.CONCAT("beq 0x",A36)</f>
        <v>beq 0x00102D4C</v>
      </c>
      <c r="D22" s="10"/>
    </row>
    <row r="23" spans="1:4">
      <c r="A23" s="12" t="str">
        <f t="shared" si="1"/>
        <v>00102F2C</v>
      </c>
      <c r="B23" s="13" t="s">
        <v>59</v>
      </c>
      <c r="C23" s="12" t="s">
        <v>25</v>
      </c>
      <c r="D23" s="12" t="s">
        <v>14</v>
      </c>
    </row>
    <row r="24" spans="1:4">
      <c r="A24" s="12" t="str">
        <f t="shared" si="1"/>
        <v>00102F30</v>
      </c>
      <c r="B24" s="13" t="s">
        <v>66</v>
      </c>
      <c r="C24" s="12" t="str">
        <f>_xlfn.CONCAT("bne 0x",A33)</f>
        <v>bne 0x00102F54</v>
      </c>
      <c r="D24" s="12"/>
    </row>
    <row r="25" spans="1:4">
      <c r="A25" s="12" t="str">
        <f t="shared" si="1"/>
        <v>00102F34</v>
      </c>
      <c r="B25" s="13" t="s">
        <v>67</v>
      </c>
      <c r="C25" s="12" t="str">
        <f>C27</f>
        <v>pop {r0, r1, r2, r4, lr}</v>
      </c>
      <c r="D25" s="12"/>
    </row>
    <row r="26" spans="1:4">
      <c r="A26" s="12" t="str">
        <f t="shared" si="1"/>
        <v>00102F38</v>
      </c>
      <c r="B26" s="13" t="s">
        <v>68</v>
      </c>
      <c r="C26" s="12" t="str">
        <f>_xlfn.CONCAT("b 0x",[1]Code!$A$34)</f>
        <v>b 0x000B2984</v>
      </c>
      <c r="D26" s="12"/>
    </row>
    <row r="27" spans="1:4">
      <c r="A27" s="8" t="str">
        <f t="shared" si="1"/>
        <v>00102F3C</v>
      </c>
      <c r="B27" s="9" t="s">
        <v>67</v>
      </c>
      <c r="C27" s="8" t="str">
        <f>SUBSTITUTE(C$10,"push","pop")</f>
        <v>pop {r0, r1, r2, r4, lr}</v>
      </c>
      <c r="D27" s="8" t="s">
        <v>37</v>
      </c>
    </row>
    <row r="28" spans="1:4">
      <c r="A28" s="8" t="str">
        <f t="shared" si="1"/>
        <v>00102F40</v>
      </c>
      <c r="B28" s="9" t="s">
        <v>46</v>
      </c>
      <c r="C28" s="8" t="s">
        <v>33</v>
      </c>
      <c r="D28" s="8"/>
    </row>
    <row r="29" spans="1:4">
      <c r="A29" s="8" t="str">
        <f t="shared" si="1"/>
        <v>00102F44</v>
      </c>
      <c r="B29" s="8" t="s">
        <v>69</v>
      </c>
      <c r="C29" s="8" t="s">
        <v>34</v>
      </c>
      <c r="D29" s="8"/>
    </row>
    <row r="30" spans="1:4">
      <c r="A30" s="8" t="str">
        <f t="shared" si="1"/>
        <v>00102F48</v>
      </c>
      <c r="B30" s="8" t="s">
        <v>48</v>
      </c>
      <c r="C30" s="8" t="s">
        <v>35</v>
      </c>
      <c r="D30" s="8"/>
    </row>
    <row r="31" spans="1:4">
      <c r="A31" s="8" t="str">
        <f t="shared" si="1"/>
        <v>00102F4C</v>
      </c>
      <c r="B31" s="8" t="s">
        <v>70</v>
      </c>
      <c r="C31" s="8" t="s">
        <v>36</v>
      </c>
      <c r="D31" s="8"/>
    </row>
    <row r="32" spans="1:4">
      <c r="A32" s="8" t="str">
        <f t="shared" si="1"/>
        <v>00102F50</v>
      </c>
      <c r="B32" s="8" t="s">
        <v>9</v>
      </c>
      <c r="C32" s="8" t="s">
        <v>10</v>
      </c>
      <c r="D32" s="8"/>
    </row>
    <row r="33" spans="1:3">
      <c r="A33" s="2" t="str">
        <f t="shared" si="1"/>
        <v>00102F54</v>
      </c>
      <c r="B33" s="2" t="s">
        <v>71</v>
      </c>
      <c r="C33" s="2" t="str">
        <f>SUBSTITUTE(SUBSTITUTE(C10,"push","pop"),"lr","pc")</f>
        <v>pop {r0, r1, r2, r4, pc}</v>
      </c>
    </row>
    <row r="35" spans="1:3">
      <c r="A35" s="1" t="s">
        <v>40</v>
      </c>
    </row>
    <row r="36" spans="1:3">
      <c r="A36" s="3" t="s">
        <v>45</v>
      </c>
      <c r="B36" s="2" t="s">
        <v>46</v>
      </c>
      <c r="C36" s="2" t="s">
        <v>33</v>
      </c>
    </row>
    <row r="37" spans="1:3">
      <c r="A37" s="2" t="str">
        <f t="shared" ref="A37:A44" si="2">DEC2HEX(HEX2DEC(A36)+4,8)</f>
        <v>00102D50</v>
      </c>
      <c r="B37" s="2" t="s">
        <v>47</v>
      </c>
      <c r="C37" s="2" t="s">
        <v>41</v>
      </c>
    </row>
    <row r="38" spans="1:3">
      <c r="A38" s="2" t="str">
        <f t="shared" si="2"/>
        <v>00102D54</v>
      </c>
      <c r="B38" s="2" t="s">
        <v>48</v>
      </c>
      <c r="C38" s="2" t="s">
        <v>35</v>
      </c>
    </row>
    <row r="39" spans="1:3">
      <c r="A39" s="2" t="str">
        <f t="shared" si="2"/>
        <v>00102D58</v>
      </c>
      <c r="B39" s="2" t="s">
        <v>49</v>
      </c>
      <c r="C39" s="2" t="s">
        <v>38</v>
      </c>
    </row>
    <row r="40" spans="1:3">
      <c r="A40" s="2" t="str">
        <f t="shared" si="2"/>
        <v>00102D5C</v>
      </c>
      <c r="B40" s="3" t="s">
        <v>50</v>
      </c>
      <c r="C40" s="2" t="s">
        <v>43</v>
      </c>
    </row>
    <row r="41" spans="1:3">
      <c r="A41" s="2" t="str">
        <f t="shared" si="2"/>
        <v>00102D60</v>
      </c>
      <c r="B41" s="3" t="s">
        <v>51</v>
      </c>
      <c r="C41" s="2" t="s">
        <v>42</v>
      </c>
    </row>
    <row r="42" spans="1:3">
      <c r="A42" s="2" t="str">
        <f t="shared" si="2"/>
        <v>00102D64</v>
      </c>
      <c r="B42" s="3" t="s">
        <v>52</v>
      </c>
      <c r="C42" s="2" t="s">
        <v>44</v>
      </c>
    </row>
    <row r="43" spans="1:3">
      <c r="A43" s="2" t="str">
        <f t="shared" si="2"/>
        <v>00102D68</v>
      </c>
      <c r="B43" s="3" t="s">
        <v>53</v>
      </c>
      <c r="C43" s="2" t="s">
        <v>39</v>
      </c>
    </row>
    <row r="44" spans="1:3">
      <c r="A44" s="2" t="str">
        <f t="shared" si="2"/>
        <v>00102D6C</v>
      </c>
      <c r="B44" s="3" t="s">
        <v>9</v>
      </c>
      <c r="C4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2026-05-11T18:54:51Z</dcterms:modified>
</cp:coreProperties>
</file>