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BC5D7BE5-A57E-43B3-99F7-EDFC27B4C84E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27" i="1"/>
  <c r="C33" i="1" s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C26" i="1" l="1"/>
  <c r="A12" i="1" l="1"/>
  <c r="A13" i="1" s="1"/>
  <c r="A14" i="1" s="1"/>
  <c r="A15" i="1" s="1"/>
  <c r="A16" i="1" s="1"/>
  <c r="A17" i="1" s="1"/>
  <c r="C15" i="1"/>
  <c r="C17" i="1" l="1"/>
  <c r="A2" i="1" a="1"/>
  <c r="A2" i="1" s="1"/>
  <c r="A4" i="1"/>
  <c r="A5" i="1" s="1"/>
  <c r="A6" i="1" s="1"/>
  <c r="A7" i="1" s="1"/>
  <c r="B3" i="1"/>
  <c r="A37" i="1" l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l="1"/>
  <c r="A61" i="1" s="1"/>
  <c r="C31" i="1" s="1"/>
  <c r="C44" i="1"/>
  <c r="C48" i="1"/>
  <c r="C52" i="1"/>
  <c r="A62" i="1" l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C74" i="1" l="1"/>
  <c r="C78" i="1"/>
  <c r="C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<sst xmlns="http://schemas.openxmlformats.org/spreadsheetml/2006/main" count="143" uniqueCount="117">
  <si>
    <t>7080BDE8</t>
  </si>
  <si>
    <t>push {r4, r5, r6, lr}</t>
  </si>
  <si>
    <t>70402DE9</t>
  </si>
  <si>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</si>
  <si>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</si>
  <si>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</si>
  <si>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</si>
  <si>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</si>
  <si>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</si>
  <si>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</si>
  <si>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</si>
  <si>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</si>
  <si>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</si>
  <si>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</si>
  <si>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</si>
  <si>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</si>
  <si>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7040BDE8</t>
  </si>
  <si>
    <t>Get pointer to self</t>
  </si>
  <si>
    <t>mov r0, r1</t>
  </si>
  <si>
    <t>mov r1, r2</t>
  </si>
  <si>
    <t>mov r5, r2</t>
  </si>
  <si>
    <t>0100A0E1</t>
  </si>
  <si>
    <t>0210A0E1</t>
  </si>
  <si>
    <t>0250A0E1</t>
  </si>
  <si>
    <t>bl 0x000D6F98</t>
  </si>
  <si>
    <t>mov r4, r2</t>
  </si>
  <si>
    <t>mov r0, #0x12</t>
  </si>
  <si>
    <t>bl #0x87b58</t>
  </si>
  <si>
    <t>uxth r6, r0</t>
  </si>
  <si>
    <t>mov r0, #3</t>
  </si>
  <si>
    <t>cmp r0, r4</t>
  </si>
  <si>
    <t>mov r0, #0x19</t>
  </si>
  <si>
    <t>mov r0, r6</t>
  </si>
  <si>
    <t>bl #0x5f7a4</t>
  </si>
  <si>
    <t>cmp r0, #0</t>
  </si>
  <si>
    <t>pop {r4, r5, r6, lr}</t>
  </si>
  <si>
    <t>mov r0, #0x35</t>
  </si>
  <si>
    <t>ldr r1, [pc, #4]</t>
  </si>
  <si>
    <t>b #0x83108</t>
  </si>
  <si>
    <t>pop {r4, r5, r6, pc}</t>
  </si>
  <si>
    <t>andeq r1, r0, r3, lsr r3</t>
  </si>
  <si>
    <t>cmp r0, #0xF</t>
  </si>
  <si>
    <t>Dragonize Power 0x47</t>
  </si>
  <si>
    <t>Dragonize Type 0x2D</t>
  </si>
  <si>
    <t>push {r4, r5, r6, r7, r8, lr}</t>
  </si>
  <si>
    <t>mov r0, #2</t>
  </si>
  <si>
    <t>cmp r0, r5</t>
  </si>
  <si>
    <t>mov r1, r7</t>
  </si>
  <si>
    <t>bl #0x82d44</t>
  </si>
  <si>
    <t>pop {r4, r5, r6, r7, r8, pc}</t>
  </si>
  <si>
    <t>mov r7, #0xF</t>
  </si>
  <si>
    <t>cmp r9, 0x47</t>
  </si>
  <si>
    <t>00102CD4</t>
  </si>
  <si>
    <t>0010305C</t>
  </si>
  <si>
    <t>0B00001A</t>
  </si>
  <si>
    <t>470059E3</t>
  </si>
  <si>
    <t>0300A0E3</t>
  </si>
  <si>
    <t>0240A0E1</t>
  </si>
  <si>
    <t>1200A0E3</t>
  </si>
  <si>
    <t>A512FEEB</t>
  </si>
  <si>
    <t>7060FFE6</t>
  </si>
  <si>
    <t>A212FEEB</t>
  </si>
  <si>
    <t>040050E1</t>
  </si>
  <si>
    <t>1900A0E3</t>
  </si>
  <si>
    <t>9E12FEEB</t>
  </si>
  <si>
    <t>0F0050E3</t>
  </si>
  <si>
    <t>0700001A</t>
  </si>
  <si>
    <t>0600A0E1</t>
  </si>
  <si>
    <t>AD71FDEB</t>
  </si>
  <si>
    <t>000050E3</t>
  </si>
  <si>
    <t>0300001A</t>
  </si>
  <si>
    <t>3500A0E3</t>
  </si>
  <si>
    <t>04109FE5</t>
  </si>
  <si>
    <t>0000FEEA</t>
  </si>
  <si>
    <t>F0412DE9</t>
  </si>
  <si>
    <t>0F70A0E3</t>
  </si>
  <si>
    <t>8D12FEEB</t>
  </si>
  <si>
    <t>0200A0E3</t>
  </si>
  <si>
    <t>8A12FEEB</t>
  </si>
  <si>
    <t>050050E1</t>
  </si>
  <si>
    <t>0A00001A</t>
  </si>
  <si>
    <t>8612FEEB</t>
  </si>
  <si>
    <t>0600001A</t>
  </si>
  <si>
    <t>9571FDEB</t>
  </si>
  <si>
    <t>0200001A</t>
  </si>
  <si>
    <t>0710A0E1</t>
  </si>
  <si>
    <t>F8FEFDEB</t>
  </si>
  <si>
    <t>F081BDE8</t>
  </si>
  <si>
    <t>b 0x00103208</t>
  </si>
  <si>
    <t>push {lr}</t>
  </si>
  <si>
    <t>Add Type Dragon &amp; Water if Mega/Ultra/Primal 0x4E/0x4F/0x54/0x6A/0x6D/0xA7</t>
  </si>
  <si>
    <t>mov r0, 0xA</t>
  </si>
  <si>
    <t>Add water</t>
  </si>
  <si>
    <t>bl 0x00103208</t>
  </si>
  <si>
    <t>mov r0, 0xF</t>
  </si>
  <si>
    <t>Add Dragon</t>
  </si>
  <si>
    <t>001030B0</t>
  </si>
  <si>
    <t>04E02DE5</t>
  </si>
  <si>
    <t>0A00A0E3</t>
  </si>
  <si>
    <t>670000EB</t>
  </si>
  <si>
    <t>0F00A0E3</t>
  </si>
  <si>
    <t>04E09DE4</t>
  </si>
  <si>
    <t>640000EA</t>
  </si>
  <si>
    <t>04F09DE4</t>
  </si>
  <si>
    <t>mov r1, 0x8</t>
  </si>
  <si>
    <t>cmp r0, 0x1</t>
  </si>
  <si>
    <t>Check Mega</t>
  </si>
  <si>
    <t>cmp r9, 0x2D</t>
  </si>
  <si>
    <t>00103078</t>
  </si>
  <si>
    <t>Dragonize if Mega/Ultra/Primal 0x2D/0x47</t>
  </si>
  <si>
    <t>833CFEEB</t>
  </si>
  <si>
    <t>C24FFFEB</t>
  </si>
  <si>
    <t>010050E3</t>
  </si>
  <si>
    <t>0500001A</t>
  </si>
  <si>
    <t>0300000A</t>
  </si>
  <si>
    <t>2D0059E3</t>
  </si>
  <si>
    <t>1800000A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</si>
</sst>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0" borderId="0" xfId="0" applyFont="1" applyFill="1"/>
    <xf numFmtId="0" fontId="2" fillId="0" borderId="0" xfId="0" quotePrefix="1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82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8.42578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6</v>
      </c>
      <c r="B1" s="1" t="s">
        <v>5</v>
      </c>
      <c r="C1" s="1" t="s">
        <v>4</v>
      </c>
      <c r="D1" s="1" t="s">
        <v>3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Feraligite Call Function</v>
      </c>
      <c r="B2" s="1"/>
      <c r="C2" s="1"/>
      <c r="D2" s="1"/>
    </row>
    <row r="3" spans="1:4">
      <c r="A3" s="3" t="s">
        <v>52</v>
      </c>
      <c r="B3" s="2" t="str">
        <f>_xlfn.CONCAT("0",RIGHT(C3,1),"10A0E3")</f>
        <v>0810A0E3</v>
      </c>
      <c r="C3" s="2" t="s">
        <v>104</v>
      </c>
      <c r="D3" s="1"/>
    </row>
    <row r="4" spans="1:4">
      <c r="A4" s="2" t="str">
        <f t="shared" ref="A4:A6" si="0">DEC2HEX(HEX2DEC(A3)+4,8)</f>
        <v>00102CD8</v>
      </c>
      <c r="B4" s="3" t="s">
        <v>7</v>
      </c>
      <c r="C4" s="2" t="s">
        <v>8</v>
      </c>
      <c r="D4" s="1"/>
    </row>
    <row r="5" spans="1:4">
      <c r="A5" s="2" t="str">
        <f t="shared" si="0"/>
        <v>00102CDC</v>
      </c>
      <c r="B5" s="2" t="s">
        <v>9</v>
      </c>
      <c r="C5" s="2" t="s">
        <v>10</v>
      </c>
      <c r="D5" s="1"/>
    </row>
    <row r="6" spans="1:4">
      <c r="A6" s="2" t="str">
        <f t="shared" si="0"/>
        <v>00102CE0</v>
      </c>
      <c r="B6" s="2" t="s">
        <v>11</v>
      </c>
      <c r="C6" s="2" t="s">
        <v>12</v>
      </c>
      <c r="D6" s="1"/>
    </row>
    <row r="7" spans="1:4">
      <c r="A7" s="2" t="str">
        <f>DEC2HEX(HEX2DEC(A6)+4,8)</f>
        <v>00102CE4</v>
      </c>
      <c r="B7" s="3" t="s">
        <v>13</v>
      </c>
      <c r="C7" s="2" t="s">
        <v>14</v>
      </c>
      <c r="D7" s="1"/>
    </row>
    <row r="10" spans="1:4">
      <c r="A10" s="1" t="s">
        <v>90</v>
      </c>
    </row>
    <row r="11" spans="1:4">
      <c r="A11" s="3" t="s">
        <v>53</v>
      </c>
      <c r="B11" s="2" t="s">
        <v>97</v>
      </c>
      <c r="C11" s="2" t="s">
        <v>89</v>
      </c>
    </row>
    <row r="12" spans="1:4" s="7" customFormat="1">
      <c r="A12" s="9" t="str">
        <f t="shared" ref="A12:A17" si="1">DEC2HEX(HEX2DEC(A11)+4,8)</f>
        <v>00103060</v>
      </c>
      <c r="B12" s="9" t="s">
        <v>98</v>
      </c>
      <c r="C12" s="9" t="s">
        <v>91</v>
      </c>
      <c r="D12" s="9" t="s">
        <v>92</v>
      </c>
    </row>
    <row r="13" spans="1:4" s="7" customFormat="1">
      <c r="A13" s="9" t="str">
        <f t="shared" si="1"/>
        <v>00103064</v>
      </c>
      <c r="B13" s="9" t="s">
        <v>99</v>
      </c>
      <c r="C13" s="9" t="s">
        <v>93</v>
      </c>
      <c r="D13" s="9"/>
    </row>
    <row r="14" spans="1:4" s="7" customFormat="1">
      <c r="A14" s="10" t="str">
        <f t="shared" si="1"/>
        <v>00103068</v>
      </c>
      <c r="B14" s="10" t="s">
        <v>100</v>
      </c>
      <c r="C14" s="10" t="s">
        <v>94</v>
      </c>
      <c r="D14" s="10" t="s">
        <v>95</v>
      </c>
    </row>
    <row r="15" spans="1:4">
      <c r="A15" s="7" t="str">
        <f t="shared" si="1"/>
        <v>0010306C</v>
      </c>
      <c r="B15" s="7" t="s">
        <v>101</v>
      </c>
      <c r="C15" s="7" t="str">
        <f>SUBSTITUTE(C11,"push","pop")</f>
        <v>pop {lr}</v>
      </c>
      <c r="D15" s="7"/>
    </row>
    <row r="16" spans="1:4">
      <c r="A16" s="10" t="str">
        <f t="shared" si="1"/>
        <v>00103070</v>
      </c>
      <c r="B16" s="10" t="s">
        <v>102</v>
      </c>
      <c r="C16" s="10" t="s">
        <v>88</v>
      </c>
      <c r="D16" s="10"/>
    </row>
    <row r="17" spans="1:4">
      <c r="A17" s="7" t="str">
        <f t="shared" si="1"/>
        <v>00103074</v>
      </c>
      <c r="B17" s="2" t="s">
        <v>103</v>
      </c>
      <c r="C17" s="2" t="str">
        <f>SUBSTITUTE(C15,"lr","pc")</f>
        <v>pop {pc}</v>
      </c>
    </row>
    <row r="18" spans="1:4">
      <c r="A18" s="7"/>
    </row>
    <row r="19" spans="1:4">
      <c r="A19" s="1" t="s">
        <v>109</v>
      </c>
    </row>
    <row r="20" spans="1:4">
      <c r="A20" s="3" t="s">
        <v>108</v>
      </c>
      <c r="B20" s="2" t="s">
        <v>97</v>
      </c>
      <c r="C20" s="2" t="s">
        <v>89</v>
      </c>
    </row>
    <row r="21" spans="1:4">
      <c r="A21" s="6" t="str">
        <f t="shared" ref="A21:A33" si="2">DEC2HEX(HEX2DEC(A20)+4,8)</f>
        <v>0010307C</v>
      </c>
      <c r="B21" s="6" t="s">
        <v>21</v>
      </c>
      <c r="C21" s="6" t="s">
        <v>18</v>
      </c>
      <c r="D21" s="6" t="s">
        <v>17</v>
      </c>
    </row>
    <row r="22" spans="1:4">
      <c r="A22" s="6" t="str">
        <f t="shared" si="2"/>
        <v>00103080</v>
      </c>
      <c r="B22" s="6" t="s">
        <v>22</v>
      </c>
      <c r="C22" s="6" t="s">
        <v>19</v>
      </c>
      <c r="D22" s="6"/>
    </row>
    <row r="23" spans="1:4">
      <c r="A23" s="6" t="str">
        <f t="shared" si="2"/>
        <v>00103084</v>
      </c>
      <c r="B23" s="6" t="s">
        <v>110</v>
      </c>
      <c r="C23" s="6" t="s">
        <v>15</v>
      </c>
      <c r="D23" s="6"/>
    </row>
    <row r="24" spans="1:4">
      <c r="A24" s="4" t="str">
        <f t="shared" si="2"/>
        <v>00103088</v>
      </c>
      <c r="B24" s="4" t="s">
        <v>111</v>
      </c>
      <c r="C24" s="4" t="s">
        <v>24</v>
      </c>
      <c r="D24" s="4"/>
    </row>
    <row r="25" spans="1:4">
      <c r="A25" s="4" t="str">
        <f t="shared" si="2"/>
        <v>0010308C</v>
      </c>
      <c r="B25" s="5" t="s">
        <v>112</v>
      </c>
      <c r="C25" s="4" t="s">
        <v>105</v>
      </c>
      <c r="D25" s="4" t="s">
        <v>106</v>
      </c>
    </row>
    <row r="26" spans="1:4">
      <c r="A26" s="4" t="str">
        <f t="shared" si="2"/>
        <v>00103090</v>
      </c>
      <c r="B26" s="4" t="s">
        <v>113</v>
      </c>
      <c r="C26" s="4" t="str">
        <f>_xlfn.CONCAT("bne 0x",A33)</f>
        <v>bne 0x001030AC</v>
      </c>
      <c r="D26" s="4"/>
    </row>
    <row r="27" spans="1:4">
      <c r="A27" s="7" t="str">
        <f t="shared" si="2"/>
        <v>00103094</v>
      </c>
      <c r="B27" s="7" t="s">
        <v>101</v>
      </c>
      <c r="C27" s="7" t="str">
        <f>SUBSTITUTE(C20,"push","pop")</f>
        <v>pop {lr}</v>
      </c>
      <c r="D27" s="7"/>
    </row>
    <row r="28" spans="1:4">
      <c r="A28" s="7" t="str">
        <f t="shared" si="2"/>
        <v>00103098</v>
      </c>
      <c r="B28" s="8" t="s">
        <v>55</v>
      </c>
      <c r="C28" s="7" t="s">
        <v>51</v>
      </c>
      <c r="D28" s="7"/>
    </row>
    <row r="29" spans="1:4">
      <c r="A29" s="7" t="str">
        <f t="shared" si="2"/>
        <v>0010309C</v>
      </c>
      <c r="B29" s="7" t="s">
        <v>114</v>
      </c>
      <c r="C29" s="7" t="str">
        <f>_xlfn.CONCAT("beq 0x",A36)</f>
        <v>beq 0x001030B0</v>
      </c>
      <c r="D29" s="7"/>
    </row>
    <row r="30" spans="1:4">
      <c r="A30" s="7" t="str">
        <f t="shared" si="2"/>
        <v>001030A0</v>
      </c>
      <c r="B30" s="7" t="s">
        <v>115</v>
      </c>
      <c r="C30" s="7" t="s">
        <v>107</v>
      </c>
      <c r="D30" s="7"/>
    </row>
    <row r="31" spans="1:4">
      <c r="A31" s="7" t="str">
        <f t="shared" si="2"/>
        <v>001030A4</v>
      </c>
      <c r="B31" s="2" t="s">
        <v>116</v>
      </c>
      <c r="C31" s="7" t="str">
        <f>_xlfn.CONCAT("beq 0x",A61)</f>
        <v>beq 0x0010310C</v>
      </c>
      <c r="D31" s="7"/>
    </row>
    <row r="32" spans="1:4">
      <c r="A32" s="7" t="str">
        <f t="shared" si="2"/>
        <v>001030A8</v>
      </c>
      <c r="B32" s="7" t="s">
        <v>11</v>
      </c>
      <c r="C32" s="7" t="s">
        <v>12</v>
      </c>
      <c r="D32" s="7"/>
    </row>
    <row r="33" spans="1:3">
      <c r="A33" s="7" t="str">
        <f t="shared" si="2"/>
        <v>001030AC</v>
      </c>
      <c r="B33" s="7" t="s">
        <v>103</v>
      </c>
      <c r="C33" s="7" t="str">
        <f>SUBSTITUTE(C27,"lr","pc")</f>
        <v>pop {pc}</v>
      </c>
    </row>
    <row r="35" spans="1:3">
      <c r="A35" s="1" t="s">
        <v>42</v>
      </c>
    </row>
    <row r="36" spans="1:3">
      <c r="A36" s="2" t="s">
        <v>96</v>
      </c>
      <c r="B36" s="2" t="s">
        <v>2</v>
      </c>
      <c r="C36" s="2" t="s">
        <v>1</v>
      </c>
    </row>
    <row r="37" spans="1:3">
      <c r="A37" s="2" t="str">
        <f t="shared" ref="A37:A58" si="3">DEC2HEX(HEX2DEC(A36)+4,8)</f>
        <v>001030B4</v>
      </c>
      <c r="B37" s="2" t="s">
        <v>57</v>
      </c>
      <c r="C37" s="2" t="s">
        <v>25</v>
      </c>
    </row>
    <row r="38" spans="1:3">
      <c r="A38" s="2" t="str">
        <f t="shared" si="3"/>
        <v>001030B8</v>
      </c>
      <c r="B38" s="2" t="s">
        <v>58</v>
      </c>
      <c r="C38" s="2" t="s">
        <v>26</v>
      </c>
    </row>
    <row r="39" spans="1:3">
      <c r="A39" s="2" t="str">
        <f t="shared" si="3"/>
        <v>001030BC</v>
      </c>
      <c r="B39" s="2" t="s">
        <v>59</v>
      </c>
      <c r="C39" s="2" t="s">
        <v>27</v>
      </c>
    </row>
    <row r="40" spans="1:3">
      <c r="A40" s="2" t="str">
        <f t="shared" si="3"/>
        <v>001030C0</v>
      </c>
      <c r="B40" s="2" t="s">
        <v>60</v>
      </c>
      <c r="C40" s="2" t="s">
        <v>28</v>
      </c>
    </row>
    <row r="41" spans="1:3">
      <c r="A41" s="2" t="str">
        <f t="shared" si="3"/>
        <v>001030C4</v>
      </c>
      <c r="B41" s="2" t="s">
        <v>56</v>
      </c>
      <c r="C41" s="2" t="s">
        <v>29</v>
      </c>
    </row>
    <row r="42" spans="1:3">
      <c r="A42" s="2" t="str">
        <f t="shared" si="3"/>
        <v>001030C8</v>
      </c>
      <c r="B42" s="2" t="s">
        <v>61</v>
      </c>
      <c r="C42" s="2" t="s">
        <v>27</v>
      </c>
    </row>
    <row r="43" spans="1:3">
      <c r="A43" s="2" t="str">
        <f t="shared" si="3"/>
        <v>001030CC</v>
      </c>
      <c r="B43" s="3" t="s">
        <v>62</v>
      </c>
      <c r="C43" s="2" t="s">
        <v>30</v>
      </c>
    </row>
    <row r="44" spans="1:3">
      <c r="A44" s="2" t="str">
        <f t="shared" si="3"/>
        <v>001030D0</v>
      </c>
      <c r="B44" s="2" t="s">
        <v>54</v>
      </c>
      <c r="C44" s="2" t="str">
        <f>_xlfn.CONCAT("bne 0x",A57)</f>
        <v>bne 0x00103104</v>
      </c>
    </row>
    <row r="45" spans="1:3">
      <c r="A45" s="2" t="str">
        <f t="shared" si="3"/>
        <v>001030D4</v>
      </c>
      <c r="B45" s="2" t="s">
        <v>63</v>
      </c>
      <c r="C45" s="2" t="s">
        <v>31</v>
      </c>
    </row>
    <row r="46" spans="1:3">
      <c r="A46" s="2" t="str">
        <f t="shared" si="3"/>
        <v>001030D8</v>
      </c>
      <c r="B46" s="2" t="s">
        <v>64</v>
      </c>
      <c r="C46" s="2" t="s">
        <v>27</v>
      </c>
    </row>
    <row r="47" spans="1:3">
      <c r="A47" s="2" t="str">
        <f t="shared" si="3"/>
        <v>001030DC</v>
      </c>
      <c r="B47" s="2" t="s">
        <v>65</v>
      </c>
      <c r="C47" s="2" t="s">
        <v>41</v>
      </c>
    </row>
    <row r="48" spans="1:3">
      <c r="A48" s="2" t="str">
        <f t="shared" si="3"/>
        <v>001030E0</v>
      </c>
      <c r="B48" s="2" t="s">
        <v>66</v>
      </c>
      <c r="C48" s="2" t="str">
        <f>_xlfn.CONCAT("bne 0x",A57)</f>
        <v>bne 0x00103104</v>
      </c>
    </row>
    <row r="49" spans="1:3">
      <c r="A49" s="2" t="str">
        <f t="shared" si="3"/>
        <v>001030E4</v>
      </c>
      <c r="B49" s="2" t="s">
        <v>67</v>
      </c>
      <c r="C49" s="2" t="s">
        <v>32</v>
      </c>
    </row>
    <row r="50" spans="1:3">
      <c r="A50" s="2" t="str">
        <f t="shared" si="3"/>
        <v>001030E8</v>
      </c>
      <c r="B50" s="2" t="s">
        <v>68</v>
      </c>
      <c r="C50" s="2" t="s">
        <v>33</v>
      </c>
    </row>
    <row r="51" spans="1:3">
      <c r="A51" s="2" t="str">
        <f t="shared" si="3"/>
        <v>001030EC</v>
      </c>
      <c r="B51" s="3" t="s">
        <v>69</v>
      </c>
      <c r="C51" s="2" t="s">
        <v>34</v>
      </c>
    </row>
    <row r="52" spans="1:3">
      <c r="A52" s="2" t="str">
        <f t="shared" si="3"/>
        <v>001030F0</v>
      </c>
      <c r="B52" s="2" t="s">
        <v>70</v>
      </c>
      <c r="C52" s="2" t="str">
        <f>_xlfn.CONCAT("bne 0x",A57)</f>
        <v>bne 0x00103104</v>
      </c>
    </row>
    <row r="53" spans="1:3">
      <c r="A53" s="2" t="str">
        <f t="shared" si="3"/>
        <v>001030F4</v>
      </c>
      <c r="B53" s="2" t="s">
        <v>16</v>
      </c>
      <c r="C53" s="2" t="s">
        <v>35</v>
      </c>
    </row>
    <row r="54" spans="1:3">
      <c r="A54" s="2" t="str">
        <f t="shared" si="3"/>
        <v>001030F8</v>
      </c>
      <c r="B54" s="2" t="s">
        <v>71</v>
      </c>
      <c r="C54" s="2" t="s">
        <v>36</v>
      </c>
    </row>
    <row r="55" spans="1:3">
      <c r="A55" s="2" t="str">
        <f t="shared" si="3"/>
        <v>001030FC</v>
      </c>
      <c r="B55" s="2" t="s">
        <v>72</v>
      </c>
      <c r="C55" s="2" t="s">
        <v>37</v>
      </c>
    </row>
    <row r="56" spans="1:3">
      <c r="A56" s="2" t="str">
        <f t="shared" si="3"/>
        <v>00103100</v>
      </c>
      <c r="B56" s="2" t="s">
        <v>73</v>
      </c>
      <c r="C56" s="2" t="s">
        <v>38</v>
      </c>
    </row>
    <row r="57" spans="1:3">
      <c r="A57" s="2" t="str">
        <f t="shared" si="3"/>
        <v>00103104</v>
      </c>
      <c r="B57" s="2" t="s">
        <v>0</v>
      </c>
      <c r="C57" s="2" t="s">
        <v>39</v>
      </c>
    </row>
    <row r="58" spans="1:3">
      <c r="A58" s="2" t="str">
        <f t="shared" si="3"/>
        <v>00103108</v>
      </c>
      <c r="B58" s="2">
        <v>33130000</v>
      </c>
      <c r="C58" s="2" t="s">
        <v>40</v>
      </c>
    </row>
    <row r="60" spans="1:3">
      <c r="A60" s="1" t="s">
        <v>43</v>
      </c>
    </row>
    <row r="61" spans="1:3">
      <c r="A61" s="2" t="str">
        <f>DEC2HEX(HEX2DEC(A58)+4,8)</f>
        <v>0010310C</v>
      </c>
      <c r="B61" s="2" t="s">
        <v>74</v>
      </c>
      <c r="C61" s="2" t="s">
        <v>44</v>
      </c>
    </row>
    <row r="62" spans="1:3">
      <c r="A62" s="2" t="str">
        <f t="shared" ref="A62:A82" si="4">DEC2HEX(HEX2DEC(A61)+4,8)</f>
        <v>00103110</v>
      </c>
      <c r="B62" s="2" t="s">
        <v>23</v>
      </c>
      <c r="C62" s="2" t="s">
        <v>20</v>
      </c>
    </row>
    <row r="63" spans="1:3">
      <c r="A63" s="2" t="str">
        <f t="shared" si="4"/>
        <v>00103114</v>
      </c>
      <c r="B63" s="2" t="s">
        <v>75</v>
      </c>
      <c r="C63" s="2" t="s">
        <v>50</v>
      </c>
    </row>
    <row r="64" spans="1:3">
      <c r="A64" s="2" t="str">
        <f t="shared" si="4"/>
        <v>00103118</v>
      </c>
      <c r="B64" s="2" t="s">
        <v>58</v>
      </c>
      <c r="C64" s="2" t="s">
        <v>26</v>
      </c>
    </row>
    <row r="65" spans="1:3">
      <c r="A65" s="2" t="str">
        <f t="shared" si="4"/>
        <v>0010311C</v>
      </c>
      <c r="B65" s="2" t="s">
        <v>76</v>
      </c>
      <c r="C65" s="2" t="s">
        <v>27</v>
      </c>
    </row>
    <row r="66" spans="1:3">
      <c r="A66" s="2" t="str">
        <f t="shared" si="4"/>
        <v>00103120</v>
      </c>
      <c r="B66" s="2" t="s">
        <v>60</v>
      </c>
      <c r="C66" s="2" t="s">
        <v>28</v>
      </c>
    </row>
    <row r="67" spans="1:3">
      <c r="A67" s="2" t="str">
        <f t="shared" si="4"/>
        <v>00103124</v>
      </c>
      <c r="B67" s="2" t="s">
        <v>77</v>
      </c>
      <c r="C67" s="2" t="s">
        <v>45</v>
      </c>
    </row>
    <row r="68" spans="1:3">
      <c r="A68" s="2" t="str">
        <f t="shared" si="4"/>
        <v>00103128</v>
      </c>
      <c r="B68" s="2" t="s">
        <v>78</v>
      </c>
      <c r="C68" s="2" t="s">
        <v>27</v>
      </c>
    </row>
    <row r="69" spans="1:3">
      <c r="A69" s="2" t="str">
        <f t="shared" si="4"/>
        <v>0010312C</v>
      </c>
      <c r="B69" s="3" t="s">
        <v>79</v>
      </c>
      <c r="C69" s="2" t="s">
        <v>46</v>
      </c>
    </row>
    <row r="70" spans="1:3">
      <c r="A70" s="2" t="str">
        <f t="shared" si="4"/>
        <v>00103130</v>
      </c>
      <c r="B70" s="2" t="s">
        <v>80</v>
      </c>
      <c r="C70" s="2" t="str">
        <f>_xlfn.CONCAT("bne 0x",A82)</f>
        <v>bne 0x00103160</v>
      </c>
    </row>
    <row r="71" spans="1:3">
      <c r="A71" s="2" t="str">
        <f t="shared" si="4"/>
        <v>00103134</v>
      </c>
      <c r="B71" s="2" t="s">
        <v>63</v>
      </c>
      <c r="C71" s="2" t="s">
        <v>31</v>
      </c>
    </row>
    <row r="72" spans="1:3">
      <c r="A72" s="2" t="str">
        <f t="shared" si="4"/>
        <v>00103138</v>
      </c>
      <c r="B72" s="2" t="s">
        <v>81</v>
      </c>
      <c r="C72" s="2" t="s">
        <v>27</v>
      </c>
    </row>
    <row r="73" spans="1:3">
      <c r="A73" s="2" t="str">
        <f t="shared" si="4"/>
        <v>0010313C</v>
      </c>
      <c r="B73" s="3" t="s">
        <v>69</v>
      </c>
      <c r="C73" s="2" t="s">
        <v>34</v>
      </c>
    </row>
    <row r="74" spans="1:3">
      <c r="A74" s="2" t="str">
        <f t="shared" si="4"/>
        <v>00103140</v>
      </c>
      <c r="B74" s="2" t="s">
        <v>82</v>
      </c>
      <c r="C74" s="2" t="str">
        <f>_xlfn.CONCAT("bne 0x",A82)</f>
        <v>bne 0x00103160</v>
      </c>
    </row>
    <row r="75" spans="1:3">
      <c r="A75" s="2" t="str">
        <f t="shared" si="4"/>
        <v>00103144</v>
      </c>
      <c r="B75" s="2" t="s">
        <v>67</v>
      </c>
      <c r="C75" s="2" t="s">
        <v>32</v>
      </c>
    </row>
    <row r="76" spans="1:3">
      <c r="A76" s="2" t="str">
        <f t="shared" si="4"/>
        <v>00103148</v>
      </c>
      <c r="B76" s="2" t="s">
        <v>83</v>
      </c>
      <c r="C76" s="2" t="s">
        <v>33</v>
      </c>
    </row>
    <row r="77" spans="1:3">
      <c r="A77" s="2" t="str">
        <f t="shared" si="4"/>
        <v>0010314C</v>
      </c>
      <c r="B77" s="3" t="s">
        <v>69</v>
      </c>
      <c r="C77" s="2" t="s">
        <v>34</v>
      </c>
    </row>
    <row r="78" spans="1:3">
      <c r="A78" s="2" t="str">
        <f t="shared" si="4"/>
        <v>00103150</v>
      </c>
      <c r="B78" s="2" t="s">
        <v>84</v>
      </c>
      <c r="C78" s="2" t="str">
        <f>_xlfn.CONCAT("bne 0x",A82)</f>
        <v>bne 0x00103160</v>
      </c>
    </row>
    <row r="79" spans="1:3">
      <c r="A79" s="2" t="str">
        <f t="shared" si="4"/>
        <v>00103154</v>
      </c>
      <c r="B79" s="2" t="s">
        <v>85</v>
      </c>
      <c r="C79" s="2" t="s">
        <v>47</v>
      </c>
    </row>
    <row r="80" spans="1:3">
      <c r="A80" s="2" t="str">
        <f t="shared" si="4"/>
        <v>00103158</v>
      </c>
      <c r="B80" s="2" t="s">
        <v>63</v>
      </c>
      <c r="C80" s="2" t="s">
        <v>31</v>
      </c>
    </row>
    <row r="81" spans="1:3">
      <c r="A81" s="2" t="str">
        <f t="shared" si="4"/>
        <v>0010315C</v>
      </c>
      <c r="B81" s="2" t="s">
        <v>86</v>
      </c>
      <c r="C81" s="2" t="s">
        <v>48</v>
      </c>
    </row>
    <row r="82" spans="1:3">
      <c r="A82" s="2" t="str">
        <f t="shared" si="4"/>
        <v>00103160</v>
      </c>
      <c r="B82" s="2" t="s">
        <v>87</v>
      </c>
      <c r="C82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2026-05-17T07:54:26Z</dcterms:modified>
</cp:coreProperties>
</file>