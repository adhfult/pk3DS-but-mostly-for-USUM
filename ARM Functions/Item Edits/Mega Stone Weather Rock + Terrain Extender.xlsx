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5297BF64-16BE-4176-BD3C-A6EF2B6B4C64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C16" i="1" s="1"/>
  <c r="C33" i="1" l="1"/>
  <c r="C35" i="1" s="1"/>
  <c r="C19" i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C30" i="1" l="1"/>
  <c r="C17" i="1"/>
  <c r="C21" i="1" s="1"/>
  <c r="A11" i="1"/>
  <c r="A12" i="1" s="1"/>
  <c r="A13" i="1" s="1"/>
  <c r="A2" i="1" a="1"/>
  <c r="A2" i="1" s="1"/>
  <c r="A4" i="1"/>
  <c r="A5" i="1" s="1"/>
  <c r="A6" i="1" s="1"/>
  <c r="A7" i="1" s="1"/>
  <c r="B3" i="1"/>
  <c r="A14" i="1" l="1"/>
  <c r="A15" i="1" s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<sst xmlns="http://schemas.openxmlformats.org/spreadsheetml/2006/main" count="65" uniqueCount="65">
  <si>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</si>
  <si>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</si>
  <si>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</si>
  <si>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</si>
  <si>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</si>
  <si>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</si>
  <si>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</si>
  <si>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</si>
  <si>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</si>
  <si>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</si>
  <si>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</si>
  <si>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</si>
  <si>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0x00087B58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</si>
  <si>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</si>
  <si>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</si>
  <si>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</si>
  <si>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</si>
  <si>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</si>
  <si>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</si>
  <si>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</si>
  <si>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</si>
  <si>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0300000A</t>
  </si>
  <si>
    <t>000050E3</t>
  </si>
  <si>
    <t>cmp r0, 0x0</t>
  </si>
  <si>
    <t>0F40BDE8</t>
  </si>
  <si>
    <t>0F80BDE8</t>
  </si>
  <si>
    <t>mov r4, r0</t>
  </si>
  <si>
    <t>000DE260</t>
  </si>
  <si>
    <t>0040A0E1</t>
  </si>
  <si>
    <t>push {r4, r5, r6, lr}</t>
  </si>
  <si>
    <t>70402DE9</t>
  </si>
  <si>
    <t>7080BDE8</t>
  </si>
  <si>
    <t>mov r1, 0x2</t>
  </si>
  <si>
    <t>beq 0x000B9ADC</t>
  </si>
  <si>
    <t>terrain extender</t>
  </si>
  <si>
    <t>cmp r9, 0xCD</t>
  </si>
  <si>
    <t>weather rocks</t>
  </si>
  <si>
    <t>Boost Any Weather 0xCD</t>
  </si>
  <si>
    <t>mov r5, r2</t>
  </si>
  <si>
    <t>mov r0, 0x3E</t>
  </si>
  <si>
    <t>Check trying to set weather</t>
  </si>
  <si>
    <t>mov r1, 0x3</t>
  </si>
  <si>
    <t>mov r0, 0x28</t>
  </si>
  <si>
    <t>b 0x00082D44</t>
  </si>
  <si>
    <t>00102130</t>
  </si>
  <si>
    <t>5540FEEB</t>
  </si>
  <si>
    <t>CD0059E3</t>
  </si>
  <si>
    <t>00102180</t>
  </si>
  <si>
    <t>0250A0E1</t>
  </si>
  <si>
    <t>3E00A0E3</t>
  </si>
  <si>
    <t>7016FEEB</t>
  </si>
  <si>
    <t>0310A0E3</t>
  </si>
  <si>
    <t>2800A0E3</t>
  </si>
  <si>
    <t>7040BDE8</t>
  </si>
  <si>
    <t>E502FEEA</t>
  </si>
  <si>
    <t>Mega Stone Weather Rock + Terrain Extender 0xCD/0x94</t>
  </si>
  <si>
    <t>bl 0x000D6F98</t>
  </si>
  <si>
    <t>is Mega/Ultra</t>
  </si>
  <si>
    <t>010050E3</t>
  </si>
  <si>
    <t>cmp r0, 0x1</t>
  </si>
  <si>
    <t>if not Mega/Ultra</t>
  </si>
  <si>
    <t>9453FFEB</t>
  </si>
  <si>
    <t>0300001A</t>
  </si>
  <si>
    <t>0900001A</t>
  </si>
  <si>
    <t>5FDEFE0A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</si>
</sst>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3" borderId="0" xfId="0" quotePrefix="1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68"/>
  <sheetViews>
    <sheetView tabSelected="1" zoomScaleNormal="100" workbookViewId="0">
      <pane ySplit="1" topLeftCell="A2" activePane="bottomLeft" state="frozen"/>
      <selection pane="bottomLeft" activeCell="B10" sqref="B10:B21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57.2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Weather Rock + Terrain Extender Call Function</v>
      </c>
      <c r="B2" s="1"/>
      <c r="C2" s="1"/>
      <c r="D2" s="1"/>
    </row>
    <row r="3" spans="1:4">
      <c r="A3" s="3" t="s">
        <v>27</v>
      </c>
      <c r="B3" s="2" t="str">
        <f>_xlfn.CONCAT("0",RIGHT(C3,1),"10A0E3")</f>
        <v>0210A0E3</v>
      </c>
      <c r="C3" s="2" t="s">
        <v>32</v>
      </c>
      <c r="D3" s="1"/>
    </row>
    <row r="4" spans="1:4">
      <c r="A4" s="2" t="str">
        <f t="shared" ref="A4:A6" si="0">DEC2HEX(HEX2DEC(A3)+4,8)</f>
        <v>000DE264</v>
      </c>
      <c r="B4" s="3" t="s">
        <v>4</v>
      </c>
      <c r="C4" s="2" t="s">
        <v>5</v>
      </c>
      <c r="D4" s="1"/>
    </row>
    <row r="5" spans="1:4">
      <c r="A5" s="2" t="str">
        <f t="shared" si="0"/>
        <v>000DE268</v>
      </c>
      <c r="B5" s="2" t="s">
        <v>6</v>
      </c>
      <c r="C5" s="2" t="s">
        <v>7</v>
      </c>
      <c r="D5" s="1"/>
    </row>
    <row r="6" spans="1:4">
      <c r="A6" s="2" t="str">
        <f t="shared" si="0"/>
        <v>000DE26C</v>
      </c>
      <c r="B6" s="2" t="s">
        <v>8</v>
      </c>
      <c r="C6" s="2" t="s">
        <v>9</v>
      </c>
      <c r="D6" s="1"/>
    </row>
    <row r="7" spans="1:4">
      <c r="A7" s="2" t="str">
        <f>DEC2HEX(HEX2DEC(A6)+4,8)</f>
        <v>000DE270</v>
      </c>
      <c r="B7" s="3" t="s">
        <v>10</v>
      </c>
      <c r="C7" s="2" t="s">
        <v>11</v>
      </c>
      <c r="D7" s="1"/>
    </row>
    <row r="9" spans="1:4">
      <c r="A9" s="1" t="s">
        <v>55</v>
      </c>
    </row>
    <row r="10" spans="1:4">
      <c r="A10" s="3" t="s">
        <v>44</v>
      </c>
      <c r="B10" s="2" t="s">
        <v>14</v>
      </c>
      <c r="C10" s="2" t="s">
        <v>15</v>
      </c>
    </row>
    <row r="11" spans="1:4">
      <c r="A11" s="5" t="str">
        <f>DEC2HEX(HEX2DEC(A10)+4,8)</f>
        <v>00102134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21" si="1">DEC2HEX(HEX2DEC(A11)+4,8)</f>
        <v>00102138</v>
      </c>
      <c r="B12" s="5" t="s">
        <v>19</v>
      </c>
      <c r="C12" s="5" t="s">
        <v>20</v>
      </c>
      <c r="D12" s="5"/>
    </row>
    <row r="13" spans="1:4">
      <c r="A13" s="5" t="str">
        <f t="shared" si="1"/>
        <v>0010213C</v>
      </c>
      <c r="B13" s="5" t="s">
        <v>45</v>
      </c>
      <c r="C13" s="5" t="s">
        <v>13</v>
      </c>
      <c r="D13" s="5"/>
    </row>
    <row r="14" spans="1:4">
      <c r="A14" s="4" t="str">
        <f t="shared" si="1"/>
        <v>00102140</v>
      </c>
      <c r="B14" s="4" t="s">
        <v>61</v>
      </c>
      <c r="C14" s="4" t="s">
        <v>56</v>
      </c>
      <c r="D14" s="4" t="s">
        <v>57</v>
      </c>
    </row>
    <row r="15" spans="1:4">
      <c r="A15" s="2" t="str">
        <f t="shared" si="1"/>
        <v>00102144</v>
      </c>
      <c r="B15" s="3" t="s">
        <v>58</v>
      </c>
      <c r="C15" s="2" t="s">
        <v>59</v>
      </c>
      <c r="D15" s="2" t="s">
        <v>60</v>
      </c>
    </row>
    <row r="16" spans="1:4">
      <c r="A16" s="2" t="str">
        <f t="shared" si="1"/>
        <v>00102148</v>
      </c>
      <c r="B16" s="2" t="s">
        <v>62</v>
      </c>
      <c r="C16" s="2" t="str">
        <f>_xlfn.CONCAT("bne 0x",A21)</f>
        <v>bne 0x0010215C</v>
      </c>
    </row>
    <row r="17" spans="1:4">
      <c r="A17" s="2" t="str">
        <f t="shared" si="1"/>
        <v>0010214C</v>
      </c>
      <c r="B17" s="2" t="s">
        <v>24</v>
      </c>
      <c r="C17" s="2" t="str">
        <f>SUBSTITUTE(C10,"push","pop")</f>
        <v>pop {r0, r1, r2, r3, lr}</v>
      </c>
    </row>
    <row r="18" spans="1:4">
      <c r="A18" s="2" t="str">
        <f t="shared" si="1"/>
        <v>00102150</v>
      </c>
      <c r="B18" s="3" t="s">
        <v>46</v>
      </c>
      <c r="C18" s="2" t="s">
        <v>35</v>
      </c>
    </row>
    <row r="19" spans="1:4">
      <c r="A19" s="2" t="str">
        <f t="shared" si="1"/>
        <v>00102154</v>
      </c>
      <c r="B19" s="2" t="s">
        <v>63</v>
      </c>
      <c r="C19" s="2" t="str">
        <f>_xlfn.CONCAT("bne 0x",A24)</f>
        <v>bne 0x00102180</v>
      </c>
      <c r="D19" s="2" t="s">
        <v>36</v>
      </c>
    </row>
    <row r="20" spans="1:4">
      <c r="A20" s="2" t="str">
        <f t="shared" si="1"/>
        <v>00102158</v>
      </c>
      <c r="B20" s="2" t="s">
        <v>64</v>
      </c>
      <c r="C20" s="2" t="s">
        <v>33</v>
      </c>
      <c r="D20" s="2" t="s">
        <v>34</v>
      </c>
    </row>
    <row r="21" spans="1:4">
      <c r="A21" s="2" t="str">
        <f t="shared" si="1"/>
        <v>0010215C</v>
      </c>
      <c r="B21" s="2" t="s">
        <v>25</v>
      </c>
      <c r="C21" s="2" t="str">
        <f>SUBSTITUTE(C17,"lr","pc")</f>
        <v>pop {r0, r1, r2, r3, pc}</v>
      </c>
    </row>
    <row r="23" spans="1:4">
      <c r="A23" s="1" t="s">
        <v>37</v>
      </c>
    </row>
    <row r="24" spans="1:4">
      <c r="A24" s="3" t="s">
        <v>47</v>
      </c>
      <c r="B24" s="2" t="s">
        <v>30</v>
      </c>
      <c r="C24" s="2" t="s">
        <v>29</v>
      </c>
    </row>
    <row r="25" spans="1:4">
      <c r="A25" s="2" t="str">
        <f t="shared" ref="A25:A35" si="2">DEC2HEX(HEX2DEC(A24)+4,8)</f>
        <v>00102184</v>
      </c>
      <c r="B25" s="2" t="s">
        <v>28</v>
      </c>
      <c r="C25" s="2" t="s">
        <v>26</v>
      </c>
    </row>
    <row r="26" spans="1:4">
      <c r="A26" s="2" t="str">
        <f t="shared" si="2"/>
        <v>00102188</v>
      </c>
      <c r="B26" s="2" t="s">
        <v>48</v>
      </c>
      <c r="C26" s="2" t="s">
        <v>38</v>
      </c>
    </row>
    <row r="27" spans="1:4">
      <c r="A27" s="4" t="str">
        <f t="shared" si="2"/>
        <v>0010218C</v>
      </c>
      <c r="B27" s="4" t="s">
        <v>49</v>
      </c>
      <c r="C27" s="4" t="s">
        <v>39</v>
      </c>
      <c r="D27" s="4" t="s">
        <v>40</v>
      </c>
    </row>
    <row r="28" spans="1:4">
      <c r="A28" s="4" t="str">
        <f t="shared" si="2"/>
        <v>00102190</v>
      </c>
      <c r="B28" s="4" t="s">
        <v>50</v>
      </c>
      <c r="C28" s="4" t="s">
        <v>12</v>
      </c>
      <c r="D28" s="4"/>
    </row>
    <row r="29" spans="1:4">
      <c r="A29" s="4" t="str">
        <f t="shared" si="2"/>
        <v>00102194</v>
      </c>
      <c r="B29" s="6" t="s">
        <v>22</v>
      </c>
      <c r="C29" s="4" t="s">
        <v>23</v>
      </c>
      <c r="D29" s="4"/>
    </row>
    <row r="30" spans="1:4">
      <c r="A30" s="4" t="str">
        <f t="shared" si="2"/>
        <v>00102198</v>
      </c>
      <c r="B30" s="6" t="s">
        <v>21</v>
      </c>
      <c r="C30" s="4" t="str">
        <f>_xlfn.CONCAT("beq 0x",A35)</f>
        <v>beq 0x001021AC</v>
      </c>
      <c r="D30" s="4"/>
    </row>
    <row r="31" spans="1:4">
      <c r="A31" s="2" t="str">
        <f t="shared" si="2"/>
        <v>0010219C</v>
      </c>
      <c r="B31" s="3" t="s">
        <v>51</v>
      </c>
      <c r="C31" s="2" t="s">
        <v>41</v>
      </c>
    </row>
    <row r="32" spans="1:4">
      <c r="A32" s="2" t="str">
        <f t="shared" si="2"/>
        <v>001021A0</v>
      </c>
      <c r="B32" s="3" t="s">
        <v>52</v>
      </c>
      <c r="C32" s="2" t="s">
        <v>42</v>
      </c>
    </row>
    <row r="33" spans="1:3">
      <c r="A33" s="2" t="str">
        <f t="shared" si="2"/>
        <v>001021A4</v>
      </c>
      <c r="B33" s="3" t="s">
        <v>53</v>
      </c>
      <c r="C33" s="2" t="str">
        <f>SUBSTITUTE(C24,"push","pop")</f>
        <v>pop {r4, r5, r6, lr}</v>
      </c>
    </row>
    <row r="34" spans="1:3">
      <c r="A34" s="2" t="str">
        <f t="shared" si="2"/>
        <v>001021A8</v>
      </c>
      <c r="B34" s="3" t="s">
        <v>54</v>
      </c>
      <c r="C34" s="2" t="s">
        <v>43</v>
      </c>
    </row>
    <row r="35" spans="1:3">
      <c r="A35" s="2" t="str">
        <f t="shared" si="2"/>
        <v>001021AC</v>
      </c>
      <c r="B35" s="2" t="s">
        <v>31</v>
      </c>
      <c r="C35" s="2" t="str">
        <f>SUBSTITUTE(C33,"lr","pc")</f>
        <v>pop {r4, r5, r6, pc}</v>
      </c>
    </row>
    <row r="44" spans="1:3">
      <c r="B44" s="3"/>
    </row>
    <row r="51" spans="1:2">
      <c r="B51" s="3"/>
    </row>
    <row r="55" spans="1:2">
      <c r="B55" s="3"/>
    </row>
    <row r="56" spans="1:2">
      <c r="B56" s="3"/>
    </row>
    <row r="58" spans="1:2">
      <c r="B58" s="3"/>
    </row>
    <row r="59" spans="1:2">
      <c r="B59" s="3"/>
    </row>
    <row r="64" spans="1:2">
      <c r="A64" s="1"/>
    </row>
    <row r="66" spans="3:3">
      <c r="C66" s="7"/>
    </row>
    <row r="67" spans="3:3">
      <c r="C67" s="7"/>
    </row>
    <row r="68" spans="3:3">
      <c r="C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2026-05-15T02:49:20Z</dcterms:modified>
</cp:coreProperties>
</file>