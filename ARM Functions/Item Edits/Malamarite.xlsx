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FDE1086A-A8CB-4B0B-8464-346AAEEF497D}" xr6:coauthVersionLast="47" xr6:coauthVersionMax="47" xr10:uidLastSave="{00000000-0000-0000-0000-000000000000}"/>
  <bookViews>
    <workbookView xWindow="0" yWindow="0" windowWidth="16457" windowHeight="17914" xr2:uid="{6B563214-6527-4E5F-B5EA-E821D6DED3A7}"/>
  </bookViews>
  <sheets>
    <sheet name="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" i="1" l="1"/>
  <c r="C48" i="1" s="1"/>
  <c r="A35" i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11" i="1"/>
  <c r="A12" i="1" s="1"/>
  <c r="A13" i="1" s="1"/>
  <c r="A14" i="1" s="1"/>
  <c r="A15" i="1" s="1"/>
  <c r="C14" i="1"/>
  <c r="C40" i="1" l="1"/>
  <c r="A19" i="1" l="1"/>
  <c r="A20" i="1" s="1"/>
  <c r="A21" i="1" s="1"/>
  <c r="A22" i="1" s="1"/>
  <c r="A23" i="1" s="1"/>
  <c r="A24" i="1" s="1"/>
  <c r="A25" i="1" l="1"/>
  <c r="A26" i="1" s="1"/>
  <c r="C29" i="1"/>
  <c r="C31" i="1" s="1"/>
  <c r="A27" i="1" l="1"/>
  <c r="A28" i="1" s="1"/>
  <c r="A29" i="1" s="1"/>
  <c r="A30" i="1" s="1"/>
  <c r="A31" i="1" s="1"/>
  <c r="C24" i="1" s="1"/>
  <c r="A2" i="1" l="1" a="1"/>
  <c r="A2" i="1" s="1"/>
  <c r="A4" i="1"/>
  <c r="A5" i="1" s="1"/>
  <c r="A6" i="1" s="1"/>
  <c r="A7" i="1" s="1"/>
  <c r="B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<sst xmlns="http://schemas.openxmlformats.org/spreadsheetml/2006/main" count="93" uniqueCount="87">
  <si>
    <t>notes</t>
  </si>
  <si>
    <t>instruction</t>
  </si>
  <si>
    <t>Hex</t>
  </si>
  <si>
    <t>Address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</si>
  <si>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</si>
  <si>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</si>
  <si>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</si>
  <si>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</si>
  <si>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</si>
  <si>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</si>
  <si>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</si>
  <si>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</si>
  <si>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bl 0x00092298</t>
  </si>
  <si>
    <t>Get pointer to self</t>
  </si>
  <si>
    <t>mov r0, r1</t>
  </si>
  <si>
    <t>mov r1, r2</t>
  </si>
  <si>
    <t>0100A0E1</t>
  </si>
  <si>
    <t>0210A0E1</t>
  </si>
  <si>
    <t>Normal</t>
  </si>
  <si>
    <t>Fighting</t>
  </si>
  <si>
    <t>bl 0x00102910</t>
  </si>
  <si>
    <t>mov r0, 0x0</t>
  </si>
  <si>
    <t>mov r0, 0x1</t>
  </si>
  <si>
    <t>push {r1, r2, lr}</t>
  </si>
  <si>
    <t>ldmia sp, {r1, r2}</t>
  </si>
  <si>
    <t>06402DE9</t>
  </si>
  <si>
    <t>0640BDE8</t>
  </si>
  <si>
    <t>0680BDE8</t>
  </si>
  <si>
    <t>06009DE8</t>
  </si>
  <si>
    <t>0000A0E3</t>
  </si>
  <si>
    <t>0100A0E3</t>
  </si>
  <si>
    <t>b 0x00103208</t>
  </si>
  <si>
    <t>b 0x00102910</t>
  </si>
  <si>
    <t>Add Ice/Ghost 0x4E/0x4F/0x5B/0x6A/0x6D/0xA7</t>
  </si>
  <si>
    <t>bl 0x000D6F98</t>
  </si>
  <si>
    <t>cmp r0, 0x1</t>
  </si>
  <si>
    <t>Check Mega</t>
  </si>
  <si>
    <t>bl 0x00103208</t>
  </si>
  <si>
    <t>Set Ice</t>
  </si>
  <si>
    <t>Set Ghost</t>
  </si>
  <si>
    <t>mov r0, 0x7</t>
  </si>
  <si>
    <t>mov r0, 0xE</t>
  </si>
  <si>
    <t>Immune to Normal &amp; Fighting Moves 0x3A</t>
  </si>
  <si>
    <t>000C980C</t>
  </si>
  <si>
    <t>3DE400EB</t>
  </si>
  <si>
    <t>3AE400EA</t>
  </si>
  <si>
    <t>000C9824</t>
  </si>
  <si>
    <t>000BF580</t>
  </si>
  <si>
    <t>414BFFEB</t>
  </si>
  <si>
    <t>805E00EB</t>
  </si>
  <si>
    <t>010050E3</t>
  </si>
  <si>
    <t>0500001A</t>
  </si>
  <si>
    <t>0E00A0E3</t>
  </si>
  <si>
    <t>170F01EB</t>
  </si>
  <si>
    <t>0700A0E3</t>
  </si>
  <si>
    <t>140F01EA</t>
  </si>
  <si>
    <t>Apply Contrary to all other Pokemon but not self 0x71</t>
  </si>
  <si>
    <t>push {r4, r5, lr}</t>
  </si>
  <si>
    <t>mov r4, r2</t>
  </si>
  <si>
    <t>mov r5, r3</t>
  </si>
  <si>
    <t>mov r0, 0x2</t>
  </si>
  <si>
    <t>bl 0x00087B58</t>
  </si>
  <si>
    <t>cmp r0, r4</t>
  </si>
  <si>
    <t>Check if self</t>
  </si>
  <si>
    <t>if self, do nothing</t>
  </si>
  <si>
    <t>mov r0, 0x24</t>
  </si>
  <si>
    <t>mov r1, 0x8</t>
  </si>
  <si>
    <t>get stat change</t>
  </si>
  <si>
    <t>rsb r1, r0, 0x0</t>
  </si>
  <si>
    <t>invert change</t>
  </si>
  <si>
    <t>bl 0x00082D44</t>
  </si>
  <si>
    <t>str r0, [r5]</t>
  </si>
  <si>
    <t>00102C5C</t>
  </si>
  <si>
    <t>30402DE9</t>
  </si>
  <si>
    <t>0240A0E1</t>
  </si>
  <si>
    <t>0350A0E1</t>
  </si>
  <si>
    <t>0200A0E3</t>
  </si>
  <si>
    <t>B913FEEB</t>
  </si>
  <si>
    <t>040050E1</t>
  </si>
  <si>
    <t>0600000A</t>
  </si>
  <si>
    <t>2400A0E3</t>
  </si>
  <si>
    <t>B513FEEB</t>
  </si>
  <si>
    <t>001060E2</t>
  </si>
  <si>
    <t>3040BDE8</t>
  </si>
  <si>
    <t>2C00FEEB</t>
  </si>
  <si>
    <t>000085E5</t>
  </si>
  <si>
    <t>3080BDE8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</si>
</sst>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2" borderId="0" xfId="0" applyFont="1" applyFill="1"/>
    <xf numFmtId="0" fontId="2" fillId="2" borderId="0" xfId="0" quotePrefix="1" applyFont="1" applyFill="1"/>
    <xf numFmtId="0" fontId="2" fillId="3" borderId="0" xfId="0" applyFont="1" applyFill="1"/>
    <xf numFmtId="0" fontId="2" fillId="3" borderId="0" xfId="0" quotePrefix="1" applyFont="1" applyFill="1"/>
    <xf numFmtId="0" fontId="2" fillId="4" borderId="0" xfId="0" applyFont="1" applyFill="1"/>
    <xf numFmtId="0" fontId="2" fillId="4" borderId="0" xfId="0" quotePrefix="1" applyFont="1" applyFill="1"/>
    <xf numFmtId="0" fontId="2" fillId="5" borderId="0" xfId="0" applyFont="1" applyFill="1"/>
    <xf numFmtId="0" fontId="2" fillId="5" borderId="0" xfId="0" quotePrefix="1" applyFont="1" applyFill="1"/>
    <xf numFmtId="0" fontId="2" fillId="6" borderId="0" xfId="0" applyFont="1" applyFill="1"/>
    <xf numFmtId="0" fontId="2" fillId="0" borderId="0" xfId="0" applyFont="1" applyFill="1"/>
    <xf numFmtId="0" fontId="2" fillId="0" borderId="0" xfId="0" quotePrefix="1" applyFont="1" applyFill="1"/>
    <xf numFmtId="0" fontId="2" fillId="6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D48"/>
  <sheetViews>
    <sheetView tabSelected="1" workbookViewId="0">
      <pane ySplit="1" topLeftCell="A2" activePane="bottomLeft" state="frozen"/>
      <selection pane="bottomLeft" activeCell="A7" sqref="A7"/>
    </sheetView>
  </sheetViews>
  <sheetFormatPr defaultRowHeight="15.9"/>
  <cols>
    <col min="1" max="1" width="9.140625" style="2"/>
    <col min="2" max="2" width="9.35546875" style="2" bestFit="1" customWidth="1"/>
    <col min="3" max="3" width="28.92578125" style="2" bestFit="1" customWidth="1"/>
    <col min="4" max="4" width="38.78515625" style="2" bestFit="1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Malamarite Call Function</v>
      </c>
      <c r="B2" s="1"/>
      <c r="C2" s="1"/>
      <c r="D2" s="1"/>
    </row>
    <row r="3" spans="1:4">
      <c r="A3" s="3" t="s">
        <v>46</v>
      </c>
      <c r="B3" s="2" t="str">
        <f>_xlfn.CONCAT("0",RIGHT(C3,1),"10A0E3")</f>
        <v>0810A0E3</v>
      </c>
      <c r="C3" s="2" t="s">
        <v>66</v>
      </c>
      <c r="D3" s="1"/>
    </row>
    <row r="4" spans="1:4">
      <c r="A4" s="2" t="str">
        <f t="shared" ref="A4:A6" si="0">DEC2HEX(HEX2DEC(A3)+4,8)</f>
        <v>000C9828</v>
      </c>
      <c r="B4" s="3" t="s">
        <v>4</v>
      </c>
      <c r="C4" s="2" t="s">
        <v>5</v>
      </c>
      <c r="D4" s="1"/>
    </row>
    <row r="5" spans="1:4">
      <c r="A5" s="2" t="str">
        <f t="shared" si="0"/>
        <v>000C982C</v>
      </c>
      <c r="B5" s="2" t="s">
        <v>6</v>
      </c>
      <c r="C5" s="2" t="s">
        <v>7</v>
      </c>
      <c r="D5" s="1"/>
    </row>
    <row r="6" spans="1:4">
      <c r="A6" s="2" t="str">
        <f t="shared" si="0"/>
        <v>000C9830</v>
      </c>
      <c r="B6" s="2" t="s">
        <v>8</v>
      </c>
      <c r="C6" s="2" t="s">
        <v>9</v>
      </c>
      <c r="D6" s="1"/>
    </row>
    <row r="7" spans="1:4">
      <c r="A7" s="2" t="str">
        <f>DEC2HEX(HEX2DEC(A6)+4,8)</f>
        <v>000C9834</v>
      </c>
      <c r="B7" s="3" t="s">
        <v>10</v>
      </c>
      <c r="C7" s="2" t="s">
        <v>11</v>
      </c>
      <c r="D7" s="1"/>
    </row>
    <row r="9" spans="1:4">
      <c r="A9" s="1" t="s">
        <v>42</v>
      </c>
    </row>
    <row r="10" spans="1:4">
      <c r="A10" s="13" t="s">
        <v>43</v>
      </c>
      <c r="B10" s="14" t="s">
        <v>25</v>
      </c>
      <c r="C10" s="13" t="s">
        <v>23</v>
      </c>
      <c r="D10" s="13"/>
    </row>
    <row r="11" spans="1:4">
      <c r="A11" s="8" t="str">
        <f t="shared" ref="A11:A15" si="1">DEC2HEX(HEX2DEC(A10)+4,8)</f>
        <v>000C9810</v>
      </c>
      <c r="B11" s="9" t="s">
        <v>29</v>
      </c>
      <c r="C11" s="8" t="s">
        <v>21</v>
      </c>
      <c r="D11" s="8" t="s">
        <v>18</v>
      </c>
    </row>
    <row r="12" spans="1:4">
      <c r="A12" s="8" t="str">
        <f t="shared" si="1"/>
        <v>000C9814</v>
      </c>
      <c r="B12" s="9" t="s">
        <v>44</v>
      </c>
      <c r="C12" s="8" t="s">
        <v>20</v>
      </c>
      <c r="D12" s="8"/>
    </row>
    <row r="13" spans="1:4">
      <c r="A13" s="6" t="str">
        <f t="shared" si="1"/>
        <v>000C9818</v>
      </c>
      <c r="B13" s="7" t="s">
        <v>30</v>
      </c>
      <c r="C13" s="6" t="s">
        <v>22</v>
      </c>
      <c r="D13" s="6" t="s">
        <v>19</v>
      </c>
    </row>
    <row r="14" spans="1:4">
      <c r="A14" s="13" t="str">
        <f t="shared" si="1"/>
        <v>000C981C</v>
      </c>
      <c r="B14" s="14" t="s">
        <v>26</v>
      </c>
      <c r="C14" s="13" t="str">
        <f>SUBSTITUTE(C10,"push","pop")</f>
        <v>pop {r1, r2, lr}</v>
      </c>
      <c r="D14" s="13"/>
    </row>
    <row r="15" spans="1:4">
      <c r="A15" s="6" t="str">
        <f t="shared" si="1"/>
        <v>000C9820</v>
      </c>
      <c r="B15" s="7" t="s">
        <v>45</v>
      </c>
      <c r="C15" s="6" t="s">
        <v>32</v>
      </c>
      <c r="D15" s="6"/>
    </row>
    <row r="17" spans="1:4">
      <c r="A17" s="1" t="s">
        <v>33</v>
      </c>
    </row>
    <row r="18" spans="1:4">
      <c r="A18" s="2" t="s">
        <v>47</v>
      </c>
      <c r="B18" s="2" t="s">
        <v>25</v>
      </c>
      <c r="C18" s="2" t="s">
        <v>23</v>
      </c>
    </row>
    <row r="19" spans="1:4">
      <c r="A19" s="4" t="str">
        <f t="shared" ref="A19:A31" si="2">DEC2HEX(HEX2DEC(A18)+4,8)</f>
        <v>000BF584</v>
      </c>
      <c r="B19" s="4" t="s">
        <v>16</v>
      </c>
      <c r="C19" s="4" t="s">
        <v>14</v>
      </c>
      <c r="D19" s="4" t="s">
        <v>13</v>
      </c>
    </row>
    <row r="20" spans="1:4">
      <c r="A20" s="4" t="str">
        <f t="shared" si="2"/>
        <v>000BF588</v>
      </c>
      <c r="B20" s="4" t="s">
        <v>17</v>
      </c>
      <c r="C20" s="4" t="s">
        <v>15</v>
      </c>
      <c r="D20" s="4"/>
    </row>
    <row r="21" spans="1:4">
      <c r="A21" s="4" t="str">
        <f t="shared" si="2"/>
        <v>000BF58C</v>
      </c>
      <c r="B21" s="5" t="s">
        <v>48</v>
      </c>
      <c r="C21" s="4" t="s">
        <v>12</v>
      </c>
      <c r="D21" s="4"/>
    </row>
    <row r="22" spans="1:4">
      <c r="A22" s="6" t="str">
        <f t="shared" si="2"/>
        <v>000BF590</v>
      </c>
      <c r="B22" s="7" t="s">
        <v>49</v>
      </c>
      <c r="C22" s="6" t="s">
        <v>34</v>
      </c>
      <c r="D22" s="6" t="s">
        <v>36</v>
      </c>
    </row>
    <row r="23" spans="1:4">
      <c r="A23" s="6" t="str">
        <f>DEC2HEX(HEX2DEC(A22)+4,8)</f>
        <v>000BF594</v>
      </c>
      <c r="B23" s="7" t="s">
        <v>50</v>
      </c>
      <c r="C23" s="6" t="s">
        <v>35</v>
      </c>
      <c r="D23" s="6"/>
    </row>
    <row r="24" spans="1:4">
      <c r="A24" s="6" t="str">
        <f>DEC2HEX(HEX2DEC(A23)+4,8)</f>
        <v>000BF598</v>
      </c>
      <c r="B24" s="6" t="s">
        <v>51</v>
      </c>
      <c r="C24" s="6" t="str">
        <f>_xlfn.CONCAT("bne 0x",A31)</f>
        <v>bne 0x000BF5B4</v>
      </c>
      <c r="D24" s="6"/>
    </row>
    <row r="25" spans="1:4">
      <c r="A25" s="10" t="str">
        <f t="shared" ref="A25:A30" si="3">DEC2HEX(HEX2DEC(A24)+4,8)</f>
        <v>000BF59C</v>
      </c>
      <c r="B25" s="11" t="s">
        <v>28</v>
      </c>
      <c r="C25" s="10" t="s">
        <v>24</v>
      </c>
      <c r="D25" s="10" t="s">
        <v>38</v>
      </c>
    </row>
    <row r="26" spans="1:4">
      <c r="A26" s="10" t="str">
        <f t="shared" si="3"/>
        <v>000BF5A0</v>
      </c>
      <c r="B26" s="11" t="s">
        <v>52</v>
      </c>
      <c r="C26" s="10" t="s">
        <v>41</v>
      </c>
      <c r="D26" s="10"/>
    </row>
    <row r="27" spans="1:4">
      <c r="A27" s="10" t="str">
        <f t="shared" si="3"/>
        <v>000BF5A4</v>
      </c>
      <c r="B27" s="10" t="s">
        <v>53</v>
      </c>
      <c r="C27" s="10" t="s">
        <v>37</v>
      </c>
      <c r="D27" s="10"/>
    </row>
    <row r="28" spans="1:4">
      <c r="A28" s="12" t="str">
        <f t="shared" si="3"/>
        <v>000BF5A8</v>
      </c>
      <c r="B28" s="12" t="s">
        <v>54</v>
      </c>
      <c r="C28" s="12" t="s">
        <v>40</v>
      </c>
      <c r="D28" s="12" t="s">
        <v>39</v>
      </c>
    </row>
    <row r="29" spans="1:4">
      <c r="A29" s="12" t="str">
        <f t="shared" si="3"/>
        <v>000BF5AC</v>
      </c>
      <c r="B29" s="12" t="s">
        <v>26</v>
      </c>
      <c r="C29" s="12" t="str">
        <f>SUBSTITUTE(C18,"push","pop")</f>
        <v>pop {r1, r2, lr}</v>
      </c>
      <c r="D29" s="12"/>
    </row>
    <row r="30" spans="1:4">
      <c r="A30" s="12" t="str">
        <f t="shared" si="3"/>
        <v>000BF5B0</v>
      </c>
      <c r="B30" s="12" t="s">
        <v>55</v>
      </c>
      <c r="C30" s="12" t="s">
        <v>31</v>
      </c>
      <c r="D30" s="12"/>
    </row>
    <row r="31" spans="1:4">
      <c r="A31" s="2" t="str">
        <f t="shared" si="2"/>
        <v>000BF5B4</v>
      </c>
      <c r="B31" s="2" t="s">
        <v>27</v>
      </c>
      <c r="C31" s="2" t="str">
        <f>SUBSTITUTE(C29,"lr","pc")</f>
        <v>pop {r1, r2, pc}</v>
      </c>
    </row>
    <row r="33" spans="1:4">
      <c r="A33" s="1" t="s">
        <v>56</v>
      </c>
    </row>
    <row r="34" spans="1:4">
      <c r="A34" s="2" t="s">
        <v>72</v>
      </c>
      <c r="B34" s="2" t="s">
        <v>73</v>
      </c>
      <c r="C34" s="2" t="s">
        <v>57</v>
      </c>
    </row>
    <row r="35" spans="1:4">
      <c r="A35" s="2" t="str">
        <f t="shared" ref="A35:A38" si="4">DEC2HEX(HEX2DEC(A34)+4,8)</f>
        <v>00102C60</v>
      </c>
      <c r="B35" s="2" t="s">
        <v>74</v>
      </c>
      <c r="C35" s="2" t="s">
        <v>58</v>
      </c>
    </row>
    <row r="36" spans="1:4">
      <c r="A36" s="2" t="str">
        <f t="shared" si="4"/>
        <v>00102C64</v>
      </c>
      <c r="B36" s="2" t="s">
        <v>75</v>
      </c>
      <c r="C36" s="2" t="s">
        <v>59</v>
      </c>
    </row>
    <row r="37" spans="1:4">
      <c r="A37" s="4" t="str">
        <f t="shared" si="4"/>
        <v>00102C68</v>
      </c>
      <c r="B37" s="4" t="s">
        <v>76</v>
      </c>
      <c r="C37" s="4" t="s">
        <v>60</v>
      </c>
      <c r="D37" s="4" t="s">
        <v>63</v>
      </c>
    </row>
    <row r="38" spans="1:4">
      <c r="A38" s="4" t="str">
        <f t="shared" si="4"/>
        <v>00102C6C</v>
      </c>
      <c r="B38" s="4" t="s">
        <v>77</v>
      </c>
      <c r="C38" s="4" t="s">
        <v>61</v>
      </c>
      <c r="D38" s="4"/>
    </row>
    <row r="39" spans="1:4">
      <c r="A39" s="4" t="str">
        <f>DEC2HEX(HEX2DEC(A38)+4,8)</f>
        <v>00102C70</v>
      </c>
      <c r="B39" s="5" t="s">
        <v>78</v>
      </c>
      <c r="C39" s="4" t="s">
        <v>62</v>
      </c>
      <c r="D39" s="4"/>
    </row>
    <row r="40" spans="1:4">
      <c r="A40" s="4" t="str">
        <f>DEC2HEX(HEX2DEC(A39)+4,8)</f>
        <v>00102C74</v>
      </c>
      <c r="B40" s="4" t="s">
        <v>79</v>
      </c>
      <c r="C40" s="4" t="str">
        <f>_xlfn.CONCAT("beq 0x",A48)</f>
        <v>beq 0x00102C94</v>
      </c>
      <c r="D40" s="4" t="s">
        <v>64</v>
      </c>
    </row>
    <row r="41" spans="1:4">
      <c r="A41" s="10" t="str">
        <f t="shared" ref="A41:A48" si="5">DEC2HEX(HEX2DEC(A40)+4,8)</f>
        <v>00102C78</v>
      </c>
      <c r="B41" s="10" t="s">
        <v>80</v>
      </c>
      <c r="C41" s="10" t="s">
        <v>65</v>
      </c>
      <c r="D41" s="10" t="s">
        <v>67</v>
      </c>
    </row>
    <row r="42" spans="1:4">
      <c r="A42" s="10" t="str">
        <f t="shared" si="5"/>
        <v>00102C7C</v>
      </c>
      <c r="B42" s="10" t="s">
        <v>81</v>
      </c>
      <c r="C42" s="10" t="s">
        <v>61</v>
      </c>
      <c r="D42" s="10"/>
    </row>
    <row r="43" spans="1:4">
      <c r="A43" s="12" t="str">
        <f t="shared" si="5"/>
        <v>00102C80</v>
      </c>
      <c r="B43" s="15" t="s">
        <v>82</v>
      </c>
      <c r="C43" s="12" t="s">
        <v>68</v>
      </c>
      <c r="D43" s="12" t="s">
        <v>69</v>
      </c>
    </row>
    <row r="44" spans="1:4">
      <c r="A44" s="12" t="str">
        <f t="shared" si="5"/>
        <v>00102C84</v>
      </c>
      <c r="B44" s="12" t="s">
        <v>80</v>
      </c>
      <c r="C44" s="12" t="s">
        <v>65</v>
      </c>
      <c r="D44" s="12"/>
    </row>
    <row r="45" spans="1:4">
      <c r="A45" s="2" t="str">
        <f t="shared" si="5"/>
        <v>00102C88</v>
      </c>
      <c r="B45" s="2" t="s">
        <v>83</v>
      </c>
      <c r="C45" s="2" t="str">
        <f>SUBSTITUTE(C34,"push","pop")</f>
        <v>pop {r4, r5, lr}</v>
      </c>
    </row>
    <row r="46" spans="1:4">
      <c r="A46" s="2" t="str">
        <f t="shared" si="5"/>
        <v>00102C8C</v>
      </c>
      <c r="B46" s="2" t="s">
        <v>84</v>
      </c>
      <c r="C46" s="2" t="s">
        <v>70</v>
      </c>
    </row>
    <row r="47" spans="1:4">
      <c r="A47" s="2" t="str">
        <f t="shared" si="5"/>
        <v>00102C90</v>
      </c>
      <c r="B47" s="3" t="s">
        <v>85</v>
      </c>
      <c r="C47" s="2" t="s">
        <v>71</v>
      </c>
    </row>
    <row r="48" spans="1:4">
      <c r="A48" s="2" t="str">
        <f t="shared" si="5"/>
        <v>00102C94</v>
      </c>
      <c r="B48" s="2" t="s">
        <v>86</v>
      </c>
      <c r="C48" s="2" t="str">
        <f>SUBSTITUTE(C45,"lr","pc")</f>
        <v>pop {r4, r5, pc}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2026-06-18T17:58:39Z</dcterms:modified>
</cp:coreProperties>
</file>