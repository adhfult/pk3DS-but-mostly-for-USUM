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203F7BDF-6FCE-4AC2-A51D-B0659380E286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Edited main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C25" i="6" s="1"/>
  <c r="A11" i="6" l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l="1"/>
  <c r="A25" i="6" s="1"/>
  <c r="C19" i="6" s="1"/>
  <c r="A4" i="6"/>
  <c r="A5" i="6" s="1"/>
  <c r="A6" i="6" s="1"/>
  <c r="A7" i="6" s="1"/>
</calcChain>
</file>

<file path=xl/sharedStrings.xml><?xml version="1.0" encoding="utf-8"?>
<sst xmlns="http://schemas.openxmlformats.org/spreadsheetml/2006/main" count="53" uniqueCount="53">
  <si>
    <t>Address</t>
  </si>
  <si>
    <t>Hex</t>
  </si>
  <si>
    <t>instruction</t>
  </si>
  <si>
    <t>notes</t>
  </si>
  <si>
    <t>bx lr</t>
  </si>
  <si>
    <t>1EFF2FE1</t>
  </si>
  <si>
    <t>r0</t>
  </si>
  <si>
    <t>r1</t>
  </si>
  <si>
    <t>r2</t>
  </si>
  <si>
    <t>Load Call</t>
  </si>
  <si>
    <t>str r1, [r0]</t>
  </si>
  <si>
    <t>ldr r0, [pc]</t>
  </si>
  <si>
    <t>&lt;pointer to below call via patch table</t>
  </si>
  <si>
    <t>001080E5</t>
  </si>
  <si>
    <t>00009FE5</t>
  </si>
  <si>
    <t>00000000</t>
  </si>
  <si>
    <t>mov r0, r1</t>
  </si>
  <si>
    <t>mov r1, r2</t>
  </si>
  <si>
    <t>bl 0x00092298</t>
  </si>
  <si>
    <t>ldrh r1, [r0, 0xC]</t>
  </si>
  <si>
    <t>cmp r9, 0x43</t>
  </si>
  <si>
    <t>beq 0x000FDA28</t>
  </si>
  <si>
    <t>000DB17C</t>
  </si>
  <si>
    <t>0100A0E1</t>
  </si>
  <si>
    <t>0210A0E1</t>
  </si>
  <si>
    <t>BC10D0E1</t>
  </si>
  <si>
    <t>430059E3</t>
  </si>
  <si>
    <t>Get Pointer</t>
  </si>
  <si>
    <t>Check species for Squirtle</t>
  </si>
  <si>
    <t>Don't run if not Apex</t>
  </si>
  <si>
    <t>push {r0, r1, r2, r3, lr}</t>
  </si>
  <si>
    <t>0F402DE9</t>
  </si>
  <si>
    <t>0F40BDE8</t>
  </si>
  <si>
    <t>0F80BDE8</t>
  </si>
  <si>
    <t>ldrbeq r1, [r0, 0x239]</t>
  </si>
  <si>
    <t>cmp r1, 0x1</t>
  </si>
  <si>
    <t>cmpne r1, 0x2</t>
  </si>
  <si>
    <t>blo 0x000FD568</t>
  </si>
  <si>
    <t>bhi 0x000FFC34</t>
  </si>
  <si>
    <t>0310A0E3</t>
  </si>
  <si>
    <t>mov r1, 0x3</t>
  </si>
  <si>
    <t>cmp r1, 0x7</t>
  </si>
  <si>
    <t>Squirtilium Z Loaded Dice + Apex Transform 0x41/0x43/0x9E</t>
  </si>
  <si>
    <t>000BBA10</t>
  </si>
  <si>
    <t>1D5AFFEB</t>
  </si>
  <si>
    <t>070051E3</t>
  </si>
  <si>
    <t>3912D005</t>
  </si>
  <si>
    <t>010051E3</t>
  </si>
  <si>
    <t>02005113</t>
  </si>
  <si>
    <t>0400001A</t>
  </si>
  <si>
    <t>F807010A</t>
  </si>
  <si>
    <t>C706013A</t>
  </si>
  <si>
    <t>7910018A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</si>
</sst>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3" borderId="0" xfId="0" applyFont="1" applyFill="1"/>
    <xf numFmtId="0" fontId="2" fillId="3" borderId="0" xfId="0" quotePrefix="1" applyFont="1" applyFill="1"/>
    <xf numFmtId="0" fontId="3" fillId="3" borderId="0" xfId="0" quotePrefix="1" applyFont="1" applyFill="1"/>
    <xf numFmtId="0" fontId="3" fillId="0" borderId="0" xfId="0" applyFont="1"/>
    <xf numFmtId="0" fontId="2" fillId="4" borderId="0" xfId="0" applyFont="1" applyFill="1"/>
    <xf numFmtId="0" fontId="3" fillId="4" borderId="0" xfId="0" quotePrefix="1" applyFont="1" applyFill="1"/>
    <xf numFmtId="0" fontId="3" fillId="4" borderId="0" xfId="0" applyFont="1" applyFill="1"/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K25"/>
  <sheetViews>
    <sheetView tabSelected="1" zoomScaleNormal="100" workbookViewId="0">
      <pane ySplit="1" topLeftCell="A3" activePane="bottomLeft" state="frozen"/>
      <selection pane="bottomLeft" activeCell="A10" sqref="A10"/>
    </sheetView>
  </sheetViews>
  <sheetFormatPr defaultRowHeight="15.9"/>
  <cols>
    <col min="1" max="1" width="9.140625" style="2"/>
    <col min="2" max="2" width="9.35546875" style="2" bestFit="1" customWidth="1"/>
    <col min="3" max="3" width="42.0703125" style="2" bestFit="1" customWidth="1"/>
    <col min="4" max="4" width="28.92578125" style="2" bestFit="1" customWidth="1"/>
    <col min="5" max="16384" width="9.140625" style="2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I1" s="2" t="s">
        <v>6</v>
      </c>
      <c r="J1" s="2" t="s">
        <v>7</v>
      </c>
      <c r="K1" s="2" t="s">
        <v>8</v>
      </c>
    </row>
    <row r="2" spans="1:11">
      <c r="A2" s="1" t="s">
        <v>9</v>
      </c>
    </row>
    <row r="3" spans="1:11">
      <c r="A3" s="2" t="s">
        <v>22</v>
      </c>
      <c r="B3" s="2" t="s">
        <v>39</v>
      </c>
      <c r="C3" s="2" t="s">
        <v>40</v>
      </c>
    </row>
    <row r="4" spans="1:11">
      <c r="A4" s="2" t="str">
        <f>DEC2HEX(HEX2DEC(A3)+4,8)</f>
        <v>000DB180</v>
      </c>
      <c r="B4" s="3" t="s">
        <v>13</v>
      </c>
      <c r="C4" s="2" t="s">
        <v>10</v>
      </c>
    </row>
    <row r="5" spans="1:11">
      <c r="A5" s="2" t="str">
        <f t="shared" ref="A5:A7" si="0">DEC2HEX(HEX2DEC(A4)+4,8)</f>
        <v>000DB184</v>
      </c>
      <c r="B5" s="3" t="s">
        <v>14</v>
      </c>
      <c r="C5" s="2" t="s">
        <v>11</v>
      </c>
    </row>
    <row r="6" spans="1:11">
      <c r="A6" s="2" t="str">
        <f t="shared" si="0"/>
        <v>000DB188</v>
      </c>
      <c r="B6" s="2" t="s">
        <v>5</v>
      </c>
      <c r="C6" s="2" t="s">
        <v>4</v>
      </c>
    </row>
    <row r="7" spans="1:11">
      <c r="A7" s="2" t="str">
        <f t="shared" si="0"/>
        <v>000DB18C</v>
      </c>
      <c r="B7" s="3" t="s">
        <v>15</v>
      </c>
      <c r="C7" s="2" t="s">
        <v>12</v>
      </c>
    </row>
    <row r="9" spans="1:11">
      <c r="A9" s="1" t="s">
        <v>42</v>
      </c>
      <c r="B9" s="1"/>
      <c r="C9" s="1"/>
      <c r="D9" s="1"/>
    </row>
    <row r="10" spans="1:11">
      <c r="A10" s="3" t="s">
        <v>43</v>
      </c>
      <c r="B10" s="2" t="s">
        <v>31</v>
      </c>
      <c r="C10" s="2" t="s">
        <v>30</v>
      </c>
    </row>
    <row r="11" spans="1:11">
      <c r="A11" s="4" t="str">
        <f>DEC2HEX(HEX2DEC(A10)+4,8)</f>
        <v>000BBA14</v>
      </c>
      <c r="B11" s="4" t="s">
        <v>23</v>
      </c>
      <c r="C11" s="4" t="s">
        <v>16</v>
      </c>
      <c r="D11" s="4" t="s">
        <v>27</v>
      </c>
    </row>
    <row r="12" spans="1:11">
      <c r="A12" s="4" t="str">
        <f t="shared" ref="A12:A25" si="1">DEC2HEX(HEX2DEC(A11)+4,8)</f>
        <v>000BBA18</v>
      </c>
      <c r="B12" s="4" t="s">
        <v>24</v>
      </c>
      <c r="C12" s="4" t="s">
        <v>17</v>
      </c>
      <c r="D12" s="4"/>
    </row>
    <row r="13" spans="1:11">
      <c r="A13" s="4" t="str">
        <f t="shared" si="1"/>
        <v>000BBA1C</v>
      </c>
      <c r="B13" s="4" t="s">
        <v>44</v>
      </c>
      <c r="C13" s="4" t="s">
        <v>18</v>
      </c>
      <c r="D13" s="4"/>
    </row>
    <row r="14" spans="1:11">
      <c r="A14" s="5" t="str">
        <f t="shared" si="1"/>
        <v>000BBA20</v>
      </c>
      <c r="B14" s="6" t="s">
        <v>25</v>
      </c>
      <c r="C14" s="5" t="s">
        <v>19</v>
      </c>
      <c r="D14" s="5" t="s">
        <v>28</v>
      </c>
    </row>
    <row r="15" spans="1:11">
      <c r="A15" s="5" t="str">
        <f t="shared" si="1"/>
        <v>000BBA24</v>
      </c>
      <c r="B15" s="7" t="s">
        <v>45</v>
      </c>
      <c r="C15" s="5" t="s">
        <v>41</v>
      </c>
      <c r="D15" s="5"/>
      <c r="E15" s="8"/>
      <c r="F15" s="8"/>
    </row>
    <row r="16" spans="1:11">
      <c r="A16" s="9" t="str">
        <f t="shared" si="1"/>
        <v>000BBA28</v>
      </c>
      <c r="B16" s="10" t="s">
        <v>46</v>
      </c>
      <c r="C16" s="9" t="s">
        <v>34</v>
      </c>
      <c r="D16" s="9" t="s">
        <v>29</v>
      </c>
      <c r="E16" s="8"/>
    </row>
    <row r="17" spans="1:6">
      <c r="A17" s="9" t="str">
        <f t="shared" si="1"/>
        <v>000BBA2C</v>
      </c>
      <c r="B17" s="10" t="s">
        <v>47</v>
      </c>
      <c r="C17" s="9" t="s">
        <v>35</v>
      </c>
      <c r="D17" s="11"/>
      <c r="E17" s="8"/>
      <c r="F17" s="8"/>
    </row>
    <row r="18" spans="1:6">
      <c r="A18" s="9" t="str">
        <f t="shared" si="1"/>
        <v>000BBA30</v>
      </c>
      <c r="B18" s="10" t="s">
        <v>48</v>
      </c>
      <c r="C18" s="9" t="s">
        <v>36</v>
      </c>
      <c r="D18" s="11"/>
      <c r="E18" s="8"/>
      <c r="F18" s="8"/>
    </row>
    <row r="19" spans="1:6">
      <c r="A19" s="9" t="str">
        <f t="shared" si="1"/>
        <v>000BBA34</v>
      </c>
      <c r="B19" s="10" t="s">
        <v>49</v>
      </c>
      <c r="C19" s="9" t="str">
        <f>_xlfn.CONCAT("bne 0x",A$25)</f>
        <v>bne 0x000BBA4C</v>
      </c>
      <c r="D19" s="9"/>
      <c r="E19" s="8"/>
      <c r="F19" s="8"/>
    </row>
    <row r="20" spans="1:6">
      <c r="A20" s="2" t="str">
        <f t="shared" si="1"/>
        <v>000BBA38</v>
      </c>
      <c r="B20" s="12" t="s">
        <v>32</v>
      </c>
      <c r="C20" s="2" t="str">
        <f>SUBSTITUTE(C10,"push","pop")</f>
        <v>pop {r0, r1, r2, r3, lr}</v>
      </c>
    </row>
    <row r="21" spans="1:6">
      <c r="A21" s="2" t="str">
        <f t="shared" si="1"/>
        <v>000BBA3C</v>
      </c>
      <c r="B21" s="12" t="s">
        <v>26</v>
      </c>
      <c r="C21" s="8" t="s">
        <v>20</v>
      </c>
      <c r="F21" s="8"/>
    </row>
    <row r="22" spans="1:6">
      <c r="A22" s="2" t="str">
        <f t="shared" si="1"/>
        <v>000BBA40</v>
      </c>
      <c r="B22" s="12" t="s">
        <v>50</v>
      </c>
      <c r="C22" s="2" t="s">
        <v>21</v>
      </c>
      <c r="E22" s="8"/>
    </row>
    <row r="23" spans="1:6">
      <c r="A23" s="2" t="str">
        <f t="shared" si="1"/>
        <v>000BBA44</v>
      </c>
      <c r="B23" s="2" t="s">
        <v>51</v>
      </c>
      <c r="C23" s="12" t="s">
        <v>37</v>
      </c>
      <c r="D23" s="12"/>
    </row>
    <row r="24" spans="1:6">
      <c r="A24" s="2" t="str">
        <f t="shared" si="1"/>
        <v>000BBA48</v>
      </c>
      <c r="B24" s="2" t="s">
        <v>52</v>
      </c>
      <c r="C24" s="12" t="s">
        <v>38</v>
      </c>
      <c r="D24" s="12"/>
    </row>
    <row r="25" spans="1:6">
      <c r="A25" s="2" t="str">
        <f t="shared" si="1"/>
        <v>000BBA4C</v>
      </c>
      <c r="B25" s="2" t="s">
        <v>33</v>
      </c>
      <c r="C25" s="8" t="str">
        <f>SUBSTITUTE(C20,"lr","pc")</f>
        <v>pop {r0, r1, r2, r3, pc}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Edited 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2026-05-18T02:15:25Z</dcterms:modified>
</cp:coreProperties>
</file>