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5C3D89DE-1C45-491F-8CB8-A2AF58C97FF8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4" i="1" s="1"/>
  <c r="A2" i="1" l="1" a="1"/>
  <c r="A2" i="1" s="1"/>
  <c r="A4" i="1"/>
  <c r="A5" i="1" s="1"/>
  <c r="A6" i="1" s="1"/>
  <c r="A7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B3" i="1"/>
  <c r="A26" i="1" l="1"/>
  <c r="A27" i="1" s="1"/>
  <c r="A28" i="1" l="1"/>
  <c r="A29" i="1" s="1"/>
  <c r="A30" i="1" s="1"/>
  <c r="A31" i="1" s="1"/>
  <c r="A32" i="1" s="1"/>
  <c r="A33" i="1" s="1"/>
  <c r="A34" i="1" s="1"/>
  <c r="C16" i="1" l="1"/>
  <c r="C22" i="1"/>
  <c r="C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<sst xmlns="http://schemas.openxmlformats.org/spreadsheetml/2006/main" count="72" uniqueCount="71">
  <si>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</si>
  <si>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</si>
  <si>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</si>
  <si>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</si>
  <si>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</si>
  <si>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</si>
  <si>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</si>
  <si>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</si>
  <si>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</si>
  <si>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</si>
  <si>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</si>
  <si>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</si>
  <si>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</si>
  <si>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ldrh r0, [r0, 0xC]</t>
  </si>
  <si>
    <t>check species</t>
  </si>
  <si>
    <t>BC00D0E1</t>
  </si>
  <si>
    <t>cmp r0, 0xC</t>
  </si>
  <si>
    <t>Butterfree</t>
  </si>
  <si>
    <t>mov r0, 0x2</t>
  </si>
  <si>
    <t>00102AAC</t>
  </si>
  <si>
    <t>0C0050E3</t>
  </si>
  <si>
    <t>0200A0E3</t>
  </si>
  <si>
    <t>30402DE9</t>
  </si>
  <si>
    <t>push {r4, r5, lr}</t>
  </si>
  <si>
    <t>0150A0E1</t>
  </si>
  <si>
    <t>mov r5, r1</t>
  </si>
  <si>
    <t>0240A0E1</t>
  </si>
  <si>
    <t>mov r4, r2</t>
  </si>
  <si>
    <t>Check self</t>
  </si>
  <si>
    <t>bl 0x00087B58</t>
  </si>
  <si>
    <t>040050E1</t>
  </si>
  <si>
    <t>cmp r0, r4</t>
  </si>
  <si>
    <t>0500A0E1</t>
  </si>
  <si>
    <t>mov r0, r5</t>
  </si>
  <si>
    <t>Get pointer to r6</t>
  </si>
  <si>
    <t>0410A0E1</t>
  </si>
  <si>
    <t>mov r1, r4</t>
  </si>
  <si>
    <t>1200A0E3</t>
  </si>
  <si>
    <t>mov r0, 0x12</t>
  </si>
  <si>
    <t>get move ID</t>
  </si>
  <si>
    <t>0300001A</t>
  </si>
  <si>
    <t>2310A0E3</t>
  </si>
  <si>
    <t>mov r1, 0x23</t>
  </si>
  <si>
    <t>move fails</t>
  </si>
  <si>
    <t>2600A0E3</t>
  </si>
  <si>
    <t>mov r0, 0x26</t>
  </si>
  <si>
    <t>3040BDE8</t>
  </si>
  <si>
    <t>b 0x00082D44</t>
  </si>
  <si>
    <t>3080BDE8</t>
  </si>
  <si>
    <t>uxth r0, r0</t>
  </si>
  <si>
    <t>Check for powder move</t>
  </si>
  <si>
    <t>mov r1, 0x18</t>
  </si>
  <si>
    <t>bl 0x000001E8</t>
  </si>
  <si>
    <t>cmp r0, 0x1</t>
  </si>
  <si>
    <t>000D6FFC</t>
  </si>
  <si>
    <t>Powder moves fail if Butterfree 0x25</t>
  </si>
  <si>
    <t>00102B4C</t>
  </si>
  <si>
    <t>FD13FEEB</t>
  </si>
  <si>
    <t>1000001A</t>
  </si>
  <si>
    <t>C83DFEEB</t>
  </si>
  <si>
    <t>0A00001A</t>
  </si>
  <si>
    <t>F313FEEB</t>
  </si>
  <si>
    <t>7000FFE6</t>
  </si>
  <si>
    <t>1810A0E3</t>
  </si>
  <si>
    <t>94F5FBEB</t>
  </si>
  <si>
    <t>010050E3</t>
  </si>
  <si>
    <t>6500FEEA</t>
  </si>
  <si>
    <t>Immune to Ground if Mega/Ultra/Primal 0x3A</t>
  </si>
  <si>
    <t>00102AB4</t>
  </si>
  <si>
    <t>Add Flying if Primal/Ultra/Mega 0x4E/0x4F/0x54/0x6A/0x6D/0xA7</t>
  </si>
  <si>
    <t>mov r1, 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</si>
</sst>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0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Butterfrinite Call Function</v>
      </c>
      <c r="B2" s="1"/>
      <c r="C2" s="1"/>
      <c r="D2" s="1"/>
    </row>
    <row r="3" spans="1:4">
      <c r="A3" s="3" t="s">
        <v>54</v>
      </c>
      <c r="B3" s="2" t="str">
        <f>_xlfn.CONCAT("0",RIGHT(C3,1),"10A0E3")</f>
        <v>0810A0E3</v>
      </c>
      <c r="C3" s="2" t="s">
        <v>70</v>
      </c>
      <c r="D3" s="1"/>
    </row>
    <row r="4" spans="1:4">
      <c r="A4" s="2" t="str">
        <f t="shared" ref="A4:A6" si="0">DEC2HEX(HEX2DEC(A3)+4,8)</f>
        <v>000D7000</v>
      </c>
      <c r="B4" s="3" t="s">
        <v>4</v>
      </c>
      <c r="C4" s="2" t="s">
        <v>5</v>
      </c>
      <c r="D4" s="1"/>
    </row>
    <row r="5" spans="1:4">
      <c r="A5" s="2" t="str">
        <f t="shared" si="0"/>
        <v>000D7004</v>
      </c>
      <c r="B5" s="2" t="s">
        <v>6</v>
      </c>
      <c r="C5" s="2" t="s">
        <v>7</v>
      </c>
      <c r="D5" s="1"/>
    </row>
    <row r="6" spans="1:4">
      <c r="A6" s="2" t="str">
        <f t="shared" si="0"/>
        <v>000D7008</v>
      </c>
      <c r="B6" s="2" t="s">
        <v>8</v>
      </c>
      <c r="C6" s="2" t="s">
        <v>9</v>
      </c>
      <c r="D6" s="1"/>
    </row>
    <row r="7" spans="1:4">
      <c r="A7" s="2" t="str">
        <f>DEC2HEX(HEX2DEC(A6)+4,8)</f>
        <v>000D700C</v>
      </c>
      <c r="B7" s="3" t="s">
        <v>10</v>
      </c>
      <c r="C7" s="2" t="s">
        <v>11</v>
      </c>
      <c r="D7" s="1"/>
    </row>
    <row r="9" spans="1:4">
      <c r="A9" s="1" t="s">
        <v>55</v>
      </c>
    </row>
    <row r="10" spans="1:4">
      <c r="A10" s="2" t="s">
        <v>56</v>
      </c>
      <c r="B10" s="2" t="s">
        <v>22</v>
      </c>
      <c r="C10" s="2" t="s">
        <v>23</v>
      </c>
    </row>
    <row r="11" spans="1:4">
      <c r="A11" s="2" t="str">
        <f t="shared" ref="A11:A34" si="1">DEC2HEX(HEX2DEC(A10)+4,8)</f>
        <v>00102B50</v>
      </c>
      <c r="B11" s="2" t="s">
        <v>24</v>
      </c>
      <c r="C11" s="2" t="s">
        <v>25</v>
      </c>
    </row>
    <row r="12" spans="1:4">
      <c r="A12" s="2" t="str">
        <f t="shared" si="1"/>
        <v>00102B54</v>
      </c>
      <c r="B12" s="2" t="s">
        <v>26</v>
      </c>
      <c r="C12" s="2" t="s">
        <v>27</v>
      </c>
    </row>
    <row r="13" spans="1:4">
      <c r="A13" s="8" t="str">
        <f t="shared" si="1"/>
        <v>00102B58</v>
      </c>
      <c r="B13" s="8" t="s">
        <v>21</v>
      </c>
      <c r="C13" s="8" t="s">
        <v>18</v>
      </c>
      <c r="D13" s="8" t="s">
        <v>28</v>
      </c>
    </row>
    <row r="14" spans="1:4">
      <c r="A14" s="8" t="str">
        <f t="shared" si="1"/>
        <v>00102B5C</v>
      </c>
      <c r="B14" s="8" t="s">
        <v>57</v>
      </c>
      <c r="C14" s="8" t="s">
        <v>29</v>
      </c>
      <c r="D14" s="8"/>
    </row>
    <row r="15" spans="1:4">
      <c r="A15" s="8" t="str">
        <f t="shared" si="1"/>
        <v>00102B60</v>
      </c>
      <c r="B15" s="9" t="s">
        <v>30</v>
      </c>
      <c r="C15" s="8" t="s">
        <v>31</v>
      </c>
      <c r="D15" s="8"/>
    </row>
    <row r="16" spans="1:4">
      <c r="A16" s="8" t="str">
        <f t="shared" si="1"/>
        <v>00102B64</v>
      </c>
      <c r="B16" s="8" t="s">
        <v>58</v>
      </c>
      <c r="C16" s="8" t="str">
        <f>_xlfn.CONCAT("bne 0x",A34)</f>
        <v>bne 0x00102BAC</v>
      </c>
      <c r="D16" s="8"/>
    </row>
    <row r="17" spans="1:4">
      <c r="A17" s="6" t="str">
        <f t="shared" si="1"/>
        <v>00102B68</v>
      </c>
      <c r="B17" s="6" t="s">
        <v>32</v>
      </c>
      <c r="C17" s="6" t="s">
        <v>33</v>
      </c>
      <c r="D17" s="6" t="s">
        <v>34</v>
      </c>
    </row>
    <row r="18" spans="1:4">
      <c r="A18" s="6" t="str">
        <f t="shared" si="1"/>
        <v>00102B6C</v>
      </c>
      <c r="B18" s="6" t="s">
        <v>35</v>
      </c>
      <c r="C18" s="6" t="s">
        <v>36</v>
      </c>
      <c r="D18" s="6"/>
    </row>
    <row r="19" spans="1:4">
      <c r="A19" s="6" t="str">
        <f t="shared" si="1"/>
        <v>00102B70</v>
      </c>
      <c r="B19" s="7" t="s">
        <v>59</v>
      </c>
      <c r="C19" s="6" t="s">
        <v>12</v>
      </c>
      <c r="D19" s="6"/>
    </row>
    <row r="20" spans="1:4">
      <c r="A20" s="4" t="str">
        <f t="shared" si="1"/>
        <v>00102B74</v>
      </c>
      <c r="B20" s="4" t="s">
        <v>15</v>
      </c>
      <c r="C20" s="4" t="s">
        <v>13</v>
      </c>
      <c r="D20" s="4" t="s">
        <v>14</v>
      </c>
    </row>
    <row r="21" spans="1:4">
      <c r="A21" s="4" t="str">
        <f t="shared" si="1"/>
        <v>00102B78</v>
      </c>
      <c r="B21" s="5" t="s">
        <v>20</v>
      </c>
      <c r="C21" s="4" t="s">
        <v>16</v>
      </c>
      <c r="D21" s="4" t="s">
        <v>17</v>
      </c>
    </row>
    <row r="22" spans="1:4">
      <c r="A22" s="4" t="str">
        <f t="shared" si="1"/>
        <v>00102B7C</v>
      </c>
      <c r="B22" s="5" t="s">
        <v>60</v>
      </c>
      <c r="C22" s="4" t="str">
        <f>_xlfn.CONCAT("bne 0x",A34)</f>
        <v>bne 0x00102BAC</v>
      </c>
      <c r="D22" s="4"/>
    </row>
    <row r="23" spans="1:4">
      <c r="A23" s="10" t="str">
        <f t="shared" si="1"/>
        <v>00102B80</v>
      </c>
      <c r="B23" s="10" t="s">
        <v>37</v>
      </c>
      <c r="C23" s="10" t="s">
        <v>38</v>
      </c>
      <c r="D23" s="10" t="s">
        <v>39</v>
      </c>
    </row>
    <row r="24" spans="1:4">
      <c r="A24" s="10" t="str">
        <f t="shared" si="1"/>
        <v>00102B84</v>
      </c>
      <c r="B24" s="10" t="s">
        <v>61</v>
      </c>
      <c r="C24" s="10" t="s">
        <v>29</v>
      </c>
      <c r="D24" s="10"/>
    </row>
    <row r="25" spans="1:4">
      <c r="A25" s="10" t="str">
        <f t="shared" si="1"/>
        <v>00102B88</v>
      </c>
      <c r="B25" s="10" t="s">
        <v>62</v>
      </c>
      <c r="C25" s="10" t="s">
        <v>49</v>
      </c>
      <c r="D25" s="10"/>
    </row>
    <row r="26" spans="1:4">
      <c r="A26" s="10" t="str">
        <f t="shared" si="1"/>
        <v>00102B8C</v>
      </c>
      <c r="B26" s="10" t="s">
        <v>63</v>
      </c>
      <c r="C26" s="10" t="s">
        <v>51</v>
      </c>
      <c r="D26" s="10" t="s">
        <v>50</v>
      </c>
    </row>
    <row r="27" spans="1:4">
      <c r="A27" s="10" t="str">
        <f t="shared" si="1"/>
        <v>00102B90</v>
      </c>
      <c r="B27" s="10" t="s">
        <v>64</v>
      </c>
      <c r="C27" s="10" t="s">
        <v>52</v>
      </c>
      <c r="D27" s="10"/>
    </row>
    <row r="28" spans="1:4">
      <c r="A28" s="10" t="str">
        <f t="shared" si="1"/>
        <v>00102B94</v>
      </c>
      <c r="B28" s="11" t="s">
        <v>65</v>
      </c>
      <c r="C28" s="10" t="s">
        <v>53</v>
      </c>
      <c r="D28" s="10"/>
    </row>
    <row r="29" spans="1:4">
      <c r="A29" s="10" t="str">
        <f t="shared" si="1"/>
        <v>00102B98</v>
      </c>
      <c r="B29" s="10" t="s">
        <v>40</v>
      </c>
      <c r="C29" s="10" t="str">
        <f>_xlfn.CONCAT("bne 0x",A34)</f>
        <v>bne 0x00102BAC</v>
      </c>
      <c r="D29" s="10"/>
    </row>
    <row r="30" spans="1:4">
      <c r="A30" s="2" t="str">
        <f t="shared" si="1"/>
        <v>00102B9C</v>
      </c>
      <c r="B30" s="2" t="s">
        <v>41</v>
      </c>
      <c r="C30" s="2" t="s">
        <v>42</v>
      </c>
      <c r="D30" s="2" t="s">
        <v>43</v>
      </c>
    </row>
    <row r="31" spans="1:4">
      <c r="A31" s="2" t="str">
        <f t="shared" si="1"/>
        <v>00102BA0</v>
      </c>
      <c r="B31" s="2" t="s">
        <v>44</v>
      </c>
      <c r="C31" s="2" t="s">
        <v>45</v>
      </c>
    </row>
    <row r="32" spans="1:4">
      <c r="A32" s="2" t="str">
        <f t="shared" si="1"/>
        <v>00102BA4</v>
      </c>
      <c r="B32" s="2" t="s">
        <v>46</v>
      </c>
      <c r="C32" s="2" t="str">
        <f>SUBSTITUTE(C10,"push","pop")</f>
        <v>pop {r4, r5, lr}</v>
      </c>
    </row>
    <row r="33" spans="1:3">
      <c r="A33" s="2" t="str">
        <f t="shared" si="1"/>
        <v>00102BA8</v>
      </c>
      <c r="B33" s="2" t="s">
        <v>66</v>
      </c>
      <c r="C33" s="2" t="s">
        <v>47</v>
      </c>
    </row>
    <row r="34" spans="1:3">
      <c r="A34" s="2" t="str">
        <f t="shared" si="1"/>
        <v>00102BAC</v>
      </c>
      <c r="B34" s="2" t="s">
        <v>48</v>
      </c>
      <c r="C34" s="2" t="str">
        <f>SUBSTITUTE(C32,"lr","pc")</f>
        <v>pop {r4, r5, pc}</v>
      </c>
    </row>
    <row r="36" spans="1:3">
      <c r="A36" s="1" t="s">
        <v>67</v>
      </c>
    </row>
    <row r="37" spans="1:3">
      <c r="A37" s="2" t="s">
        <v>19</v>
      </c>
    </row>
    <row r="39" spans="1:3">
      <c r="A39" s="1" t="s">
        <v>69</v>
      </c>
    </row>
    <row r="40" spans="1:3">
      <c r="A40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2026-05-17T07:14:08Z</dcterms:modified>
</cp:coreProperties>
</file>