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4B0513C0-6A1A-4F5A-9905-2D5D3076153F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C26" i="6"/>
  <c r="C28" i="6" s="1"/>
  <c r="A4" i="6"/>
  <c r="A5" i="6" s="1"/>
  <c r="A6" i="6" s="1"/>
  <c r="A7" i="6" s="1"/>
  <c r="B3" i="6"/>
  <c r="A2" i="6" a="1"/>
  <c r="A2" i="6" s="1"/>
  <c r="C22" i="6" l="1"/>
  <c r="C1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<sst xmlns="http://schemas.openxmlformats.org/spreadsheetml/2006/main" count="54" uniqueCount="54">
  <si>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Address</t>
  </si>
  <si>
    <t>Hex</t>
  </si>
  <si>
    <t>instruction</t>
  </si>
  <si>
    <t>notes</t>
  </si>
  <si>
    <t>bx lr</t>
  </si>
  <si>
    <t>1EFF2FE1</t>
  </si>
  <si>
    <t>str r1, [r0]</t>
  </si>
  <si>
    <t>ldr r0, [pc]</t>
  </si>
  <si>
    <t>001080E5</t>
  </si>
  <si>
    <t>00009FE5</t>
  </si>
  <si>
    <t>00000000</t>
  </si>
  <si>
    <t>andeq r0, r0, r0</t>
  </si>
  <si>
    <t>bl 0x00092298</t>
  </si>
  <si>
    <t>mov r1, 0x1</t>
  </si>
  <si>
    <t>mov r5, r1</t>
  </si>
  <si>
    <t>mov r4, r2</t>
  </si>
  <si>
    <t>mov r0, 0x4</t>
  </si>
  <si>
    <t>bl 0x00087B58</t>
  </si>
  <si>
    <t>cmp r0, r4</t>
  </si>
  <si>
    <t>Check self defending</t>
  </si>
  <si>
    <t>mov r1, r4</t>
  </si>
  <si>
    <t>mov r0, r5</t>
  </si>
  <si>
    <t>get pointer</t>
  </si>
  <si>
    <t>bl 0x0008205C</t>
  </si>
  <si>
    <t>cmp r0, 0x0</t>
  </si>
  <si>
    <t>check if has major status</t>
  </si>
  <si>
    <t>mov r1, 0x1300</t>
  </si>
  <si>
    <t>add r1, r1, 0x33</t>
  </si>
  <si>
    <t>1333 ~ 1.2x</t>
  </si>
  <si>
    <t>mov r0, 0x39</t>
  </si>
  <si>
    <t>b 0x00083108</t>
  </si>
  <si>
    <t>push {r4, r5, lr}</t>
  </si>
  <si>
    <t>000CAE34</t>
  </si>
  <si>
    <t>30402DE9</t>
  </si>
  <si>
    <t>0150A0E1</t>
  </si>
  <si>
    <t>0240A0E1</t>
  </si>
  <si>
    <t>0400A0E3</t>
  </si>
  <si>
    <t>43F3FEEB</t>
  </si>
  <si>
    <t>040050E1</t>
  </si>
  <si>
    <t>0A00001A</t>
  </si>
  <si>
    <t>0410A0E1</t>
  </si>
  <si>
    <t>0500A0E1</t>
  </si>
  <si>
    <t>0E1DFFEB</t>
  </si>
  <si>
    <t>7EDCFEEB</t>
  </si>
  <si>
    <t>000050E3</t>
  </si>
  <si>
    <t>0400000A</t>
  </si>
  <si>
    <t>131CA0E3</t>
  </si>
  <si>
    <t>331081E2</t>
  </si>
  <si>
    <t>3900A0E3</t>
  </si>
  <si>
    <t>3040BDE8</t>
  </si>
  <si>
    <t>A2E0FEEA</t>
  </si>
  <si>
    <t>3080BDE8</t>
  </si>
  <si>
    <t>Boost Defences 1.2x when Statused 0x4B</t>
  </si>
  <si>
    <t>000CD6D0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</si>
</sst>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1" fillId="0" borderId="0" xfId="0" applyFont="1" applyFill="1"/>
    <xf numFmtId="0" fontId="2" fillId="0" borderId="0" xfId="0" applyFont="1" applyFill="1"/>
    <xf numFmtId="0" fontId="2" fillId="0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28"/>
  <sheetViews>
    <sheetView tabSelected="1" zoomScale="85" zoomScaleNormal="85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Marvelous Cloak Call Function</v>
      </c>
      <c r="B2" s="1"/>
      <c r="C2" s="1"/>
      <c r="D2" s="1"/>
    </row>
    <row r="3" spans="1:4">
      <c r="A3" s="3" t="s">
        <v>53</v>
      </c>
      <c r="B3" s="2" t="str">
        <f>_xlfn.CONCAT("0",RIGHT(C3,1),"10A0E3")</f>
        <v>0110A0E3</v>
      </c>
      <c r="C3" s="2" t="s">
        <v>13</v>
      </c>
      <c r="D3" s="1"/>
    </row>
    <row r="4" spans="1:4">
      <c r="A4" s="2" t="str">
        <f t="shared" ref="A4:A6" si="0">DEC2HEX(HEX2DEC(A3)+4,8)</f>
        <v>000CD6D4</v>
      </c>
      <c r="B4" s="3" t="s">
        <v>8</v>
      </c>
      <c r="C4" s="2" t="s">
        <v>6</v>
      </c>
      <c r="D4" s="1"/>
    </row>
    <row r="5" spans="1:4">
      <c r="A5" s="2" t="str">
        <f t="shared" si="0"/>
        <v>000CD6D8</v>
      </c>
      <c r="B5" s="2" t="s">
        <v>9</v>
      </c>
      <c r="C5" s="2" t="s">
        <v>7</v>
      </c>
      <c r="D5" s="1"/>
    </row>
    <row r="6" spans="1:4">
      <c r="A6" s="2" t="str">
        <f t="shared" si="0"/>
        <v>000CD6DC</v>
      </c>
      <c r="B6" s="2" t="s">
        <v>5</v>
      </c>
      <c r="C6" s="2" t="s">
        <v>4</v>
      </c>
      <c r="D6" s="1"/>
    </row>
    <row r="7" spans="1:4">
      <c r="A7" s="2" t="str">
        <f>DEC2HEX(HEX2DEC(A6)+4,8)</f>
        <v>000CD6E0</v>
      </c>
      <c r="B7" s="3" t="s">
        <v>10</v>
      </c>
      <c r="C7" s="2" t="s">
        <v>11</v>
      </c>
      <c r="D7" s="1"/>
    </row>
    <row r="9" spans="1:4">
      <c r="A9" s="6" t="s">
        <v>52</v>
      </c>
      <c r="B9" s="7"/>
      <c r="C9" s="7"/>
      <c r="D9" s="7"/>
    </row>
    <row r="10" spans="1:4">
      <c r="A10" s="8" t="s">
        <v>32</v>
      </c>
      <c r="B10" s="7" t="s">
        <v>33</v>
      </c>
      <c r="C10" s="7" t="s">
        <v>31</v>
      </c>
      <c r="D10" s="7"/>
    </row>
    <row r="11" spans="1:4">
      <c r="A11" s="8" t="str">
        <f t="shared" ref="A11:A28" si="1">DEC2HEX(HEX2DEC(A10)+4,8)</f>
        <v>000CAE38</v>
      </c>
      <c r="B11" s="7" t="s">
        <v>34</v>
      </c>
      <c r="C11" s="7" t="s">
        <v>14</v>
      </c>
      <c r="D11" s="7"/>
    </row>
    <row r="12" spans="1:4">
      <c r="A12" s="8" t="str">
        <f t="shared" si="1"/>
        <v>000CAE3C</v>
      </c>
      <c r="B12" s="7" t="s">
        <v>35</v>
      </c>
      <c r="C12" s="7" t="s">
        <v>15</v>
      </c>
      <c r="D12" s="7"/>
    </row>
    <row r="13" spans="1:4">
      <c r="A13" s="9" t="str">
        <f t="shared" si="1"/>
        <v>000CAE40</v>
      </c>
      <c r="B13" s="9" t="s">
        <v>36</v>
      </c>
      <c r="C13" s="9" t="s">
        <v>16</v>
      </c>
      <c r="D13" s="9" t="s">
        <v>19</v>
      </c>
    </row>
    <row r="14" spans="1:4">
      <c r="A14" s="9" t="str">
        <f t="shared" si="1"/>
        <v>000CAE44</v>
      </c>
      <c r="B14" s="9" t="s">
        <v>37</v>
      </c>
      <c r="C14" s="9" t="s">
        <v>17</v>
      </c>
      <c r="D14" s="9"/>
    </row>
    <row r="15" spans="1:4">
      <c r="A15" s="9" t="str">
        <f t="shared" si="1"/>
        <v>000CAE48</v>
      </c>
      <c r="B15" s="10" t="s">
        <v>38</v>
      </c>
      <c r="C15" s="9" t="s">
        <v>18</v>
      </c>
      <c r="D15" s="9"/>
    </row>
    <row r="16" spans="1:4">
      <c r="A16" s="9" t="str">
        <f t="shared" si="1"/>
        <v>000CAE4C</v>
      </c>
      <c r="B16" s="10" t="s">
        <v>39</v>
      </c>
      <c r="C16" s="9" t="str">
        <f>_xlfn.CONCAT("bne 0x",A28)</f>
        <v>bne 0x000CAE7C</v>
      </c>
      <c r="D16" s="9"/>
    </row>
    <row r="17" spans="1:4">
      <c r="A17" s="4" t="str">
        <f t="shared" si="1"/>
        <v>000CAE50</v>
      </c>
      <c r="B17" s="5" t="s">
        <v>40</v>
      </c>
      <c r="C17" s="4" t="s">
        <v>20</v>
      </c>
      <c r="D17" s="4" t="s">
        <v>22</v>
      </c>
    </row>
    <row r="18" spans="1:4">
      <c r="A18" s="4" t="str">
        <f t="shared" si="1"/>
        <v>000CAE54</v>
      </c>
      <c r="B18" s="5" t="s">
        <v>41</v>
      </c>
      <c r="C18" s="4" t="s">
        <v>21</v>
      </c>
      <c r="D18" s="4"/>
    </row>
    <row r="19" spans="1:4">
      <c r="A19" s="4" t="str">
        <f t="shared" si="1"/>
        <v>000CAE58</v>
      </c>
      <c r="B19" s="5" t="s">
        <v>42</v>
      </c>
      <c r="C19" s="4" t="s">
        <v>12</v>
      </c>
      <c r="D19" s="4"/>
    </row>
    <row r="20" spans="1:4">
      <c r="A20" s="11" t="str">
        <f t="shared" si="1"/>
        <v>000CAE5C</v>
      </c>
      <c r="B20" s="12" t="s">
        <v>43</v>
      </c>
      <c r="C20" s="11" t="s">
        <v>23</v>
      </c>
      <c r="D20" s="11" t="s">
        <v>25</v>
      </c>
    </row>
    <row r="21" spans="1:4">
      <c r="A21" s="11" t="str">
        <f t="shared" si="1"/>
        <v>000CAE60</v>
      </c>
      <c r="B21" s="12" t="s">
        <v>44</v>
      </c>
      <c r="C21" s="11" t="s">
        <v>24</v>
      </c>
      <c r="D21" s="11"/>
    </row>
    <row r="22" spans="1:4">
      <c r="A22" s="11" t="str">
        <f t="shared" si="1"/>
        <v>000CAE64</v>
      </c>
      <c r="B22" s="12" t="s">
        <v>45</v>
      </c>
      <c r="C22" s="11" t="str">
        <f>_xlfn.CONCAT("beq 0x",A28)</f>
        <v>beq 0x000CAE7C</v>
      </c>
      <c r="D22" s="11"/>
    </row>
    <row r="23" spans="1:4">
      <c r="A23" s="7" t="str">
        <f t="shared" si="1"/>
        <v>000CAE68</v>
      </c>
      <c r="B23" s="8" t="s">
        <v>46</v>
      </c>
      <c r="C23" s="7" t="s">
        <v>26</v>
      </c>
      <c r="D23" s="7" t="s">
        <v>28</v>
      </c>
    </row>
    <row r="24" spans="1:4">
      <c r="A24" s="7" t="str">
        <f t="shared" si="1"/>
        <v>000CAE6C</v>
      </c>
      <c r="B24" s="8" t="s">
        <v>47</v>
      </c>
      <c r="C24" s="7" t="s">
        <v>27</v>
      </c>
      <c r="D24" s="7"/>
    </row>
    <row r="25" spans="1:4">
      <c r="A25" s="7" t="str">
        <f t="shared" si="1"/>
        <v>000CAE70</v>
      </c>
      <c r="B25" s="8" t="s">
        <v>48</v>
      </c>
      <c r="C25" s="7" t="s">
        <v>29</v>
      </c>
      <c r="D25" s="7"/>
    </row>
    <row r="26" spans="1:4">
      <c r="A26" s="7" t="str">
        <f t="shared" si="1"/>
        <v>000CAE74</v>
      </c>
      <c r="B26" s="8" t="s">
        <v>49</v>
      </c>
      <c r="C26" s="7" t="str">
        <f>SUBSTITUTE(C10,"push","pop")</f>
        <v>pop {r4, r5, lr}</v>
      </c>
      <c r="D26" s="7"/>
    </row>
    <row r="27" spans="1:4">
      <c r="A27" s="7" t="str">
        <f t="shared" si="1"/>
        <v>000CAE78</v>
      </c>
      <c r="B27" s="7" t="s">
        <v>50</v>
      </c>
      <c r="C27" s="7" t="s">
        <v>30</v>
      </c>
      <c r="D27" s="7"/>
    </row>
    <row r="28" spans="1:4">
      <c r="A28" s="7" t="str">
        <f t="shared" si="1"/>
        <v>000CAE7C</v>
      </c>
      <c r="B28" s="7" t="s">
        <v>51</v>
      </c>
      <c r="C28" s="7" t="str">
        <f>SUBSTITUTE(C26,"lr","pc")</f>
        <v>pop {r4, r5, pc}</v>
      </c>
      <c r="D2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2026-05-11T16:58:20Z</dcterms:modified>
</cp:coreProperties>
</file>