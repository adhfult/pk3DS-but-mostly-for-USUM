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6AA07F1E-2AAD-4770-AD10-300A5B6112A0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C22" i="1" l="1"/>
  <c r="C17" i="1" l="1"/>
  <c r="C24" i="1" s="1"/>
  <c r="A11" i="1"/>
  <c r="A12" i="1" s="1"/>
  <c r="A13" i="1" s="1"/>
  <c r="A14" i="1" s="1"/>
  <c r="A15" i="1" s="1"/>
  <c r="A16" i="1" s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C45" i="1"/>
  <c r="C47" i="1" s="1"/>
  <c r="A2" i="1" a="1"/>
  <c r="A2" i="1" s="1"/>
  <c r="A4" i="1"/>
  <c r="A5" i="1" s="1"/>
  <c r="A6" i="1" s="1"/>
  <c r="A7" i="1" s="1"/>
  <c r="B3" i="1"/>
  <c r="C16" i="1" l="1"/>
  <c r="A47" i="1"/>
  <c r="C33" i="1"/>
  <c r="C36" i="1" l="1"/>
  <c r="C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<sst xmlns="http://schemas.openxmlformats.org/spreadsheetml/2006/main" count="89" uniqueCount="86">
  <si>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</si>
  <si>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</si>
  <si>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</si>
  <si>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</si>
  <si>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</si>
  <si>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</si>
  <si>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</si>
  <si>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</si>
  <si>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</si>
  <si>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</si>
  <si>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</si>
  <si>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</si>
  <si>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0x00087B58</t>
  </si>
  <si>
    <t>bl 0x00092298</t>
  </si>
  <si>
    <t>mov r0, 0x12</t>
  </si>
  <si>
    <t>get move ID</t>
  </si>
  <si>
    <t>mov r0, 0x26</t>
  </si>
  <si>
    <t>b 0x00082D44</t>
  </si>
  <si>
    <t>move fails</t>
  </si>
  <si>
    <t>push {r4, r5, lr}</t>
  </si>
  <si>
    <t>30402DE9</t>
  </si>
  <si>
    <t>1200A0E3</t>
  </si>
  <si>
    <t>0300001A</t>
  </si>
  <si>
    <t>2600A0E3</t>
  </si>
  <si>
    <t>3040BDE8</t>
  </si>
  <si>
    <t>3080BDE8</t>
  </si>
  <si>
    <t>Perish Song and Explosion moves fail 0x25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</si>
  <si>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</si>
  <si>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</si>
  <si>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</si>
  <si>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</si>
  <si>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</si>
  <si>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</si>
  <si>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</si>
  <si>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</si>
  <si>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</si>
  <si>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mov r5, r3</t>
  </si>
  <si>
    <t>cmp r0, 0xC3</t>
  </si>
  <si>
    <t>Perish Song</t>
  </si>
  <si>
    <t>uxth r0, r0</t>
  </si>
  <si>
    <t>bl 0x000DA834</t>
  </si>
  <si>
    <t>cmp r0, 0x1</t>
  </si>
  <si>
    <t>mov r1, 0x0</t>
  </si>
  <si>
    <t>str r1, [r5]</t>
  </si>
  <si>
    <t>tst r0, 0xFF</t>
  </si>
  <si>
    <t>mov r1, 0x13</t>
  </si>
  <si>
    <t>cmp r9, 0x4</t>
  </si>
  <si>
    <t>beq 0x0005FAB0</t>
  </si>
  <si>
    <t>0x03</t>
  </si>
  <si>
    <t>0x04</t>
  </si>
  <si>
    <t>cmp r9, 0x25</t>
  </si>
  <si>
    <t>0x25</t>
  </si>
  <si>
    <t>0x81</t>
  </si>
  <si>
    <t>mov r1, 0x4</t>
  </si>
  <si>
    <t>000D5E44</t>
  </si>
  <si>
    <t>Mega Stone Damp 0x25/0x03/0x04/0x81</t>
  </si>
  <si>
    <t>000DA868</t>
  </si>
  <si>
    <t>0350A0E1</t>
  </si>
  <si>
    <t>B7B4FEEB</t>
  </si>
  <si>
    <t>7000FFE6</t>
  </si>
  <si>
    <t>C30050E3</t>
  </si>
  <si>
    <t>0200000A</t>
  </si>
  <si>
    <t>EAFFFFEB</t>
  </si>
  <si>
    <t>010050E3</t>
  </si>
  <si>
    <t>0900001A</t>
  </si>
  <si>
    <t>0010A0E3</t>
  </si>
  <si>
    <t>001085E5</t>
  </si>
  <si>
    <t>ADB4FEEB</t>
  </si>
  <si>
    <t>FF0010E3</t>
  </si>
  <si>
    <t>1310A0E3</t>
  </si>
  <si>
    <t>22A1FEEA</t>
  </si>
  <si>
    <t>00101FE0</t>
  </si>
  <si>
    <t>bhi 0x000D94CC</t>
  </si>
  <si>
    <t>blo 0x000DBC48</t>
  </si>
  <si>
    <t>A940FEEB</t>
  </si>
  <si>
    <t>040059E3</t>
  </si>
  <si>
    <t>250059E3</t>
  </si>
  <si>
    <t>bl 0x000D6F98</t>
  </si>
  <si>
    <t>cmp r1, 0x1</t>
  </si>
  <si>
    <t>E853FFEB</t>
  </si>
  <si>
    <t>010051E3</t>
  </si>
  <si>
    <t>0600001A</t>
  </si>
  <si>
    <t>A976FD0A</t>
  </si>
  <si>
    <t>0E67FF3A</t>
  </si>
  <si>
    <t>1462FF0A</t>
  </si>
  <si>
    <t>2C5DFF8A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</si>
</sst>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7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Damp Call Function</v>
      </c>
      <c r="B2" s="1"/>
      <c r="C2" s="1"/>
      <c r="D2" s="1"/>
    </row>
    <row r="3" spans="1:4">
      <c r="A3" s="3" t="s">
        <v>54</v>
      </c>
      <c r="B3" s="2" t="str">
        <f>_xlfn.CONCAT("0",RIGHT(C3,1),"10A0E3")</f>
        <v>0410A0E3</v>
      </c>
      <c r="C3" s="2" t="s">
        <v>53</v>
      </c>
      <c r="D3" s="1"/>
    </row>
    <row r="4" spans="1:4">
      <c r="A4" s="2" t="str">
        <f t="shared" ref="A4:A6" si="0">DEC2HEX(HEX2DEC(A3)+4,8)</f>
        <v>000D5E48</v>
      </c>
      <c r="B4" s="3" t="s">
        <v>4</v>
      </c>
      <c r="C4" s="2" t="s">
        <v>5</v>
      </c>
      <c r="D4" s="1"/>
    </row>
    <row r="5" spans="1:4">
      <c r="A5" s="2" t="str">
        <f t="shared" si="0"/>
        <v>000D5E4C</v>
      </c>
      <c r="B5" s="2" t="s">
        <v>6</v>
      </c>
      <c r="C5" s="2" t="s">
        <v>7</v>
      </c>
      <c r="D5" s="1"/>
    </row>
    <row r="6" spans="1:4">
      <c r="A6" s="2" t="str">
        <f t="shared" si="0"/>
        <v>000D5E50</v>
      </c>
      <c r="B6" s="2" t="s">
        <v>8</v>
      </c>
      <c r="C6" s="2" t="s">
        <v>9</v>
      </c>
      <c r="D6" s="1"/>
    </row>
    <row r="7" spans="1:4">
      <c r="A7" s="2" t="str">
        <f>DEC2HEX(HEX2DEC(A6)+4,8)</f>
        <v>000D5E54</v>
      </c>
      <c r="B7" s="3" t="s">
        <v>10</v>
      </c>
      <c r="C7" s="2" t="s">
        <v>11</v>
      </c>
      <c r="D7" s="1"/>
    </row>
    <row r="9" spans="1:4">
      <c r="A9" s="1" t="s">
        <v>55</v>
      </c>
    </row>
    <row r="10" spans="1:4">
      <c r="A10" s="2" t="s">
        <v>71</v>
      </c>
      <c r="B10" s="2" t="s">
        <v>27</v>
      </c>
      <c r="C10" s="2" t="s">
        <v>28</v>
      </c>
    </row>
    <row r="11" spans="1:4">
      <c r="A11" s="5" t="str">
        <f>DEC2HEX(HEX2DEC(A10)+4,8)</f>
        <v>00101FE4</v>
      </c>
      <c r="B11" s="5" t="s">
        <v>29</v>
      </c>
      <c r="C11" s="5" t="s">
        <v>30</v>
      </c>
      <c r="D11" s="5" t="s">
        <v>31</v>
      </c>
    </row>
    <row r="12" spans="1:4">
      <c r="A12" s="5" t="str">
        <f t="shared" ref="A12:A24" si="1">DEC2HEX(HEX2DEC(A11)+4,8)</f>
        <v>00101FE8</v>
      </c>
      <c r="B12" s="5" t="s">
        <v>32</v>
      </c>
      <c r="C12" s="5" t="s">
        <v>33</v>
      </c>
      <c r="D12" s="5"/>
    </row>
    <row r="13" spans="1:4">
      <c r="A13" s="5" t="str">
        <f t="shared" si="1"/>
        <v>00101FEC</v>
      </c>
      <c r="B13" s="5" t="s">
        <v>74</v>
      </c>
      <c r="C13" s="5" t="s">
        <v>13</v>
      </c>
      <c r="D13" s="5"/>
    </row>
    <row r="14" spans="1:4">
      <c r="A14" s="4" t="str">
        <f t="shared" si="1"/>
        <v>00101FF0</v>
      </c>
      <c r="B14" s="4" t="s">
        <v>79</v>
      </c>
      <c r="C14" s="4" t="s">
        <v>77</v>
      </c>
      <c r="D14" s="4"/>
    </row>
    <row r="15" spans="1:4">
      <c r="A15" s="2" t="str">
        <f t="shared" si="1"/>
        <v>00101FF4</v>
      </c>
      <c r="B15" s="3" t="s">
        <v>80</v>
      </c>
      <c r="C15" s="2" t="s">
        <v>78</v>
      </c>
    </row>
    <row r="16" spans="1:4">
      <c r="A16" s="2" t="str">
        <f t="shared" si="1"/>
        <v>00101FF8</v>
      </c>
      <c r="B16" s="2" t="s">
        <v>81</v>
      </c>
      <c r="C16" s="2" t="str">
        <f>_xlfn.CONCAT("bne 0x",A24)</f>
        <v>bne 0x00102018</v>
      </c>
    </row>
    <row r="17" spans="1:4">
      <c r="A17" s="2" t="str">
        <f t="shared" si="1"/>
        <v>00101FFC</v>
      </c>
      <c r="B17" s="2" t="s">
        <v>34</v>
      </c>
      <c r="C17" s="2" t="str">
        <f>SUBSTITUTE(C10,"push","pop")</f>
        <v>pop {r0, r1, r2, r3, lr}</v>
      </c>
    </row>
    <row r="18" spans="1:4">
      <c r="A18" s="2" t="str">
        <f t="shared" si="1"/>
        <v>00102000</v>
      </c>
      <c r="B18" s="3" t="s">
        <v>75</v>
      </c>
      <c r="C18" s="2" t="s">
        <v>46</v>
      </c>
    </row>
    <row r="19" spans="1:4">
      <c r="A19" s="2" t="str">
        <f t="shared" si="1"/>
        <v>00102004</v>
      </c>
      <c r="B19" s="2" t="s">
        <v>82</v>
      </c>
      <c r="C19" s="2" t="s">
        <v>47</v>
      </c>
      <c r="D19" s="2" t="s">
        <v>49</v>
      </c>
    </row>
    <row r="20" spans="1:4">
      <c r="A20" s="2" t="str">
        <f t="shared" si="1"/>
        <v>00102008</v>
      </c>
      <c r="B20" s="2" t="s">
        <v>83</v>
      </c>
      <c r="C20" s="2" t="s">
        <v>73</v>
      </c>
      <c r="D20" s="2" t="s">
        <v>48</v>
      </c>
    </row>
    <row r="21" spans="1:4">
      <c r="A21" s="2" t="str">
        <f t="shared" si="1"/>
        <v>0010200C</v>
      </c>
      <c r="B21" s="3" t="s">
        <v>76</v>
      </c>
      <c r="C21" s="2" t="s">
        <v>50</v>
      </c>
    </row>
    <row r="22" spans="1:4">
      <c r="A22" s="2" t="str">
        <f t="shared" si="1"/>
        <v>00102010</v>
      </c>
      <c r="B22" s="2" t="s">
        <v>84</v>
      </c>
      <c r="C22" s="2" t="str">
        <f>_xlfn.CONCAT("beq 0x",A27)</f>
        <v>beq 0x000DA868</v>
      </c>
      <c r="D22" s="2" t="s">
        <v>51</v>
      </c>
    </row>
    <row r="23" spans="1:4">
      <c r="A23" s="2" t="str">
        <f t="shared" si="1"/>
        <v>00102014</v>
      </c>
      <c r="B23" s="2" t="s">
        <v>85</v>
      </c>
      <c r="C23" s="2" t="s">
        <v>72</v>
      </c>
      <c r="D23" s="2" t="s">
        <v>52</v>
      </c>
    </row>
    <row r="24" spans="1:4">
      <c r="A24" s="2" t="str">
        <f t="shared" si="1"/>
        <v>00102018</v>
      </c>
      <c r="B24" s="2" t="s">
        <v>35</v>
      </c>
      <c r="C24" s="2" t="str">
        <f>SUBSTITUTE(C17,"lr","pc")</f>
        <v>pop {r0, r1, r2, r3, pc}</v>
      </c>
    </row>
    <row r="26" spans="1:4">
      <c r="A26" s="1" t="s">
        <v>26</v>
      </c>
    </row>
    <row r="27" spans="1:4">
      <c r="A27" s="2" t="s">
        <v>56</v>
      </c>
      <c r="B27" s="2" t="s">
        <v>20</v>
      </c>
      <c r="C27" s="2" t="s">
        <v>19</v>
      </c>
    </row>
    <row r="28" spans="1:4">
      <c r="A28" s="2" t="str">
        <f t="shared" ref="A28:A47" si="2">DEC2HEX(HEX2DEC(A27)+4,8)</f>
        <v>000DA86C</v>
      </c>
      <c r="B28" s="2" t="s">
        <v>57</v>
      </c>
      <c r="C28" s="2" t="s">
        <v>36</v>
      </c>
    </row>
    <row r="29" spans="1:4">
      <c r="A29" s="7" t="str">
        <f t="shared" si="2"/>
        <v>000DA870</v>
      </c>
      <c r="B29" s="7" t="s">
        <v>21</v>
      </c>
      <c r="C29" s="7" t="s">
        <v>14</v>
      </c>
      <c r="D29" s="7" t="s">
        <v>15</v>
      </c>
    </row>
    <row r="30" spans="1:4">
      <c r="A30" s="7" t="str">
        <f t="shared" si="2"/>
        <v>000DA874</v>
      </c>
      <c r="B30" s="7" t="s">
        <v>58</v>
      </c>
      <c r="C30" s="7" t="s">
        <v>12</v>
      </c>
      <c r="D30" s="7"/>
    </row>
    <row r="31" spans="1:4">
      <c r="A31" s="7" t="str">
        <f t="shared" si="2"/>
        <v>000DA878</v>
      </c>
      <c r="B31" s="7" t="s">
        <v>59</v>
      </c>
      <c r="C31" s="7" t="s">
        <v>39</v>
      </c>
      <c r="D31" s="7"/>
    </row>
    <row r="32" spans="1:4">
      <c r="A32" s="5" t="str">
        <f t="shared" si="2"/>
        <v>000DA87C</v>
      </c>
      <c r="B32" s="5" t="s">
        <v>60</v>
      </c>
      <c r="C32" s="5" t="s">
        <v>37</v>
      </c>
      <c r="D32" s="5" t="s">
        <v>38</v>
      </c>
    </row>
    <row r="33" spans="1:4">
      <c r="A33" s="5" t="str">
        <f t="shared" si="2"/>
        <v>000DA880</v>
      </c>
      <c r="B33" s="5" t="s">
        <v>61</v>
      </c>
      <c r="C33" s="5" t="str">
        <f>_xlfn.CONCAT("beq 0x",A37)</f>
        <v>beq 0x000DA890</v>
      </c>
      <c r="D33" s="5"/>
    </row>
    <row r="34" spans="1:4">
      <c r="A34" s="5" t="str">
        <f t="shared" si="2"/>
        <v>000DA884</v>
      </c>
      <c r="B34" s="5" t="s">
        <v>62</v>
      </c>
      <c r="C34" s="5" t="s">
        <v>40</v>
      </c>
      <c r="D34" s="5"/>
    </row>
    <row r="35" spans="1:4">
      <c r="A35" s="5" t="str">
        <f t="shared" si="2"/>
        <v>000DA888</v>
      </c>
      <c r="B35" s="6" t="s">
        <v>63</v>
      </c>
      <c r="C35" s="5" t="s">
        <v>41</v>
      </c>
      <c r="D35" s="5"/>
    </row>
    <row r="36" spans="1:4">
      <c r="A36" s="5" t="str">
        <f t="shared" si="2"/>
        <v>000DA88C</v>
      </c>
      <c r="B36" s="5" t="s">
        <v>64</v>
      </c>
      <c r="C36" s="5" t="str">
        <f>_xlfn.CONCAT("bne 0x",A47)</f>
        <v>bne 0x000DA8B8</v>
      </c>
      <c r="D36" s="5"/>
    </row>
    <row r="37" spans="1:4">
      <c r="A37" s="7" t="str">
        <f t="shared" si="2"/>
        <v>000DA890</v>
      </c>
      <c r="B37" s="7" t="s">
        <v>65</v>
      </c>
      <c r="C37" s="7" t="s">
        <v>42</v>
      </c>
      <c r="D37" s="7"/>
    </row>
    <row r="38" spans="1:4">
      <c r="A38" s="7" t="str">
        <f t="shared" si="2"/>
        <v>000DA894</v>
      </c>
      <c r="B38" s="8" t="s">
        <v>66</v>
      </c>
      <c r="C38" s="7" t="s">
        <v>43</v>
      </c>
      <c r="D38" s="7"/>
    </row>
    <row r="39" spans="1:4">
      <c r="A39" s="7" t="str">
        <f t="shared" si="2"/>
        <v>000DA898</v>
      </c>
      <c r="B39" s="7" t="s">
        <v>23</v>
      </c>
      <c r="C39" s="7" t="s">
        <v>16</v>
      </c>
      <c r="D39" s="7"/>
    </row>
    <row r="40" spans="1:4">
      <c r="A40" s="7" t="str">
        <f t="shared" si="2"/>
        <v>000DA89C</v>
      </c>
      <c r="B40" s="7" t="s">
        <v>67</v>
      </c>
      <c r="C40" s="7" t="s">
        <v>12</v>
      </c>
      <c r="D40" s="7"/>
    </row>
    <row r="41" spans="1:4">
      <c r="A41" s="7" t="str">
        <f t="shared" si="2"/>
        <v>000DA8A0</v>
      </c>
      <c r="B41" s="7" t="s">
        <v>68</v>
      </c>
      <c r="C41" s="7" t="s">
        <v>44</v>
      </c>
      <c r="D41" s="7"/>
    </row>
    <row r="42" spans="1:4">
      <c r="A42" s="7" t="str">
        <f t="shared" si="2"/>
        <v>000DA8A4</v>
      </c>
      <c r="B42" s="7" t="s">
        <v>22</v>
      </c>
      <c r="C42" s="7" t="str">
        <f>_xlfn.CONCAT("bne 0x",A47)</f>
        <v>bne 0x000DA8B8</v>
      </c>
      <c r="D42" s="7"/>
    </row>
    <row r="43" spans="1:4">
      <c r="A43" s="2" t="str">
        <f t="shared" si="2"/>
        <v>000DA8A8</v>
      </c>
      <c r="B43" s="2" t="s">
        <v>69</v>
      </c>
      <c r="C43" s="2" t="s">
        <v>45</v>
      </c>
      <c r="D43" s="2" t="s">
        <v>18</v>
      </c>
    </row>
    <row r="44" spans="1:4">
      <c r="A44" s="2" t="str">
        <f t="shared" si="2"/>
        <v>000DA8AC</v>
      </c>
      <c r="B44" s="2" t="s">
        <v>23</v>
      </c>
      <c r="C44" s="2" t="s">
        <v>16</v>
      </c>
    </row>
    <row r="45" spans="1:4">
      <c r="A45" s="2" t="str">
        <f t="shared" si="2"/>
        <v>000DA8B0</v>
      </c>
      <c r="B45" s="2" t="s">
        <v>24</v>
      </c>
      <c r="C45" s="2" t="str">
        <f>SUBSTITUTE(C27,"push","pop")</f>
        <v>pop {r4, r5, lr}</v>
      </c>
    </row>
    <row r="46" spans="1:4">
      <c r="A46" s="2" t="str">
        <f t="shared" si="2"/>
        <v>000DA8B4</v>
      </c>
      <c r="B46" s="2" t="s">
        <v>70</v>
      </c>
      <c r="C46" s="2" t="s">
        <v>17</v>
      </c>
    </row>
    <row r="47" spans="1:4">
      <c r="A47" s="2" t="str">
        <f t="shared" si="2"/>
        <v>000DA8B8</v>
      </c>
      <c r="B47" s="2" t="s">
        <v>25</v>
      </c>
      <c r="C47" s="2" t="str">
        <f>SUBSTITUTE(C45,"lr","pc")</f>
        <v>pop {r4, r5,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2026-05-11T00:28:06Z</dcterms:modified>
</cp:coreProperties>
</file>