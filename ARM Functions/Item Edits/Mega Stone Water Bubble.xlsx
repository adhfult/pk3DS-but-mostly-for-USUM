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2D4107D0-7ADE-42BF-9A22-9F5196D08007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5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<sst xmlns="http://schemas.openxmlformats.org/spreadsheetml/2006/main" count="50" uniqueCount="50">
  <si>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</si>
  <si>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</si>
  <si>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</si>
  <si>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</si>
  <si>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</si>
  <si>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</si>
  <si>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</si>
  <si>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</si>
  <si>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</si>
  <si>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</si>
  <si>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</si>
  <si>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</si>
  <si>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</si>
  <si>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0100A0E1</t>
  </si>
  <si>
    <t>mov r0, r1</t>
  </si>
  <si>
    <t>get pointer</t>
  </si>
  <si>
    <t>0210A0E1</t>
  </si>
  <si>
    <t>mov r1, r2</t>
  </si>
  <si>
    <t>bl 0x000D6F98</t>
  </si>
  <si>
    <t>cmp r1, 0x1</t>
  </si>
  <si>
    <t>010051E3</t>
  </si>
  <si>
    <t>b 0x000D90E0</t>
  </si>
  <si>
    <t>push {r0, r1, r2, lr}</t>
  </si>
  <si>
    <t>07402DE9</t>
  </si>
  <si>
    <t>0740BDE8</t>
  </si>
  <si>
    <t>0780BDE8</t>
  </si>
  <si>
    <t>Mega Stone Water Bubble 0x4A/0x7C/0xA7/0x6D/0x02</t>
  </si>
  <si>
    <t>0x2</t>
  </si>
  <si>
    <t>0x4A</t>
  </si>
  <si>
    <t>cmp r9, 0x4A</t>
  </si>
  <si>
    <t>cmp r9, 0x7C</t>
  </si>
  <si>
    <t>0x7C</t>
  </si>
  <si>
    <t>beq 0x000DD5E8</t>
  </si>
  <si>
    <t>0x6D/0xA7</t>
  </si>
  <si>
    <t>blo 0x000DBB2C</t>
  </si>
  <si>
    <t>bne 0x000DA640</t>
  </si>
  <si>
    <t>beq 0x000DCE94</t>
  </si>
  <si>
    <t>000FCA6C</t>
  </si>
  <si>
    <t>mov r1, 0x5</t>
  </si>
  <si>
    <t>000FD5D0</t>
  </si>
  <si>
    <t>2D53FEEB</t>
  </si>
  <si>
    <t>6C66FFEB</t>
  </si>
  <si>
    <t>0700001A</t>
  </si>
  <si>
    <t>BA6EFFEA</t>
  </si>
  <si>
    <t>4A0059E3</t>
  </si>
  <si>
    <t>4B79FF3A</t>
  </si>
  <si>
    <t>F97FFF0A</t>
  </si>
  <si>
    <t>7C0059E3</t>
  </si>
  <si>
    <t>227EFF0A</t>
  </si>
  <si>
    <t>0C74FF1A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</si>
</sst>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33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Water Bubble Call Function</v>
      </c>
      <c r="B2" s="1"/>
      <c r="C2" s="1"/>
      <c r="D2" s="1"/>
    </row>
    <row r="3" spans="1:4">
      <c r="A3" s="3" t="s">
        <v>37</v>
      </c>
      <c r="B3" s="2" t="str">
        <f>_xlfn.CONCAT("0",RIGHT(C3,1),"10A0E3")</f>
        <v>0510A0E3</v>
      </c>
      <c r="C3" s="2" t="s">
        <v>38</v>
      </c>
      <c r="D3" s="1"/>
    </row>
    <row r="4" spans="1:4">
      <c r="A4" s="2" t="str">
        <f t="shared" ref="A4:A6" si="0">DEC2HEX(HEX2DEC(A3)+4,8)</f>
        <v>000FCA70</v>
      </c>
      <c r="B4" s="3" t="s">
        <v>4</v>
      </c>
      <c r="C4" s="2" t="s">
        <v>5</v>
      </c>
      <c r="D4" s="1"/>
    </row>
    <row r="5" spans="1:4">
      <c r="A5" s="2" t="str">
        <f t="shared" si="0"/>
        <v>000FCA74</v>
      </c>
      <c r="B5" s="2" t="s">
        <v>6</v>
      </c>
      <c r="C5" s="2" t="s">
        <v>7</v>
      </c>
      <c r="D5" s="1"/>
    </row>
    <row r="6" spans="1:4">
      <c r="A6" s="2" t="str">
        <f t="shared" si="0"/>
        <v>000FCA78</v>
      </c>
      <c r="B6" s="2" t="s">
        <v>8</v>
      </c>
      <c r="C6" s="2" t="s">
        <v>9</v>
      </c>
      <c r="D6" s="1"/>
    </row>
    <row r="7" spans="1:4">
      <c r="A7" s="2" t="str">
        <f>DEC2HEX(HEX2DEC(A6)+4,8)</f>
        <v>000FCA7C</v>
      </c>
      <c r="B7" s="3" t="s">
        <v>10</v>
      </c>
      <c r="C7" s="2" t="s">
        <v>11</v>
      </c>
      <c r="D7" s="1"/>
    </row>
    <row r="9" spans="1:4">
      <c r="A9" s="1" t="s">
        <v>26</v>
      </c>
    </row>
    <row r="10" spans="1:4">
      <c r="A10" s="2" t="s">
        <v>39</v>
      </c>
      <c r="B10" s="2" t="s">
        <v>23</v>
      </c>
      <c r="C10" s="2" t="s">
        <v>22</v>
      </c>
    </row>
    <row r="11" spans="1:4">
      <c r="A11" s="5" t="str">
        <f>DEC2HEX(HEX2DEC(A10)+4,8)</f>
        <v>000FD5D4</v>
      </c>
      <c r="B11" s="5" t="s">
        <v>13</v>
      </c>
      <c r="C11" s="5" t="s">
        <v>14</v>
      </c>
      <c r="D11" s="5" t="s">
        <v>15</v>
      </c>
    </row>
    <row r="12" spans="1:4">
      <c r="A12" s="5" t="str">
        <f t="shared" ref="A12:A25" si="1">DEC2HEX(HEX2DEC(A11)+4,8)</f>
        <v>000FD5D8</v>
      </c>
      <c r="B12" s="5" t="s">
        <v>16</v>
      </c>
      <c r="C12" s="5" t="s">
        <v>17</v>
      </c>
      <c r="D12" s="5"/>
    </row>
    <row r="13" spans="1:4">
      <c r="A13" s="5" t="str">
        <f t="shared" si="1"/>
        <v>000FD5DC</v>
      </c>
      <c r="B13" s="5" t="s">
        <v>40</v>
      </c>
      <c r="C13" s="5" t="s">
        <v>12</v>
      </c>
      <c r="D13" s="5"/>
    </row>
    <row r="14" spans="1:4">
      <c r="A14" s="4" t="str">
        <f t="shared" si="1"/>
        <v>000FD5E0</v>
      </c>
      <c r="B14" s="4" t="s">
        <v>41</v>
      </c>
      <c r="C14" s="4" t="s">
        <v>18</v>
      </c>
      <c r="D14" s="4"/>
    </row>
    <row r="15" spans="1:4">
      <c r="A15" s="2" t="str">
        <f t="shared" si="1"/>
        <v>000FD5E4</v>
      </c>
      <c r="B15" s="3" t="s">
        <v>20</v>
      </c>
      <c r="C15" s="2" t="s">
        <v>19</v>
      </c>
    </row>
    <row r="16" spans="1:4">
      <c r="A16" s="2" t="str">
        <f t="shared" si="1"/>
        <v>000FD5E8</v>
      </c>
      <c r="B16" s="2" t="s">
        <v>42</v>
      </c>
      <c r="C16" s="2" t="str">
        <f>_xlfn.CONCAT("bne 0x",A25)</f>
        <v>bne 0x000FD60C</v>
      </c>
    </row>
    <row r="17" spans="1:4">
      <c r="A17" s="2" t="str">
        <f t="shared" si="1"/>
        <v>000FD5EC</v>
      </c>
      <c r="B17" s="2" t="s">
        <v>24</v>
      </c>
      <c r="C17" s="2" t="str">
        <f>SUBSTITUTE(C10,"push","pop")</f>
        <v>pop {r0, r1, r2, lr}</v>
      </c>
    </row>
    <row r="18" spans="1:4">
      <c r="A18" s="2" t="str">
        <f t="shared" si="1"/>
        <v>000FD5F0</v>
      </c>
      <c r="B18" s="2" t="s">
        <v>43</v>
      </c>
      <c r="C18" s="2" t="s">
        <v>21</v>
      </c>
    </row>
    <row r="19" spans="1:4">
      <c r="A19" s="2" t="str">
        <f t="shared" si="1"/>
        <v>000FD5F4</v>
      </c>
      <c r="B19" s="2" t="s">
        <v>44</v>
      </c>
      <c r="C19" s="2" t="s">
        <v>29</v>
      </c>
    </row>
    <row r="20" spans="1:4">
      <c r="A20" s="2" t="str">
        <f t="shared" si="1"/>
        <v>000FD5F8</v>
      </c>
      <c r="B20" s="2" t="s">
        <v>45</v>
      </c>
      <c r="C20" s="2" t="s">
        <v>34</v>
      </c>
      <c r="D20" s="2" t="s">
        <v>27</v>
      </c>
    </row>
    <row r="21" spans="1:4">
      <c r="A21" s="2" t="str">
        <f t="shared" si="1"/>
        <v>000FD5FC</v>
      </c>
      <c r="B21" s="2" t="s">
        <v>46</v>
      </c>
      <c r="C21" s="2" t="s">
        <v>32</v>
      </c>
      <c r="D21" s="2" t="s">
        <v>28</v>
      </c>
    </row>
    <row r="22" spans="1:4">
      <c r="A22" s="2" t="str">
        <f t="shared" si="1"/>
        <v>000FD600</v>
      </c>
      <c r="B22" s="2" t="s">
        <v>47</v>
      </c>
      <c r="C22" s="2" t="s">
        <v>30</v>
      </c>
    </row>
    <row r="23" spans="1:4">
      <c r="A23" s="2" t="str">
        <f t="shared" si="1"/>
        <v>000FD604</v>
      </c>
      <c r="B23" s="2" t="s">
        <v>48</v>
      </c>
      <c r="C23" s="2" t="s">
        <v>36</v>
      </c>
      <c r="D23" s="2" t="s">
        <v>31</v>
      </c>
    </row>
    <row r="24" spans="1:4">
      <c r="A24" s="2" t="str">
        <f t="shared" si="1"/>
        <v>000FD608</v>
      </c>
      <c r="B24" s="2" t="s">
        <v>49</v>
      </c>
      <c r="C24" s="2" t="s">
        <v>35</v>
      </c>
      <c r="D24" s="2" t="s">
        <v>33</v>
      </c>
    </row>
    <row r="25" spans="1:4">
      <c r="A25" s="2" t="str">
        <f t="shared" si="1"/>
        <v>000FD60C</v>
      </c>
      <c r="B25" s="2" t="s">
        <v>25</v>
      </c>
      <c r="C25" s="2" t="str">
        <f>SUBSTITUTE(C17,"lr","pc")</f>
        <v>pop {r0, r1, r2, pc}</v>
      </c>
    </row>
    <row r="27" spans="1:4">
      <c r="A27" s="1"/>
    </row>
    <row r="28" spans="1:4">
      <c r="C28" s="6"/>
    </row>
    <row r="29" spans="1:4">
      <c r="C29" s="6"/>
    </row>
    <row r="30" spans="1:4">
      <c r="C30" s="6"/>
    </row>
    <row r="31" spans="1:4">
      <c r="C31" s="6"/>
    </row>
    <row r="32" spans="1:4">
      <c r="C32" s="6"/>
    </row>
    <row r="33" spans="3:3">
      <c r="C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2026-05-21T18:25:20Z</dcterms:modified>
</cp:coreProperties>
</file>