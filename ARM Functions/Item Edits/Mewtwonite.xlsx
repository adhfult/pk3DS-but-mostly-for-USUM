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ropbox\ROM\3ds\USUM ARM research\Item Edits\"/>
    </mc:Choice>
  </mc:AlternateContent>
  <xr:revisionPtr revIDLastSave="0" documentId="13_ncr:1_{C0654EBC-F444-421C-B0BF-2F172F17D5D2}" xr6:coauthVersionLast="47" xr6:coauthVersionMax="47" xr10:uidLastSave="{00000000-0000-0000-0000-000000000000}"/>
  <bookViews>
    <workbookView xWindow="0" yWindow="0" windowWidth="16457" windowHeight="17914" xr2:uid="{6B563214-6527-4E5F-B5EA-E821D6DED3A7}"/>
  </bookViews>
  <sheets>
    <sheet name="Mewtwonit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79" i="1" l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C188" i="1" l="1"/>
  <c r="C190" i="1" s="1"/>
  <c r="A87" i="1" l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C110" i="1" l="1"/>
  <c r="C106" i="1"/>
  <c r="C114" i="1" l="1"/>
  <c r="J16" i="2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11" i="2"/>
  <c r="F11" i="2"/>
  <c r="E11" i="2"/>
  <c r="D11" i="2"/>
  <c r="C11" i="2"/>
  <c r="B11" i="2"/>
  <c r="G10" i="2"/>
  <c r="F10" i="2"/>
  <c r="E10" i="2"/>
  <c r="D10" i="2"/>
  <c r="C10" i="2"/>
  <c r="B10" i="2"/>
  <c r="G9" i="2"/>
  <c r="F9" i="2"/>
  <c r="E9" i="2"/>
  <c r="D9" i="2"/>
  <c r="C9" i="2"/>
  <c r="B9" i="2"/>
  <c r="G8" i="2"/>
  <c r="F8" i="2"/>
  <c r="E8" i="2"/>
  <c r="D8" i="2"/>
  <c r="C8" i="2"/>
  <c r="B8" i="2"/>
  <c r="G7" i="2"/>
  <c r="F7" i="2"/>
  <c r="E7" i="2"/>
  <c r="E16" i="2" s="1"/>
  <c r="D7" i="2"/>
  <c r="C7" i="2"/>
  <c r="C16" i="2" s="1"/>
  <c r="B7" i="2"/>
  <c r="J1" i="2"/>
  <c r="I3" i="2"/>
  <c r="J3" i="2" s="1"/>
  <c r="I2" i="2"/>
  <c r="J2" i="2" s="1"/>
  <c r="I1" i="2"/>
  <c r="I64" i="1"/>
  <c r="I68" i="1"/>
  <c r="C96" i="1" l="1"/>
  <c r="C151" i="1"/>
  <c r="B16" i="2"/>
  <c r="G16" i="2"/>
  <c r="F16" i="2"/>
  <c r="D16" i="2"/>
  <c r="I5" i="2"/>
  <c r="J5" i="2" s="1"/>
  <c r="A11" i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C36" i="1"/>
  <c r="C38" i="1" s="1"/>
  <c r="C100" i="1" l="1"/>
  <c r="C169" i="1"/>
  <c r="C124" i="1"/>
  <c r="C20" i="1"/>
  <c r="C101" i="1" l="1"/>
  <c r="A4" i="1"/>
  <c r="A5" i="1" s="1"/>
  <c r="A6" i="1" s="1"/>
  <c r="A7" i="1" s="1"/>
  <c r="B3" i="1"/>
  <c r="C179" i="1" l="1"/>
  <c r="H71" i="1"/>
  <c r="H70" i="1"/>
  <c r="J68" i="1"/>
  <c r="I66" i="1"/>
  <c r="J66" i="1" s="1"/>
  <c r="J63" i="1"/>
  <c r="J64" i="1" l="1"/>
  <c r="A42" i="1" l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C80" i="1"/>
  <c r="C83" i="1" s="1"/>
  <c r="A59" i="1" l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C72" i="1" l="1"/>
  <c r="C68" i="1" l="1"/>
  <c r="C54" i="1" l="1"/>
  <c r="C47" i="1"/>
</calcChain>
</file>

<file path=xl/sharedStrings.xml><?xml version="1.0" encoding="utf-8"?>
<sst xmlns="http://schemas.openxmlformats.org/spreadsheetml/2006/main" count="424" uniqueCount="327">
  <si>
    <t>7080BDE8</t>
  </si>
  <si>
    <t>7040BDE8</t>
  </si>
  <si>
    <t>ldrb r1, [r4, 0x239]</t>
  </si>
  <si>
    <t>3912D4E5</t>
  </si>
  <si>
    <t>Check for Mewtwo</t>
  </si>
  <si>
    <t>cmp r0, 0x96</t>
  </si>
  <si>
    <t>960050E3</t>
  </si>
  <si>
    <t>r0 = species</t>
  </si>
  <si>
    <t>ldrh r0, [r4, 0xC]</t>
  </si>
  <si>
    <t>BC00D4E1</t>
  </si>
  <si>
    <t>r4 = pointer for species/forme</t>
  </si>
  <si>
    <t>mov r4, r0</t>
  </si>
  <si>
    <t>0040A0E1</t>
  </si>
  <si>
    <t>mov r0, r5</t>
  </si>
  <si>
    <t>0500A0E1</t>
  </si>
  <si>
    <t>Get Pointer</t>
  </si>
  <si>
    <t>mov r1, r4</t>
  </si>
  <si>
    <t>0410A0E1</t>
  </si>
  <si>
    <t>cmp r0, r4</t>
  </si>
  <si>
    <t>040050E1</t>
  </si>
  <si>
    <t>Check Defending</t>
  </si>
  <si>
    <t>0400A0E3</t>
  </si>
  <si>
    <t>mov r4, r2</t>
  </si>
  <si>
    <t>0240A0E1</t>
  </si>
  <si>
    <t>mov r5, r1</t>
  </si>
  <si>
    <t>0150A0E1</t>
  </si>
  <si>
    <t>push {r4, r5, r6, lr}</t>
  </si>
  <si>
    <t>70402DE9</t>
  </si>
  <si>
    <t>notes</t>
  </si>
  <si>
    <t>instruction</t>
  </si>
  <si>
    <t>Hex</t>
  </si>
  <si>
    <t>Address</t>
  </si>
  <si>
    <t>SA/2D</t>
  </si>
  <si>
    <t>D/2</t>
  </si>
  <si>
    <t>SA/4D</t>
  </si>
  <si>
    <t>3D/4</t>
  </si>
  <si>
    <t>SA/8D</t>
  </si>
  <si>
    <t>7D/8</t>
  </si>
  <si>
    <t>C00</t>
  </si>
  <si>
    <t>001080E5</t>
  </si>
  <si>
    <t>str r1, [r0]</t>
  </si>
  <si>
    <t>00009FE5</t>
  </si>
  <si>
    <t>ldr r0, [pc]</t>
  </si>
  <si>
    <t>1EFF2FE1</t>
  </si>
  <si>
    <t>bx lr</t>
  </si>
  <si>
    <t>00000000</t>
  </si>
  <si>
    <t>andeq r0, r0, r0</t>
  </si>
  <si>
    <t>Mewtwonite Call Function</t>
  </si>
  <si>
    <t>0100A0E1</t>
  </si>
  <si>
    <t>mov r0, r1</t>
  </si>
  <si>
    <t>Get pointer to self</t>
  </si>
  <si>
    <t>0210A0E1</t>
  </si>
  <si>
    <t>mov r1, r2</t>
  </si>
  <si>
    <t>bl 0x00092298</t>
  </si>
  <si>
    <t>b 0x00103208</t>
  </si>
  <si>
    <t>Check Forme 3</t>
  </si>
  <si>
    <t>push {r4, r5, lr}</t>
  </si>
  <si>
    <t>ldrh r1, [r0, 0xC]</t>
  </si>
  <si>
    <t>check Mewtwo</t>
  </si>
  <si>
    <t>cmp r1, 0x96</t>
  </si>
  <si>
    <t>ldrbeq r0, [r0, 0x239]</t>
  </si>
  <si>
    <t>cmpeq r0, 0x3</t>
  </si>
  <si>
    <t>Add Dragon</t>
  </si>
  <si>
    <t>Add Fighting</t>
  </si>
  <si>
    <t>mov r0, 0xF</t>
  </si>
  <si>
    <t>bl 0x00103208</t>
  </si>
  <si>
    <t>mov r2, r4</t>
  </si>
  <si>
    <t>mov r1, r5</t>
  </si>
  <si>
    <t>movhi r0, 0x1</t>
  </si>
  <si>
    <t>Add Dragon and Fighting to Ultimate Mewtwo 0x4E/0x4F/0x5B/0x6A/0x6D/0xA7</t>
  </si>
  <si>
    <t>bl 0x001032EC</t>
  </si>
  <si>
    <t>mov r0, 0xC</t>
  </si>
  <si>
    <t>Electric STAB</t>
  </si>
  <si>
    <t>mov r0, 0x9</t>
  </si>
  <si>
    <t>Fire STAB</t>
  </si>
  <si>
    <t>Mewtwo Boost Defense from Higher Attack 0x4B</t>
  </si>
  <si>
    <t>b 0x00082D44</t>
  </si>
  <si>
    <t>mov r0, 0x38</t>
  </si>
  <si>
    <t>Set Defensive Stat for this damage calc</t>
  </si>
  <si>
    <t>bl 0x00087B58</t>
  </si>
  <si>
    <t>mov r0, 0x4</t>
  </si>
  <si>
    <t>get current Defensive stat</t>
  </si>
  <si>
    <t>mov r6, r0</t>
  </si>
  <si>
    <t>mov r0, r4</t>
  </si>
  <si>
    <t>mov r1, 0x8</t>
  </si>
  <si>
    <t>bl 0x00092628</t>
  </si>
  <si>
    <t>Get current Attack</t>
  </si>
  <si>
    <t>Get current Special Attack</t>
  </si>
  <si>
    <t>highest attacking stat in r0</t>
  </si>
  <si>
    <t>mov r5, r0</t>
  </si>
  <si>
    <t>movlo r0, r5</t>
  </si>
  <si>
    <t>get Forme</t>
  </si>
  <si>
    <t>cmp r0, r6</t>
  </si>
  <si>
    <t>If highest attacking &lt; defense, exit</t>
  </si>
  <si>
    <t>cmp r1, 0x0</t>
  </si>
  <si>
    <t>cmp r0, r5</t>
  </si>
  <si>
    <t>sub r1, r1, r6</t>
  </si>
  <si>
    <t>cmp r1, 0x2</t>
  </si>
  <si>
    <t>moveq r2, 0x3</t>
  </si>
  <si>
    <t>lsl r1, r6, r2</t>
  </si>
  <si>
    <t>lsr r1, r2</t>
  </si>
  <si>
    <t>add r1, r1, r0</t>
  </si>
  <si>
    <t>r1 = ((2^r2* - 1)*(S)D + (S)A)/2^r2</t>
  </si>
  <si>
    <t>r1 = 2^r2*(S)D</t>
  </si>
  <si>
    <t>r1 = 2^r2*(S)D - (S)D</t>
  </si>
  <si>
    <t>r1 = (2^r2*(S)D - (S)D) + (S)A</t>
  </si>
  <si>
    <t>moveq r2, 0x2</t>
  </si>
  <si>
    <t>movhi r2, 0x1</t>
  </si>
  <si>
    <t>base, 7/8*(S)D + 1/8*(S)A</t>
  </si>
  <si>
    <t>Mega, 3/4*(S)D + 1/4*(S)A</t>
  </si>
  <si>
    <t>Ascended, 1/2*(S)D + 1/2*(S)A</t>
  </si>
  <si>
    <t>000BD148</t>
  </si>
  <si>
    <t>00103804</t>
  </si>
  <si>
    <t>00103878</t>
  </si>
  <si>
    <t>30402DE9</t>
  </si>
  <si>
    <t>9E3AFEEB</t>
  </si>
  <si>
    <t>BC10D0E1</t>
  </si>
  <si>
    <t>960051E3</t>
  </si>
  <si>
    <t>3902D005</t>
  </si>
  <si>
    <t>03005003</t>
  </si>
  <si>
    <t>1000001A</t>
  </si>
  <si>
    <t>0420A0E1</t>
  </si>
  <si>
    <t>0510A0E1</t>
  </si>
  <si>
    <t>0C00A0E3</t>
  </si>
  <si>
    <t>AAFEFFEB</t>
  </si>
  <si>
    <t>0900A0E3</t>
  </si>
  <si>
    <t>A6FEFFEB</t>
  </si>
  <si>
    <t>0F00A0E3</t>
  </si>
  <si>
    <t>69FEFFEB</t>
  </si>
  <si>
    <t>0100A083</t>
  </si>
  <si>
    <t>3040BDE8</t>
  </si>
  <si>
    <t>64FEFFEA</t>
  </si>
  <si>
    <t>3080BDE8</t>
  </si>
  <si>
    <t>B210FEEB</t>
  </si>
  <si>
    <t>2200001A</t>
  </si>
  <si>
    <t>7D3AFEEB</t>
  </si>
  <si>
    <t>1B00001A</t>
  </si>
  <si>
    <t>3800A0E3</t>
  </si>
  <si>
    <t>A710FEEB</t>
  </si>
  <si>
    <t>0060A0E1</t>
  </si>
  <si>
    <t>0400A0E1</t>
  </si>
  <si>
    <t>0810A0E3</t>
  </si>
  <si>
    <t>573BFEEB</t>
  </si>
  <si>
    <t>0050A0E1</t>
  </si>
  <si>
    <t>533BFEEB</t>
  </si>
  <si>
    <t>050050E1</t>
  </si>
  <si>
    <t>0500A031</t>
  </si>
  <si>
    <t>060050E1</t>
  </si>
  <si>
    <t>0D00009A</t>
  </si>
  <si>
    <t>000051E3</t>
  </si>
  <si>
    <t>0320A003</t>
  </si>
  <si>
    <t>0200000A</t>
  </si>
  <si>
    <t>020051E3</t>
  </si>
  <si>
    <t>0220A003</t>
  </si>
  <si>
    <t>0120A083</t>
  </si>
  <si>
    <t>1612A0E1</t>
  </si>
  <si>
    <t>061041E0</t>
  </si>
  <si>
    <t>001081E0</t>
  </si>
  <si>
    <t>3112A0E1</t>
  </si>
  <si>
    <t>08FDFDEA</t>
  </si>
  <si>
    <t>mov r0, 0x3</t>
  </si>
  <si>
    <t>ldrb r1, [r0, 0x239]</t>
  </si>
  <si>
    <t>cmp r1, 0x1</t>
  </si>
  <si>
    <t>cmpne r1, 0x2</t>
  </si>
  <si>
    <t>Mega X</t>
  </si>
  <si>
    <t>Mega Y</t>
  </si>
  <si>
    <t>Check Mega X/Y</t>
  </si>
  <si>
    <t>mov r0, 0x19</t>
  </si>
  <si>
    <t>cmp r0, 0xD</t>
  </si>
  <si>
    <t>Check move being used is Psychic</t>
  </si>
  <si>
    <t>Get Pointer to self</t>
  </si>
  <si>
    <t>get byte for self</t>
  </si>
  <si>
    <t>add 1</t>
  </si>
  <si>
    <t>store new value</t>
  </si>
  <si>
    <t>cmp r0, 0x6</t>
  </si>
  <si>
    <t>cmpne r0,0x7</t>
  </si>
  <si>
    <t>Check for Bug, Dark, Ghost</t>
  </si>
  <si>
    <t>cmpne r0, 0x10</t>
  </si>
  <si>
    <t>add r7, r7, 0x1</t>
  </si>
  <si>
    <t>sub r7, r7, 0x1</t>
  </si>
  <si>
    <t>strb r7, [r6, r4]</t>
  </si>
  <si>
    <t>mov r1, 0x3D</t>
  </si>
  <si>
    <t>bl 0x000876F8</t>
  </si>
  <si>
    <t>mov r1, 0x2</t>
  </si>
  <si>
    <t>add r0, r6, 0x8</t>
  </si>
  <si>
    <t>bl 0x00089C6C</t>
  </si>
  <si>
    <t>Set text</t>
  </si>
  <si>
    <t>bl 0x0007F804</t>
  </si>
  <si>
    <t>Set name for text printing</t>
  </si>
  <si>
    <t>Set amount of charges for text printing</t>
  </si>
  <si>
    <t>mov r1, r7</t>
  </si>
  <si>
    <t>mov r1, r6</t>
  </si>
  <si>
    <t>b 0x0007CCF4</t>
  </si>
  <si>
    <t>print text</t>
  </si>
  <si>
    <t>bl 0x0007CCF4</t>
  </si>
  <si>
    <t xml:space="preserve">lock to max of </t>
  </si>
  <si>
    <t>strb r0, [r6, 0x5]</t>
  </si>
  <si>
    <t>strb r4, [r6, 0x4]</t>
  </si>
  <si>
    <t>store self index</t>
  </si>
  <si>
    <t>store target forme</t>
  </si>
  <si>
    <t>set target forme</t>
  </si>
  <si>
    <t>ldr r1, [r0]</t>
  </si>
  <si>
    <t>lock to min of -8</t>
  </si>
  <si>
    <t>go to check if forme change</t>
  </si>
  <si>
    <t>cmp r7, 0xC</t>
  </si>
  <si>
    <t>movhi r7, 0xC</t>
  </si>
  <si>
    <t>bl 0x000E2274</t>
  </si>
  <si>
    <t>cmp r0, 0x4</t>
  </si>
  <si>
    <t>addeq r7, r7, 0x1</t>
  </si>
  <si>
    <t>If Psychic Terrain is active, add 1</t>
  </si>
  <si>
    <t>mov r0, 0xBA</t>
  </si>
  <si>
    <t>mov r2, r5</t>
  </si>
  <si>
    <t>Mewtwo Accumulate Psychic power &amp; change forme 0x60</t>
  </si>
  <si>
    <t>mov r8, r3</t>
  </si>
  <si>
    <t>mov r3, r8</t>
  </si>
  <si>
    <t>mov r4, 0x1</t>
  </si>
  <si>
    <t>Check if Dark Aura is held by anyone</t>
  </si>
  <si>
    <t>push {r1, r2, r3, r4}</t>
  </si>
  <si>
    <t>pop {r1, r2, r3}</t>
  </si>
  <si>
    <t>cmp r0, 0x1</t>
  </si>
  <si>
    <t>no Dark Aura, go to final maths</t>
  </si>
  <si>
    <t>mov r0, 0xBC</t>
  </si>
  <si>
    <t>Check if Aura Break is held by anyone</t>
  </si>
  <si>
    <t>no Aura Break, subtract 1</t>
  </si>
  <si>
    <t>Aura Break, add 1 instead</t>
  </si>
  <si>
    <t>subne r7, r7, 0x1</t>
  </si>
  <si>
    <t>mov r9, r0</t>
  </si>
  <si>
    <t>push {r4, r5, r6, r7, r8, r9, lr}</t>
  </si>
  <si>
    <t>mov r0, r9</t>
  </si>
  <si>
    <t>mov r1, 0xE</t>
  </si>
  <si>
    <t>Get Max HP</t>
  </si>
  <si>
    <t>rsb r7, r7, 0xC</t>
  </si>
  <si>
    <t>Subtract the adjusted charge total from 12</t>
  </si>
  <si>
    <t>mul r7, r7, r0</t>
  </si>
  <si>
    <t>multiply max HP by that value (12 - X)*Max HP</t>
  </si>
  <si>
    <t>lsr r7, #3</t>
  </si>
  <si>
    <t>(12 - X)*Max HP/8</t>
  </si>
  <si>
    <t>mov r1, 0xD</t>
  </si>
  <si>
    <t>get current HP</t>
  </si>
  <si>
    <t>cmp r0, r7</t>
  </si>
  <si>
    <t>if current HP &lt; (12 - X)/8*Max HP</t>
  </si>
  <si>
    <t>Do nothing, otherwise transform</t>
  </si>
  <si>
    <t>ldrh r2, [r2]</t>
  </si>
  <si>
    <t>F0432DE9</t>
  </si>
  <si>
    <t>0380A0E1</t>
  </si>
  <si>
    <t>0090A0E1</t>
  </si>
  <si>
    <t>3912D0E5</t>
  </si>
  <si>
    <t>010051E3</t>
  </si>
  <si>
    <t>02005113</t>
  </si>
  <si>
    <t>1900A0E3</t>
  </si>
  <si>
    <t>0D0050E3</t>
  </si>
  <si>
    <t>0300001A</t>
  </si>
  <si>
    <t>017087E2</t>
  </si>
  <si>
    <t>0C0057E3</t>
  </si>
  <si>
    <t>0C70A083</t>
  </si>
  <si>
    <t>060000EA</t>
  </si>
  <si>
    <t>060050E3</t>
  </si>
  <si>
    <t>07005013</t>
  </si>
  <si>
    <t>1600001A</t>
  </si>
  <si>
    <t>017047E2</t>
  </si>
  <si>
    <t>0470C6E7</t>
  </si>
  <si>
    <t>3D10A0E3</t>
  </si>
  <si>
    <t>B020D2E1</t>
  </si>
  <si>
    <t>0210A0E3</t>
  </si>
  <si>
    <t>080086E2</t>
  </si>
  <si>
    <t>0710A0E1</t>
  </si>
  <si>
    <t>0610A0E1</t>
  </si>
  <si>
    <t>040050E3</t>
  </si>
  <si>
    <t>01708702</t>
  </si>
  <si>
    <t>0520A0E1</t>
  </si>
  <si>
    <t>0830A0E1</t>
  </si>
  <si>
    <t>1E002DE9</t>
  </si>
  <si>
    <t>BA00A0E3</t>
  </si>
  <si>
    <t>0140A0E3</t>
  </si>
  <si>
    <t>0E00BDE8</t>
  </si>
  <si>
    <t>010050E3</t>
  </si>
  <si>
    <t>0500001A</t>
  </si>
  <si>
    <t>BC00A0E3</t>
  </si>
  <si>
    <t>01704712</t>
  </si>
  <si>
    <t>0900A0E1</t>
  </si>
  <si>
    <t>0E10A0E3</t>
  </si>
  <si>
    <t>0C7067E2</t>
  </si>
  <si>
    <t>970007E0</t>
  </si>
  <si>
    <t>A771A0E1</t>
  </si>
  <si>
    <t>0D10A0E3</t>
  </si>
  <si>
    <t>070050E1</t>
  </si>
  <si>
    <t>001090E5</t>
  </si>
  <si>
    <t>0440C6E5</t>
  </si>
  <si>
    <t>0300A0E3</t>
  </si>
  <si>
    <t>0500C6E5</t>
  </si>
  <si>
    <t>BE22DFE1</t>
  </si>
  <si>
    <t>F043BDE8</t>
  </si>
  <si>
    <t>F083BDE8</t>
  </si>
  <si>
    <t>pop {r4}</t>
  </si>
  <si>
    <t>00103D18</t>
  </si>
  <si>
    <t>pop self index</t>
  </si>
  <si>
    <t>5839FEEB</t>
  </si>
  <si>
    <t>7C0FFEEB</t>
  </si>
  <si>
    <t>520EFEEB</t>
  </si>
  <si>
    <t>A917FEEB</t>
  </si>
  <si>
    <t>8CEEFDEB</t>
  </si>
  <si>
    <t>89EEFDEB</t>
  </si>
  <si>
    <t>C2E3FDEB</t>
  </si>
  <si>
    <t>2079FFEB</t>
  </si>
  <si>
    <t>F839FEEB</t>
  </si>
  <si>
    <t>F239FEEB</t>
  </si>
  <si>
    <t>04409DE4</t>
  </si>
  <si>
    <t>1F0EFEEB</t>
  </si>
  <si>
    <t>0770E0B3</t>
  </si>
  <si>
    <t>movlt r7, #-8</t>
  </si>
  <si>
    <t>bl 0x00101970</t>
  </si>
  <si>
    <t>D6F6FFEB</t>
  </si>
  <si>
    <t>D0F6FFEB</t>
  </si>
  <si>
    <t>cmn r7, 0x8</t>
  </si>
  <si>
    <t>ldrsb r7, [r6, r4]</t>
  </si>
  <si>
    <t>D47096E1</t>
  </si>
  <si>
    <t>080077E3</t>
  </si>
  <si>
    <t>mov r1, 0x28</t>
  </si>
  <si>
    <t>5C00001A</t>
  </si>
  <si>
    <t>5800001A</t>
  </si>
  <si>
    <t>60619FE5</t>
  </si>
  <si>
    <t>2810A0E3</t>
  </si>
  <si>
    <t>422F8FE2</t>
  </si>
  <si>
    <t>1300003A</t>
  </si>
  <si>
    <t>7317FEEB</t>
  </si>
  <si>
    <t>56EEFDEB</t>
  </si>
  <si>
    <t>8EE3FDEA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</si>
</sst>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Cascadia Code"/>
      <family val="3"/>
    </font>
    <font>
      <sz val="11"/>
      <color theme="1"/>
      <name val="Cascadia Code"/>
      <family val="3"/>
    </font>
    <font>
      <sz val="11"/>
      <name val="Cascadia Code"/>
      <family val="3"/>
    </font>
  </fonts>
  <fills count="2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99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quotePrefix="1" applyFont="1"/>
    <xf numFmtId="0" fontId="2" fillId="5" borderId="0" xfId="0" applyFont="1" applyFill="1"/>
    <xf numFmtId="0" fontId="2" fillId="5" borderId="0" xfId="0" quotePrefix="1" applyFont="1" applyFill="1"/>
    <xf numFmtId="0" fontId="3" fillId="5" borderId="0" xfId="0" applyFont="1" applyFill="1"/>
    <xf numFmtId="0" fontId="2" fillId="4" borderId="0" xfId="0" applyFont="1" applyFill="1"/>
    <xf numFmtId="0" fontId="2" fillId="4" borderId="0" xfId="0" quotePrefix="1" applyFont="1" applyFill="1"/>
    <xf numFmtId="0" fontId="2" fillId="3" borderId="0" xfId="0" applyFont="1" applyFill="1"/>
    <xf numFmtId="0" fontId="2" fillId="3" borderId="0" xfId="0" quotePrefix="1" applyFont="1" applyFill="1"/>
    <xf numFmtId="0" fontId="2" fillId="2" borderId="0" xfId="0" applyFont="1" applyFill="1"/>
    <xf numFmtId="0" fontId="2" fillId="2" borderId="0" xfId="0" quotePrefix="1" applyFont="1" applyFill="1"/>
    <xf numFmtId="0" fontId="3" fillId="0" borderId="0" xfId="0" applyFont="1"/>
    <xf numFmtId="0" fontId="2" fillId="6" borderId="0" xfId="0" applyFont="1" applyFill="1"/>
    <xf numFmtId="0" fontId="2" fillId="6" borderId="0" xfId="0" quotePrefix="1" applyFont="1" applyFill="1"/>
    <xf numFmtId="0" fontId="2" fillId="7" borderId="0" xfId="0" applyFont="1" applyFill="1"/>
    <xf numFmtId="0" fontId="2" fillId="7" borderId="0" xfId="0" quotePrefix="1" applyFont="1" applyFill="1"/>
    <xf numFmtId="0" fontId="2" fillId="8" borderId="0" xfId="0" applyFont="1" applyFill="1"/>
    <xf numFmtId="0" fontId="2" fillId="8" borderId="0" xfId="0" quotePrefix="1" applyFont="1" applyFill="1"/>
    <xf numFmtId="0" fontId="2" fillId="9" borderId="0" xfId="0" applyFont="1" applyFill="1"/>
    <xf numFmtId="0" fontId="2" fillId="9" borderId="0" xfId="0" quotePrefix="1" applyFont="1" applyFill="1"/>
    <xf numFmtId="0" fontId="2" fillId="10" borderId="0" xfId="0" applyFont="1" applyFill="1"/>
    <xf numFmtId="0" fontId="2" fillId="11" borderId="0" xfId="0" applyFont="1" applyFill="1"/>
    <xf numFmtId="0" fontId="2" fillId="12" borderId="0" xfId="0" applyFont="1" applyFill="1"/>
    <xf numFmtId="0" fontId="2" fillId="12" borderId="0" xfId="0" quotePrefix="1" applyFont="1" applyFill="1"/>
    <xf numFmtId="0" fontId="2" fillId="13" borderId="0" xfId="0" applyFont="1" applyFill="1"/>
    <xf numFmtId="0" fontId="2" fillId="13" borderId="0" xfId="0" quotePrefix="1" applyFont="1" applyFill="1"/>
    <xf numFmtId="0" fontId="2" fillId="14" borderId="0" xfId="0" applyFont="1" applyFill="1"/>
    <xf numFmtId="0" fontId="2" fillId="14" borderId="0" xfId="0" quotePrefix="1" applyFont="1" applyFill="1"/>
    <xf numFmtId="0" fontId="2" fillId="15" borderId="0" xfId="0" applyFont="1" applyFill="1"/>
    <xf numFmtId="0" fontId="2" fillId="15" borderId="0" xfId="0" quotePrefix="1" applyFont="1" applyFill="1"/>
    <xf numFmtId="0" fontId="2" fillId="16" borderId="0" xfId="0" applyFont="1" applyFill="1"/>
    <xf numFmtId="0" fontId="2" fillId="17" borderId="0" xfId="0" applyFont="1" applyFill="1"/>
    <xf numFmtId="0" fontId="2" fillId="18" borderId="0" xfId="0" applyFont="1" applyFill="1"/>
    <xf numFmtId="0" fontId="2" fillId="19" borderId="0" xfId="0" applyFont="1" applyFill="1"/>
    <xf numFmtId="0" fontId="2" fillId="20" borderId="0" xfId="0" applyFont="1" applyFill="1"/>
    <xf numFmtId="0" fontId="2" fillId="21" borderId="0" xfId="0" applyFont="1" applyFill="1"/>
    <xf numFmtId="0" fontId="2" fillId="22" borderId="0" xfId="0" applyFont="1" applyFill="1"/>
    <xf numFmtId="0" fontId="2" fillId="23" borderId="0" xfId="0" applyFont="1" applyFill="1"/>
    <xf numFmtId="0" fontId="2" fillId="24" borderId="0" xfId="0" applyFont="1" applyFill="1"/>
    <xf numFmtId="0" fontId="2" fillId="10" borderId="0" xfId="0" quotePrefix="1" applyFont="1" applyFill="1"/>
    <xf numFmtId="0" fontId="2" fillId="16" borderId="0" xfId="0" quotePrefix="1" applyFont="1" applyFill="1"/>
    <xf numFmtId="0" fontId="2" fillId="11" borderId="0" xfId="0" quotePrefix="1" applyFont="1" applyFill="1"/>
    <xf numFmtId="0" fontId="2" fillId="18" borderId="0" xfId="0" quotePrefix="1" applyFont="1" applyFill="1"/>
    <xf numFmtId="0" fontId="2" fillId="19" borderId="0" xfId="0" quotePrefix="1" applyFont="1" applyFill="1"/>
    <xf numFmtId="0" fontId="2" fillId="22" borderId="0" xfId="0" quotePrefix="1" applyFont="1" applyFill="1"/>
    <xf numFmtId="0" fontId="2" fillId="24" borderId="0" xfId="0" quotePrefix="1" applyFont="1" applyFill="1"/>
    <xf numFmtId="0" fontId="2" fillId="21" borderId="0" xfId="0" quotePrefix="1" applyFont="1" applyFill="1"/>
    <xf numFmtId="0" fontId="2" fillId="0" borderId="0" xfId="0" applyFont="1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00"/>
      <color rgb="FFFFFF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5B0BF-76E7-4635-9005-9D6B1877FAE8}">
  <dimension ref="A1:J192"/>
  <sheetViews>
    <sheetView tabSelected="1" workbookViewId="0">
      <pane ySplit="1" topLeftCell="A173" activePane="bottomLeft" state="frozen"/>
      <selection pane="bottomLeft" activeCell="B192" sqref="B86:B192"/>
    </sheetView>
  </sheetViews>
  <sheetFormatPr defaultRowHeight="15.9"/>
  <cols>
    <col min="1" max="1" width="9.140625" style="2"/>
    <col min="2" max="2" width="9.35546875" style="2" bestFit="1" customWidth="1"/>
    <col min="3" max="3" width="36.5703125" style="2" bestFit="1" customWidth="1"/>
    <col min="4" max="4" width="49.7109375" style="2" bestFit="1" customWidth="1"/>
    <col min="5" max="7" width="9.140625" style="2"/>
    <col min="8" max="8" width="17.35546875" style="2" customWidth="1"/>
    <col min="9" max="16384" width="9.140625" style="2"/>
  </cols>
  <sheetData>
    <row r="1" spans="1:4">
      <c r="A1" s="1" t="s">
        <v>31</v>
      </c>
      <c r="B1" s="1" t="s">
        <v>30</v>
      </c>
      <c r="C1" s="1" t="s">
        <v>29</v>
      </c>
      <c r="D1" s="1" t="s">
        <v>28</v>
      </c>
    </row>
    <row r="2" spans="1:4">
      <c r="A2" s="1" t="s">
        <v>47</v>
      </c>
      <c r="B2" s="1"/>
      <c r="C2" s="1"/>
      <c r="D2" s="1"/>
    </row>
    <row r="3" spans="1:4">
      <c r="A3" s="3" t="s">
        <v>111</v>
      </c>
      <c r="B3" s="2" t="str">
        <f>_xlfn.CONCAT("0",RIGHT(C3,1),"10A0E3")</f>
        <v>0810A0E3</v>
      </c>
      <c r="C3" s="2" t="s">
        <v>84</v>
      </c>
      <c r="D3" s="1"/>
    </row>
    <row r="4" spans="1:4">
      <c r="A4" s="2" t="str">
        <f t="shared" ref="A4:A6" si="0">DEC2HEX(HEX2DEC(A3)+4,8)</f>
        <v>000BD14C</v>
      </c>
      <c r="B4" s="3" t="s">
        <v>39</v>
      </c>
      <c r="C4" s="2" t="s">
        <v>40</v>
      </c>
      <c r="D4" s="1"/>
    </row>
    <row r="5" spans="1:4">
      <c r="A5" s="2" t="str">
        <f t="shared" si="0"/>
        <v>000BD150</v>
      </c>
      <c r="B5" s="2" t="s">
        <v>41</v>
      </c>
      <c r="C5" s="2" t="s">
        <v>42</v>
      </c>
      <c r="D5" s="1"/>
    </row>
    <row r="6" spans="1:4">
      <c r="A6" s="2" t="str">
        <f t="shared" si="0"/>
        <v>000BD154</v>
      </c>
      <c r="B6" s="2" t="s">
        <v>43</v>
      </c>
      <c r="C6" s="2" t="s">
        <v>44</v>
      </c>
      <c r="D6" s="1"/>
    </row>
    <row r="7" spans="1:4">
      <c r="A7" s="2" t="str">
        <f>DEC2HEX(HEX2DEC(A6)+4,8)</f>
        <v>000BD158</v>
      </c>
      <c r="B7" s="3" t="s">
        <v>45</v>
      </c>
      <c r="C7" s="2" t="s">
        <v>46</v>
      </c>
      <c r="D7" s="1"/>
    </row>
    <row r="8" spans="1:4">
      <c r="A8" s="1"/>
      <c r="B8" s="1"/>
      <c r="C8" s="1"/>
      <c r="D8" s="1"/>
    </row>
    <row r="9" spans="1:4">
      <c r="A9" s="1" t="s">
        <v>69</v>
      </c>
    </row>
    <row r="10" spans="1:4">
      <c r="A10" s="3" t="s">
        <v>112</v>
      </c>
      <c r="B10" s="2" t="s">
        <v>114</v>
      </c>
      <c r="C10" s="2" t="s">
        <v>56</v>
      </c>
    </row>
    <row r="11" spans="1:4">
      <c r="A11" s="2" t="str">
        <f t="shared" ref="A11:A38" si="1">DEC2HEX(HEX2DEC(A10)+4,8)</f>
        <v>00103808</v>
      </c>
      <c r="B11" s="2" t="s">
        <v>23</v>
      </c>
      <c r="C11" s="2" t="s">
        <v>22</v>
      </c>
    </row>
    <row r="12" spans="1:4">
      <c r="A12" s="2" t="str">
        <f t="shared" si="1"/>
        <v>0010380C</v>
      </c>
      <c r="B12" s="2" t="s">
        <v>25</v>
      </c>
      <c r="C12" s="2" t="s">
        <v>24</v>
      </c>
    </row>
    <row r="13" spans="1:4">
      <c r="A13" s="9" t="str">
        <f t="shared" si="1"/>
        <v>00103810</v>
      </c>
      <c r="B13" s="9" t="s">
        <v>48</v>
      </c>
      <c r="C13" s="9" t="s">
        <v>49</v>
      </c>
      <c r="D13" s="9" t="s">
        <v>50</v>
      </c>
    </row>
    <row r="14" spans="1:4">
      <c r="A14" s="9" t="str">
        <f t="shared" si="1"/>
        <v>00103814</v>
      </c>
      <c r="B14" s="9" t="s">
        <v>51</v>
      </c>
      <c r="C14" s="9" t="s">
        <v>52</v>
      </c>
      <c r="D14" s="9"/>
    </row>
    <row r="15" spans="1:4">
      <c r="A15" s="9" t="str">
        <f t="shared" si="1"/>
        <v>00103818</v>
      </c>
      <c r="B15" s="10" t="s">
        <v>115</v>
      </c>
      <c r="C15" s="9" t="s">
        <v>53</v>
      </c>
      <c r="D15" s="9"/>
    </row>
    <row r="16" spans="1:4">
      <c r="A16" s="16" t="str">
        <f t="shared" si="1"/>
        <v>0010381C</v>
      </c>
      <c r="B16" s="17" t="s">
        <v>116</v>
      </c>
      <c r="C16" s="16" t="s">
        <v>57</v>
      </c>
      <c r="D16" s="16" t="s">
        <v>58</v>
      </c>
    </row>
    <row r="17" spans="1:4">
      <c r="A17" s="16" t="str">
        <f t="shared" si="1"/>
        <v>00103820</v>
      </c>
      <c r="B17" s="17" t="s">
        <v>117</v>
      </c>
      <c r="C17" s="16" t="s">
        <v>59</v>
      </c>
      <c r="D17" s="16">
        <v>150</v>
      </c>
    </row>
    <row r="18" spans="1:4">
      <c r="A18" s="14" t="str">
        <f t="shared" si="1"/>
        <v>00103824</v>
      </c>
      <c r="B18" s="15" t="s">
        <v>118</v>
      </c>
      <c r="C18" s="14" t="s">
        <v>60</v>
      </c>
      <c r="D18" s="14" t="s">
        <v>55</v>
      </c>
    </row>
    <row r="19" spans="1:4">
      <c r="A19" s="14" t="str">
        <f t="shared" si="1"/>
        <v>00103828</v>
      </c>
      <c r="B19" s="15" t="s">
        <v>119</v>
      </c>
      <c r="C19" s="14" t="s">
        <v>61</v>
      </c>
      <c r="D19" s="14"/>
    </row>
    <row r="20" spans="1:4">
      <c r="A20" s="14" t="str">
        <f t="shared" si="1"/>
        <v>0010382C</v>
      </c>
      <c r="B20" s="14" t="s">
        <v>120</v>
      </c>
      <c r="C20" s="14" t="str">
        <f>_xlfn.CONCAT("bne 0x",A38)</f>
        <v>bne 0x00103874</v>
      </c>
      <c r="D20" s="14"/>
    </row>
    <row r="21" spans="1:4">
      <c r="A21" s="22" t="str">
        <f t="shared" si="1"/>
        <v>00103830</v>
      </c>
      <c r="B21" s="22" t="s">
        <v>121</v>
      </c>
      <c r="C21" s="22" t="s">
        <v>66</v>
      </c>
      <c r="D21" s="22"/>
    </row>
    <row r="22" spans="1:4">
      <c r="A22" s="22" t="str">
        <f t="shared" si="1"/>
        <v>00103834</v>
      </c>
      <c r="B22" s="22" t="s">
        <v>122</v>
      </c>
      <c r="C22" s="22" t="s">
        <v>67</v>
      </c>
      <c r="D22" s="22"/>
    </row>
    <row r="23" spans="1:4">
      <c r="A23" s="22" t="str">
        <f t="shared" si="1"/>
        <v>00103838</v>
      </c>
      <c r="B23" s="22" t="s">
        <v>123</v>
      </c>
      <c r="C23" s="22" t="s">
        <v>71</v>
      </c>
      <c r="D23" s="22" t="s">
        <v>72</v>
      </c>
    </row>
    <row r="24" spans="1:4">
      <c r="A24" s="22" t="str">
        <f t="shared" si="1"/>
        <v>0010383C</v>
      </c>
      <c r="B24" s="22" t="s">
        <v>124</v>
      </c>
      <c r="C24" s="22" t="s">
        <v>70</v>
      </c>
      <c r="D24" s="22"/>
    </row>
    <row r="25" spans="1:4">
      <c r="A25" s="23" t="str">
        <f t="shared" si="1"/>
        <v>00103840</v>
      </c>
      <c r="B25" s="23" t="s">
        <v>121</v>
      </c>
      <c r="C25" s="23" t="s">
        <v>66</v>
      </c>
      <c r="D25" s="23"/>
    </row>
    <row r="26" spans="1:4">
      <c r="A26" s="23" t="str">
        <f t="shared" si="1"/>
        <v>00103844</v>
      </c>
      <c r="B26" s="23" t="s">
        <v>122</v>
      </c>
      <c r="C26" s="23" t="s">
        <v>67</v>
      </c>
      <c r="D26" s="23"/>
    </row>
    <row r="27" spans="1:4">
      <c r="A27" s="23" t="str">
        <f t="shared" si="1"/>
        <v>00103848</v>
      </c>
      <c r="B27" s="23" t="s">
        <v>125</v>
      </c>
      <c r="C27" s="23" t="s">
        <v>73</v>
      </c>
      <c r="D27" s="23" t="s">
        <v>74</v>
      </c>
    </row>
    <row r="28" spans="1:4">
      <c r="A28" s="23" t="str">
        <f t="shared" si="1"/>
        <v>0010384C</v>
      </c>
      <c r="B28" s="23" t="s">
        <v>126</v>
      </c>
      <c r="C28" s="23" t="s">
        <v>70</v>
      </c>
      <c r="D28" s="23"/>
    </row>
    <row r="29" spans="1:4">
      <c r="A29" s="18" t="str">
        <f t="shared" si="1"/>
        <v>00103850</v>
      </c>
      <c r="B29" s="19" t="s">
        <v>127</v>
      </c>
      <c r="C29" s="18" t="s">
        <v>64</v>
      </c>
      <c r="D29" s="18" t="s">
        <v>62</v>
      </c>
    </row>
    <row r="30" spans="1:4">
      <c r="A30" s="18" t="str">
        <f t="shared" si="1"/>
        <v>00103854</v>
      </c>
      <c r="B30" s="19" t="s">
        <v>121</v>
      </c>
      <c r="C30" s="18" t="s">
        <v>66</v>
      </c>
      <c r="D30" s="18"/>
    </row>
    <row r="31" spans="1:4">
      <c r="A31" s="18" t="str">
        <f t="shared" si="1"/>
        <v>00103858</v>
      </c>
      <c r="B31" s="19" t="s">
        <v>122</v>
      </c>
      <c r="C31" s="18" t="s">
        <v>67</v>
      </c>
      <c r="D31" s="18"/>
    </row>
    <row r="32" spans="1:4">
      <c r="A32" s="18" t="str">
        <f t="shared" si="1"/>
        <v>0010385C</v>
      </c>
      <c r="B32" s="19" t="s">
        <v>128</v>
      </c>
      <c r="C32" s="18" t="s">
        <v>65</v>
      </c>
      <c r="D32" s="18"/>
    </row>
    <row r="33" spans="1:4">
      <c r="A33" s="20" t="str">
        <f t="shared" si="1"/>
        <v>00103860</v>
      </c>
      <c r="B33" s="21" t="s">
        <v>121</v>
      </c>
      <c r="C33" s="20" t="s">
        <v>66</v>
      </c>
      <c r="D33" s="20"/>
    </row>
    <row r="34" spans="1:4">
      <c r="A34" s="20" t="str">
        <f t="shared" si="1"/>
        <v>00103864</v>
      </c>
      <c r="B34" s="21" t="s">
        <v>122</v>
      </c>
      <c r="C34" s="20" t="s">
        <v>67</v>
      </c>
      <c r="D34" s="20"/>
    </row>
    <row r="35" spans="1:4">
      <c r="A35" s="20" t="str">
        <f t="shared" si="1"/>
        <v>00103868</v>
      </c>
      <c r="B35" s="20" t="s">
        <v>129</v>
      </c>
      <c r="C35" s="20" t="s">
        <v>68</v>
      </c>
      <c r="D35" s="20" t="s">
        <v>63</v>
      </c>
    </row>
    <row r="36" spans="1:4">
      <c r="A36" s="2" t="str">
        <f t="shared" si="1"/>
        <v>0010386C</v>
      </c>
      <c r="B36" s="2" t="s">
        <v>130</v>
      </c>
      <c r="C36" s="2" t="str">
        <f>SUBSTITUTE(C10,"push","pop")</f>
        <v>pop {r4, r5, lr}</v>
      </c>
    </row>
    <row r="37" spans="1:4">
      <c r="A37" s="20" t="str">
        <f t="shared" si="1"/>
        <v>00103870</v>
      </c>
      <c r="B37" s="20" t="s">
        <v>131</v>
      </c>
      <c r="C37" s="20" t="s">
        <v>54</v>
      </c>
      <c r="D37" s="20"/>
    </row>
    <row r="38" spans="1:4">
      <c r="A38" s="2" t="str">
        <f t="shared" si="1"/>
        <v>00103874</v>
      </c>
      <c r="B38" s="2" t="s">
        <v>132</v>
      </c>
      <c r="C38" s="2" t="str">
        <f>SUBSTITUTE(C36,"lr","pc")</f>
        <v>pop {r4, r5, pc}</v>
      </c>
    </row>
    <row r="39" spans="1:4">
      <c r="A39" s="1"/>
      <c r="B39" s="1"/>
      <c r="C39" s="1"/>
      <c r="D39" s="1"/>
    </row>
    <row r="40" spans="1:4">
      <c r="A40" s="1" t="s">
        <v>75</v>
      </c>
      <c r="B40" s="1"/>
      <c r="C40" s="1"/>
      <c r="D40" s="1"/>
    </row>
    <row r="41" spans="1:4">
      <c r="A41" s="3" t="s">
        <v>113</v>
      </c>
      <c r="B41" s="3" t="s">
        <v>27</v>
      </c>
      <c r="C41" s="2" t="s">
        <v>26</v>
      </c>
    </row>
    <row r="42" spans="1:4">
      <c r="A42" s="2" t="str">
        <f t="shared" ref="A42:A83" si="2">DEC2HEX(HEX2DEC(A41)+4,8)</f>
        <v>0010387C</v>
      </c>
      <c r="B42" s="2" t="s">
        <v>25</v>
      </c>
      <c r="C42" s="2" t="s">
        <v>24</v>
      </c>
    </row>
    <row r="43" spans="1:4">
      <c r="A43" s="2" t="str">
        <f t="shared" si="2"/>
        <v>00103880</v>
      </c>
      <c r="B43" s="2" t="s">
        <v>23</v>
      </c>
      <c r="C43" s="2" t="s">
        <v>22</v>
      </c>
    </row>
    <row r="44" spans="1:4">
      <c r="A44" s="4" t="str">
        <f t="shared" si="2"/>
        <v>00103884</v>
      </c>
      <c r="B44" s="4" t="s">
        <v>21</v>
      </c>
      <c r="C44" s="4" t="s">
        <v>80</v>
      </c>
      <c r="D44" s="4" t="s">
        <v>20</v>
      </c>
    </row>
    <row r="45" spans="1:4">
      <c r="A45" s="4" t="str">
        <f t="shared" si="2"/>
        <v>00103888</v>
      </c>
      <c r="B45" s="4" t="s">
        <v>133</v>
      </c>
      <c r="C45" s="4" t="s">
        <v>79</v>
      </c>
      <c r="D45" s="4"/>
    </row>
    <row r="46" spans="1:4">
      <c r="A46" s="4" t="str">
        <f t="shared" si="2"/>
        <v>0010388C</v>
      </c>
      <c r="B46" s="5" t="s">
        <v>19</v>
      </c>
      <c r="C46" s="6" t="s">
        <v>18</v>
      </c>
      <c r="D46" s="4"/>
    </row>
    <row r="47" spans="1:4">
      <c r="A47" s="4" t="str">
        <f t="shared" si="2"/>
        <v>00103890</v>
      </c>
      <c r="B47" s="4" t="s">
        <v>134</v>
      </c>
      <c r="C47" s="4" t="str">
        <f>_xlfn.CONCAT("bne 0x",A$83)</f>
        <v>bne 0x00103920</v>
      </c>
      <c r="D47" s="4"/>
    </row>
    <row r="48" spans="1:4">
      <c r="A48" s="7" t="str">
        <f t="shared" si="2"/>
        <v>00103894</v>
      </c>
      <c r="B48" s="8" t="s">
        <v>17</v>
      </c>
      <c r="C48" s="7" t="s">
        <v>16</v>
      </c>
      <c r="D48" s="7" t="s">
        <v>15</v>
      </c>
    </row>
    <row r="49" spans="1:10">
      <c r="A49" s="7" t="str">
        <f t="shared" si="2"/>
        <v>00103898</v>
      </c>
      <c r="B49" s="7" t="s">
        <v>14</v>
      </c>
      <c r="C49" s="7" t="s">
        <v>13</v>
      </c>
      <c r="D49" s="7"/>
    </row>
    <row r="50" spans="1:10">
      <c r="A50" s="7" t="str">
        <f t="shared" si="2"/>
        <v>0010389C</v>
      </c>
      <c r="B50" s="7" t="s">
        <v>135</v>
      </c>
      <c r="C50" s="7" t="s">
        <v>53</v>
      </c>
      <c r="D50" s="7"/>
    </row>
    <row r="51" spans="1:10">
      <c r="A51" s="7" t="str">
        <f t="shared" si="2"/>
        <v>001038A0</v>
      </c>
      <c r="B51" s="7" t="s">
        <v>12</v>
      </c>
      <c r="C51" s="7" t="s">
        <v>11</v>
      </c>
      <c r="D51" s="7" t="s">
        <v>10</v>
      </c>
    </row>
    <row r="52" spans="1:10">
      <c r="A52" s="9" t="str">
        <f t="shared" si="2"/>
        <v>001038A4</v>
      </c>
      <c r="B52" s="9" t="s">
        <v>9</v>
      </c>
      <c r="C52" s="9" t="s">
        <v>8</v>
      </c>
      <c r="D52" s="9" t="s">
        <v>7</v>
      </c>
    </row>
    <row r="53" spans="1:10">
      <c r="A53" s="9" t="str">
        <f t="shared" si="2"/>
        <v>001038A8</v>
      </c>
      <c r="B53" s="10" t="s">
        <v>6</v>
      </c>
      <c r="C53" s="9" t="s">
        <v>5</v>
      </c>
      <c r="D53" s="9" t="s">
        <v>4</v>
      </c>
    </row>
    <row r="54" spans="1:10">
      <c r="A54" s="9" t="str">
        <f t="shared" si="2"/>
        <v>001038AC</v>
      </c>
      <c r="B54" s="9" t="s">
        <v>136</v>
      </c>
      <c r="C54" s="9" t="str">
        <f>_xlfn.CONCAT("bne 0x",A$83)</f>
        <v>bne 0x00103920</v>
      </c>
      <c r="D54" s="9"/>
    </row>
    <row r="55" spans="1:10">
      <c r="A55" s="11" t="str">
        <f t="shared" si="2"/>
        <v>001038B0</v>
      </c>
      <c r="B55" s="11" t="s">
        <v>137</v>
      </c>
      <c r="C55" s="11" t="s">
        <v>77</v>
      </c>
      <c r="D55" s="11" t="s">
        <v>81</v>
      </c>
    </row>
    <row r="56" spans="1:10">
      <c r="A56" s="11" t="str">
        <f t="shared" si="2"/>
        <v>001038B4</v>
      </c>
      <c r="B56" s="12" t="s">
        <v>138</v>
      </c>
      <c r="C56" s="11" t="s">
        <v>79</v>
      </c>
      <c r="D56" s="11"/>
    </row>
    <row r="57" spans="1:10">
      <c r="A57" s="11" t="str">
        <f t="shared" si="2"/>
        <v>001038B8</v>
      </c>
      <c r="B57" s="12" t="s">
        <v>139</v>
      </c>
      <c r="C57" s="11" t="s">
        <v>82</v>
      </c>
      <c r="D57" s="11"/>
    </row>
    <row r="58" spans="1:10">
      <c r="A58" s="24" t="str">
        <f t="shared" si="2"/>
        <v>001038BC</v>
      </c>
      <c r="B58" s="25" t="s">
        <v>140</v>
      </c>
      <c r="C58" s="24" t="s">
        <v>83</v>
      </c>
      <c r="D58" s="24" t="s">
        <v>86</v>
      </c>
    </row>
    <row r="59" spans="1:10">
      <c r="A59" s="24" t="str">
        <f t="shared" si="2"/>
        <v>001038C0</v>
      </c>
      <c r="B59" s="25" t="s">
        <v>141</v>
      </c>
      <c r="C59" s="24" t="s">
        <v>84</v>
      </c>
      <c r="D59" s="24"/>
    </row>
    <row r="60" spans="1:10">
      <c r="A60" s="24" t="str">
        <f t="shared" si="2"/>
        <v>001038C4</v>
      </c>
      <c r="B60" s="25" t="s">
        <v>142</v>
      </c>
      <c r="C60" s="24" t="s">
        <v>85</v>
      </c>
      <c r="D60" s="24"/>
    </row>
    <row r="61" spans="1:10">
      <c r="A61" s="24" t="str">
        <f t="shared" si="2"/>
        <v>001038C8</v>
      </c>
      <c r="B61" s="25" t="s">
        <v>143</v>
      </c>
      <c r="C61" s="24" t="s">
        <v>89</v>
      </c>
      <c r="D61" s="24"/>
      <c r="F61" s="13"/>
      <c r="I61" s="2">
        <v>482</v>
      </c>
    </row>
    <row r="62" spans="1:10">
      <c r="A62" s="26" t="str">
        <f t="shared" si="2"/>
        <v>001038CC</v>
      </c>
      <c r="B62" s="27" t="s">
        <v>140</v>
      </c>
      <c r="C62" s="26" t="s">
        <v>83</v>
      </c>
      <c r="D62" s="26" t="s">
        <v>87</v>
      </c>
      <c r="I62" s="2">
        <v>336</v>
      </c>
    </row>
    <row r="63" spans="1:10">
      <c r="A63" s="26" t="str">
        <f t="shared" si="2"/>
        <v>001038D0</v>
      </c>
      <c r="B63" s="27" t="s">
        <v>141</v>
      </c>
      <c r="C63" s="26" t="s">
        <v>84</v>
      </c>
      <c r="D63" s="26"/>
      <c r="J63" s="2">
        <f>AVERAGE(I61:I62)</f>
        <v>409</v>
      </c>
    </row>
    <row r="64" spans="1:10">
      <c r="A64" s="26" t="str">
        <f t="shared" si="2"/>
        <v>001038D4</v>
      </c>
      <c r="B64" s="27" t="s">
        <v>144</v>
      </c>
      <c r="C64" s="26" t="s">
        <v>85</v>
      </c>
      <c r="D64" s="26"/>
      <c r="F64" s="2" t="s">
        <v>32</v>
      </c>
      <c r="G64" s="2" t="s">
        <v>33</v>
      </c>
      <c r="I64" s="2">
        <f>I61/(2*I62)+0.5</f>
        <v>1.2172619047619047</v>
      </c>
      <c r="J64" s="2">
        <f>ROUND(I$62*I64,0)</f>
        <v>409</v>
      </c>
    </row>
    <row r="65" spans="1:10">
      <c r="A65" s="28" t="str">
        <f t="shared" si="2"/>
        <v>001038D8</v>
      </c>
      <c r="B65" s="29" t="s">
        <v>145</v>
      </c>
      <c r="C65" s="28" t="s">
        <v>95</v>
      </c>
      <c r="D65" s="28" t="s">
        <v>88</v>
      </c>
    </row>
    <row r="66" spans="1:10">
      <c r="A66" s="28" t="str">
        <f t="shared" si="2"/>
        <v>001038DC</v>
      </c>
      <c r="B66" s="29" t="s">
        <v>146</v>
      </c>
      <c r="C66" s="28" t="s">
        <v>90</v>
      </c>
      <c r="D66" s="28"/>
      <c r="F66" s="2" t="s">
        <v>34</v>
      </c>
      <c r="G66" s="2" t="s">
        <v>35</v>
      </c>
      <c r="I66" s="2">
        <f>I$61/(4*I$62)+0.75</f>
        <v>1.1086309523809523</v>
      </c>
      <c r="J66" s="2">
        <f>ROUND(I$62*I66,0)</f>
        <v>373</v>
      </c>
    </row>
    <row r="67" spans="1:10">
      <c r="A67" s="30" t="str">
        <f t="shared" si="2"/>
        <v>001038E0</v>
      </c>
      <c r="B67" s="31" t="s">
        <v>147</v>
      </c>
      <c r="C67" s="30" t="s">
        <v>92</v>
      </c>
      <c r="D67" s="30" t="s">
        <v>93</v>
      </c>
    </row>
    <row r="68" spans="1:10">
      <c r="A68" s="30" t="str">
        <f t="shared" si="2"/>
        <v>001038E4</v>
      </c>
      <c r="B68" s="31" t="s">
        <v>148</v>
      </c>
      <c r="C68" s="30" t="str">
        <f>_xlfn.CONCAT("bls 0x",A83)</f>
        <v>bls 0x00103920</v>
      </c>
      <c r="D68" s="30"/>
      <c r="F68" s="2" t="s">
        <v>36</v>
      </c>
      <c r="G68" s="2" t="s">
        <v>37</v>
      </c>
      <c r="I68" s="2">
        <f>I$61/(8*I$62)+7/8</f>
        <v>1.0543154761904763</v>
      </c>
      <c r="J68" s="2">
        <f>ROUND(I$62*I68,0)</f>
        <v>354</v>
      </c>
    </row>
    <row r="69" spans="1:10">
      <c r="A69" s="18" t="str">
        <f t="shared" si="2"/>
        <v>001038E8</v>
      </c>
      <c r="B69" s="18" t="s">
        <v>3</v>
      </c>
      <c r="C69" s="18" t="s">
        <v>2</v>
      </c>
      <c r="D69" s="18" t="s">
        <v>91</v>
      </c>
    </row>
    <row r="70" spans="1:10">
      <c r="A70" s="18" t="str">
        <f t="shared" si="2"/>
        <v>001038EC</v>
      </c>
      <c r="B70" s="19" t="s">
        <v>149</v>
      </c>
      <c r="C70" s="18" t="s">
        <v>94</v>
      </c>
      <c r="D70" s="18"/>
      <c r="G70" s="2" t="s">
        <v>38</v>
      </c>
      <c r="H70" s="2">
        <f>HEX2DEC(G70)/4096</f>
        <v>0.75</v>
      </c>
    </row>
    <row r="71" spans="1:10">
      <c r="A71" s="2" t="str">
        <f t="shared" si="2"/>
        <v>001038F0</v>
      </c>
      <c r="B71" s="3" t="s">
        <v>150</v>
      </c>
      <c r="C71" s="2" t="s">
        <v>98</v>
      </c>
      <c r="D71" s="2" t="s">
        <v>108</v>
      </c>
      <c r="G71" s="2">
        <v>200</v>
      </c>
      <c r="H71" s="2">
        <f>HEX2DEC(G71)/4096</f>
        <v>0.125</v>
      </c>
    </row>
    <row r="72" spans="1:10">
      <c r="A72" s="2" t="str">
        <f t="shared" si="2"/>
        <v>001038F4</v>
      </c>
      <c r="B72" s="3" t="s">
        <v>151</v>
      </c>
      <c r="C72" s="2" t="str">
        <f>_xlfn.CONCAT("beq 0x",A76)</f>
        <v>beq 0x00103904</v>
      </c>
    </row>
    <row r="73" spans="1:10">
      <c r="A73" s="2" t="str">
        <f t="shared" si="2"/>
        <v>001038F8</v>
      </c>
      <c r="B73" s="3" t="s">
        <v>152</v>
      </c>
      <c r="C73" s="2" t="s">
        <v>97</v>
      </c>
    </row>
    <row r="74" spans="1:10">
      <c r="A74" s="2" t="str">
        <f t="shared" si="2"/>
        <v>001038FC</v>
      </c>
      <c r="B74" s="3" t="s">
        <v>153</v>
      </c>
      <c r="C74" s="2" t="s">
        <v>106</v>
      </c>
      <c r="D74" s="2" t="s">
        <v>109</v>
      </c>
    </row>
    <row r="75" spans="1:10">
      <c r="A75" s="2" t="str">
        <f t="shared" si="2"/>
        <v>00103900</v>
      </c>
      <c r="B75" s="3" t="s">
        <v>154</v>
      </c>
      <c r="C75" s="2" t="s">
        <v>107</v>
      </c>
      <c r="D75" s="2" t="s">
        <v>110</v>
      </c>
    </row>
    <row r="76" spans="1:10">
      <c r="A76" s="20" t="str">
        <f t="shared" si="2"/>
        <v>00103904</v>
      </c>
      <c r="B76" s="21" t="s">
        <v>155</v>
      </c>
      <c r="C76" s="20" t="s">
        <v>99</v>
      </c>
      <c r="D76" s="20" t="s">
        <v>103</v>
      </c>
    </row>
    <row r="77" spans="1:10">
      <c r="A77" s="20" t="str">
        <f t="shared" si="2"/>
        <v>00103908</v>
      </c>
      <c r="B77" s="21" t="s">
        <v>156</v>
      </c>
      <c r="C77" s="20" t="s">
        <v>96</v>
      </c>
      <c r="D77" s="20" t="s">
        <v>104</v>
      </c>
    </row>
    <row r="78" spans="1:10">
      <c r="A78" s="20" t="str">
        <f t="shared" si="2"/>
        <v>0010390C</v>
      </c>
      <c r="B78" s="21" t="s">
        <v>157</v>
      </c>
      <c r="C78" s="20" t="s">
        <v>101</v>
      </c>
      <c r="D78" s="20" t="s">
        <v>105</v>
      </c>
    </row>
    <row r="79" spans="1:10">
      <c r="A79" s="20" t="str">
        <f t="shared" si="2"/>
        <v>00103910</v>
      </c>
      <c r="B79" s="21" t="s">
        <v>158</v>
      </c>
      <c r="C79" s="20" t="s">
        <v>100</v>
      </c>
      <c r="D79" s="20" t="s">
        <v>102</v>
      </c>
    </row>
    <row r="80" spans="1:10">
      <c r="A80" s="2" t="str">
        <f t="shared" si="2"/>
        <v>00103914</v>
      </c>
      <c r="B80" s="2" t="s">
        <v>1</v>
      </c>
      <c r="C80" s="2" t="str">
        <f>SUBSTITUTE(C41,"push","pop")</f>
        <v>pop {r4, r5, r6, lr}</v>
      </c>
    </row>
    <row r="81" spans="1:4">
      <c r="A81" s="2" t="str">
        <f t="shared" si="2"/>
        <v>00103918</v>
      </c>
      <c r="B81" s="2" t="s">
        <v>137</v>
      </c>
      <c r="C81" s="2" t="s">
        <v>77</v>
      </c>
      <c r="D81" s="2" t="s">
        <v>78</v>
      </c>
    </row>
    <row r="82" spans="1:4">
      <c r="A82" s="2" t="str">
        <f t="shared" si="2"/>
        <v>0010391C</v>
      </c>
      <c r="B82" s="2" t="s">
        <v>159</v>
      </c>
      <c r="C82" s="2" t="s">
        <v>76</v>
      </c>
    </row>
    <row r="83" spans="1:4">
      <c r="A83" s="2" t="str">
        <f t="shared" si="2"/>
        <v>00103920</v>
      </c>
      <c r="B83" s="2" t="s">
        <v>0</v>
      </c>
      <c r="C83" s="2" t="str">
        <f>SUBSTITUTE(C80,"lr","pc")</f>
        <v>pop {r4, r5, r6, pc}</v>
      </c>
    </row>
    <row r="85" spans="1:4">
      <c r="A85" s="1" t="s">
        <v>212</v>
      </c>
    </row>
    <row r="86" spans="1:4">
      <c r="A86" s="3" t="s">
        <v>294</v>
      </c>
      <c r="B86" s="2" t="s">
        <v>243</v>
      </c>
      <c r="C86" s="2" t="s">
        <v>227</v>
      </c>
    </row>
    <row r="87" spans="1:4">
      <c r="A87" s="2" t="str">
        <f t="shared" ref="A87:A150" si="3">DEC2HEX(HEX2DEC(A86)+4,8)</f>
        <v>00103D1C</v>
      </c>
      <c r="B87" s="2" t="s">
        <v>23</v>
      </c>
      <c r="C87" s="2" t="s">
        <v>22</v>
      </c>
    </row>
    <row r="88" spans="1:4">
      <c r="A88" s="2" t="str">
        <f t="shared" si="3"/>
        <v>00103D20</v>
      </c>
      <c r="B88" s="2" t="s">
        <v>25</v>
      </c>
      <c r="C88" s="2" t="s">
        <v>24</v>
      </c>
    </row>
    <row r="89" spans="1:4">
      <c r="A89" s="2" t="str">
        <f t="shared" si="3"/>
        <v>00103D24</v>
      </c>
      <c r="B89" s="2" t="s">
        <v>244</v>
      </c>
      <c r="C89" s="2" t="s">
        <v>213</v>
      </c>
    </row>
    <row r="90" spans="1:4">
      <c r="A90" s="9" t="str">
        <f t="shared" si="3"/>
        <v>00103D28</v>
      </c>
      <c r="B90" s="9" t="s">
        <v>17</v>
      </c>
      <c r="C90" s="9" t="s">
        <v>16</v>
      </c>
      <c r="D90" s="9" t="s">
        <v>170</v>
      </c>
    </row>
    <row r="91" spans="1:4">
      <c r="A91" s="9" t="str">
        <f t="shared" si="3"/>
        <v>00103D2C</v>
      </c>
      <c r="B91" s="9" t="s">
        <v>14</v>
      </c>
      <c r="C91" s="9" t="s">
        <v>13</v>
      </c>
      <c r="D91" s="9"/>
    </row>
    <row r="92" spans="1:4">
      <c r="A92" s="9" t="str">
        <f t="shared" si="3"/>
        <v>00103D30</v>
      </c>
      <c r="B92" s="9" t="s">
        <v>296</v>
      </c>
      <c r="C92" s="9" t="s">
        <v>53</v>
      </c>
      <c r="D92" s="9"/>
    </row>
    <row r="93" spans="1:4">
      <c r="A93" s="9" t="str">
        <f t="shared" si="3"/>
        <v>00103D34</v>
      </c>
      <c r="B93" s="9" t="s">
        <v>245</v>
      </c>
      <c r="C93" s="9" t="s">
        <v>226</v>
      </c>
      <c r="D93" s="9"/>
    </row>
    <row r="94" spans="1:4">
      <c r="A94" s="22" t="str">
        <f t="shared" si="3"/>
        <v>00103D38</v>
      </c>
      <c r="B94" s="22" t="s">
        <v>116</v>
      </c>
      <c r="C94" s="22" t="s">
        <v>57</v>
      </c>
      <c r="D94" s="22" t="s">
        <v>4</v>
      </c>
    </row>
    <row r="95" spans="1:4">
      <c r="A95" s="22" t="str">
        <f t="shared" si="3"/>
        <v>00103D3C</v>
      </c>
      <c r="B95" s="41" t="s">
        <v>117</v>
      </c>
      <c r="C95" s="22" t="s">
        <v>59</v>
      </c>
      <c r="D95" s="22"/>
    </row>
    <row r="96" spans="1:4">
      <c r="A96" s="22" t="str">
        <f t="shared" si="3"/>
        <v>00103D40</v>
      </c>
      <c r="B96" s="22" t="s">
        <v>318</v>
      </c>
      <c r="C96" s="22" t="str">
        <f>_xlfn.CONCAT("bne 0x",A$190)</f>
        <v>bne 0x00103EB8</v>
      </c>
      <c r="D96" s="22"/>
    </row>
    <row r="97" spans="1:4">
      <c r="A97" s="32" t="str">
        <f t="shared" si="3"/>
        <v>00103D44</v>
      </c>
      <c r="B97" s="32" t="s">
        <v>246</v>
      </c>
      <c r="C97" s="32" t="s">
        <v>161</v>
      </c>
      <c r="D97" s="32" t="s">
        <v>166</v>
      </c>
    </row>
    <row r="98" spans="1:4">
      <c r="A98" s="32" t="str">
        <f t="shared" si="3"/>
        <v>00103D48</v>
      </c>
      <c r="B98" s="42" t="s">
        <v>247</v>
      </c>
      <c r="C98" s="32" t="s">
        <v>162</v>
      </c>
      <c r="D98" s="32" t="s">
        <v>164</v>
      </c>
    </row>
    <row r="99" spans="1:4">
      <c r="A99" s="32" t="str">
        <f t="shared" si="3"/>
        <v>00103D4C</v>
      </c>
      <c r="B99" s="42" t="s">
        <v>248</v>
      </c>
      <c r="C99" s="32" t="s">
        <v>163</v>
      </c>
      <c r="D99" s="32" t="s">
        <v>165</v>
      </c>
    </row>
    <row r="100" spans="1:4">
      <c r="A100" s="32" t="str">
        <f t="shared" si="3"/>
        <v>00103D50</v>
      </c>
      <c r="B100" s="32" t="s">
        <v>319</v>
      </c>
      <c r="C100" s="32" t="str">
        <f>_xlfn.CONCAT("bne 0x",A$190)</f>
        <v>bne 0x00103EB8</v>
      </c>
      <c r="D100" s="32"/>
    </row>
    <row r="101" spans="1:4">
      <c r="A101" s="33" t="str">
        <f t="shared" si="3"/>
        <v>00103D54</v>
      </c>
      <c r="B101" s="33" t="s">
        <v>320</v>
      </c>
      <c r="C101" s="33" t="str">
        <f>_xlfn.CONCAT("ldr r6, [pc, #",HEX2DEC(A$191)-HEX2DEC(A101)-8,"]")</f>
        <v>ldr r6, [pc, #352]</v>
      </c>
      <c r="D101" s="33" t="s">
        <v>171</v>
      </c>
    </row>
    <row r="102" spans="1:4">
      <c r="A102" s="33" t="str">
        <f t="shared" si="3"/>
        <v>00103D58</v>
      </c>
      <c r="B102" s="33" t="s">
        <v>315</v>
      </c>
      <c r="C102" s="33" t="s">
        <v>314</v>
      </c>
      <c r="D102" s="33"/>
    </row>
    <row r="103" spans="1:4">
      <c r="A103" s="23" t="str">
        <f t="shared" si="3"/>
        <v>00103D5C</v>
      </c>
      <c r="B103" s="23" t="s">
        <v>249</v>
      </c>
      <c r="C103" s="23" t="s">
        <v>167</v>
      </c>
      <c r="D103" s="23" t="s">
        <v>169</v>
      </c>
    </row>
    <row r="104" spans="1:4">
      <c r="A104" s="23" t="str">
        <f t="shared" si="3"/>
        <v>00103D60</v>
      </c>
      <c r="B104" s="23" t="s">
        <v>297</v>
      </c>
      <c r="C104" s="23" t="s">
        <v>79</v>
      </c>
      <c r="D104" s="23"/>
    </row>
    <row r="105" spans="1:4">
      <c r="A105" s="23" t="str">
        <f t="shared" si="3"/>
        <v>00103D64</v>
      </c>
      <c r="B105" s="23" t="s">
        <v>250</v>
      </c>
      <c r="C105" s="23" t="s">
        <v>168</v>
      </c>
      <c r="D105" s="23"/>
    </row>
    <row r="106" spans="1:4">
      <c r="A106" s="34" t="str">
        <f t="shared" si="3"/>
        <v>00103D68</v>
      </c>
      <c r="B106" s="34" t="s">
        <v>251</v>
      </c>
      <c r="C106" s="34" t="str">
        <f>_xlfn.CONCAT("bne 0x",A111)</f>
        <v>bne 0x00103D7C</v>
      </c>
      <c r="D106" s="34"/>
    </row>
    <row r="107" spans="1:4">
      <c r="A107" s="23" t="str">
        <f t="shared" si="3"/>
        <v>00103D6C</v>
      </c>
      <c r="B107" s="43" t="s">
        <v>252</v>
      </c>
      <c r="C107" s="23" t="s">
        <v>178</v>
      </c>
      <c r="D107" s="23" t="s">
        <v>172</v>
      </c>
    </row>
    <row r="108" spans="1:4">
      <c r="A108" s="23" t="str">
        <f t="shared" si="3"/>
        <v>00103D70</v>
      </c>
      <c r="B108" s="23" t="s">
        <v>253</v>
      </c>
      <c r="C108" s="23" t="s">
        <v>204</v>
      </c>
      <c r="D108" s="23" t="s">
        <v>195</v>
      </c>
    </row>
    <row r="109" spans="1:4">
      <c r="A109" s="23" t="str">
        <f t="shared" si="3"/>
        <v>00103D74</v>
      </c>
      <c r="B109" s="23" t="s">
        <v>254</v>
      </c>
      <c r="C109" s="23" t="s">
        <v>205</v>
      </c>
      <c r="D109" s="23"/>
    </row>
    <row r="110" spans="1:4">
      <c r="A110" s="23" t="str">
        <f t="shared" si="3"/>
        <v>00103D78</v>
      </c>
      <c r="B110" s="23" t="s">
        <v>255</v>
      </c>
      <c r="C110" s="23" t="str">
        <f>_xlfn.CONCAT("b 0x",A118)</f>
        <v>b 0x00103D98</v>
      </c>
      <c r="D110" s="23"/>
    </row>
    <row r="111" spans="1:4">
      <c r="A111" s="34" t="str">
        <f t="shared" si="3"/>
        <v>00103D7C</v>
      </c>
      <c r="B111" s="44" t="s">
        <v>256</v>
      </c>
      <c r="C111" s="34" t="s">
        <v>174</v>
      </c>
      <c r="D111" s="34" t="s">
        <v>176</v>
      </c>
    </row>
    <row r="112" spans="1:4">
      <c r="A112" s="34" t="str">
        <f t="shared" si="3"/>
        <v>00103D80</v>
      </c>
      <c r="B112" s="44" t="s">
        <v>257</v>
      </c>
      <c r="C112" s="34" t="s">
        <v>175</v>
      </c>
      <c r="D112" s="34"/>
    </row>
    <row r="113" spans="1:4">
      <c r="A113" s="34" t="str">
        <f t="shared" si="3"/>
        <v>00103D84</v>
      </c>
      <c r="B113" s="34">
        <v>10005013</v>
      </c>
      <c r="C113" s="34" t="s">
        <v>177</v>
      </c>
      <c r="D113" s="34"/>
    </row>
    <row r="114" spans="1:4">
      <c r="A114" s="2" t="str">
        <f t="shared" si="3"/>
        <v>00103D88</v>
      </c>
      <c r="B114" s="2" t="s">
        <v>258</v>
      </c>
      <c r="C114" s="2" t="str">
        <f>_xlfn.CONCAT("bne 0x",A$138)</f>
        <v>bne 0x00103DE8</v>
      </c>
      <c r="D114" s="2" t="s">
        <v>203</v>
      </c>
    </row>
    <row r="115" spans="1:4">
      <c r="A115" s="34" t="str">
        <f t="shared" si="3"/>
        <v>00103D8C</v>
      </c>
      <c r="B115" s="44" t="s">
        <v>259</v>
      </c>
      <c r="C115" s="34" t="s">
        <v>179</v>
      </c>
      <c r="D115" s="34"/>
    </row>
    <row r="116" spans="1:4">
      <c r="A116" s="34" t="str">
        <f t="shared" si="3"/>
        <v>00103D90</v>
      </c>
      <c r="B116" s="44" t="s">
        <v>316</v>
      </c>
      <c r="C116" s="34" t="s">
        <v>313</v>
      </c>
      <c r="D116" s="34" t="s">
        <v>202</v>
      </c>
    </row>
    <row r="117" spans="1:4">
      <c r="A117" s="34" t="str">
        <f t="shared" si="3"/>
        <v>00103D94</v>
      </c>
      <c r="B117" s="34" t="s">
        <v>308</v>
      </c>
      <c r="C117" s="34" t="s">
        <v>309</v>
      </c>
      <c r="D117" s="34"/>
    </row>
    <row r="118" spans="1:4">
      <c r="A118" s="2" t="str">
        <f t="shared" si="3"/>
        <v>00103D98</v>
      </c>
      <c r="B118" s="2" t="s">
        <v>260</v>
      </c>
      <c r="C118" s="2" t="s">
        <v>180</v>
      </c>
      <c r="D118" s="2" t="s">
        <v>173</v>
      </c>
    </row>
    <row r="119" spans="1:4">
      <c r="A119" s="14" t="str">
        <f t="shared" si="3"/>
        <v>00103D9C</v>
      </c>
      <c r="B119" s="14" t="s">
        <v>121</v>
      </c>
      <c r="C119" s="14" t="s">
        <v>66</v>
      </c>
      <c r="D119" s="14"/>
    </row>
    <row r="120" spans="1:4">
      <c r="A120" s="14" t="str">
        <f t="shared" si="3"/>
        <v>00103DA0</v>
      </c>
      <c r="B120" s="14" t="s">
        <v>321</v>
      </c>
      <c r="C120" s="14" t="s">
        <v>317</v>
      </c>
      <c r="D120" s="14"/>
    </row>
    <row r="121" spans="1:4">
      <c r="A121" s="14" t="str">
        <f t="shared" si="3"/>
        <v>00103DA4</v>
      </c>
      <c r="B121" s="14" t="s">
        <v>14</v>
      </c>
      <c r="C121" s="14" t="s">
        <v>13</v>
      </c>
      <c r="D121" s="14"/>
    </row>
    <row r="122" spans="1:4">
      <c r="A122" s="14" t="str">
        <f t="shared" si="3"/>
        <v>00103DA8</v>
      </c>
      <c r="B122" s="14" t="s">
        <v>298</v>
      </c>
      <c r="C122" s="14" t="s">
        <v>182</v>
      </c>
      <c r="D122" s="14"/>
    </row>
    <row r="123" spans="1:4">
      <c r="A123" s="2" t="str">
        <f t="shared" si="3"/>
        <v>00103DAC</v>
      </c>
      <c r="B123" s="2" t="s">
        <v>139</v>
      </c>
      <c r="C123" s="2" t="s">
        <v>82</v>
      </c>
    </row>
    <row r="124" spans="1:4">
      <c r="A124" s="2" t="str">
        <f t="shared" si="3"/>
        <v>00103DB0</v>
      </c>
      <c r="B124" s="2" t="s">
        <v>322</v>
      </c>
      <c r="C124" s="2" t="str">
        <f>_xlfn.CONCAT("add r2, pc, 0x",DEC2HEX(HEX2DEC(A$192)-HEX2DEC(A124)-8))</f>
        <v>add r2, pc, 0x108</v>
      </c>
    </row>
    <row r="125" spans="1:4">
      <c r="A125" s="2" t="str">
        <f t="shared" si="3"/>
        <v>00103DB4</v>
      </c>
      <c r="B125" s="2" t="s">
        <v>262</v>
      </c>
      <c r="C125" s="2" t="s">
        <v>242</v>
      </c>
    </row>
    <row r="126" spans="1:4">
      <c r="A126" s="35" t="str">
        <f t="shared" si="3"/>
        <v>00103DB8</v>
      </c>
      <c r="B126" s="35" t="s">
        <v>263</v>
      </c>
      <c r="C126" s="35" t="s">
        <v>183</v>
      </c>
      <c r="D126" s="35" t="s">
        <v>186</v>
      </c>
    </row>
    <row r="127" spans="1:4">
      <c r="A127" s="35" t="str">
        <f t="shared" si="3"/>
        <v>00103DBC</v>
      </c>
      <c r="B127" s="45" t="s">
        <v>264</v>
      </c>
      <c r="C127" s="35" t="s">
        <v>184</v>
      </c>
      <c r="D127" s="35"/>
    </row>
    <row r="128" spans="1:4">
      <c r="A128" s="35" t="str">
        <f t="shared" si="3"/>
        <v>00103DC0</v>
      </c>
      <c r="B128" s="35" t="s">
        <v>299</v>
      </c>
      <c r="C128" s="35" t="s">
        <v>185</v>
      </c>
      <c r="D128" s="35"/>
    </row>
    <row r="129" spans="1:4">
      <c r="A129" s="18" t="str">
        <f t="shared" si="3"/>
        <v>00103DC4</v>
      </c>
      <c r="B129" s="18" t="s">
        <v>17</v>
      </c>
      <c r="C129" s="18" t="s">
        <v>16</v>
      </c>
      <c r="D129" s="18" t="s">
        <v>188</v>
      </c>
    </row>
    <row r="130" spans="1:4">
      <c r="A130" s="18" t="str">
        <f t="shared" si="3"/>
        <v>00103DC8</v>
      </c>
      <c r="B130" s="19" t="s">
        <v>264</v>
      </c>
      <c r="C130" s="18" t="s">
        <v>184</v>
      </c>
      <c r="D130" s="18"/>
    </row>
    <row r="131" spans="1:4">
      <c r="A131" s="18" t="str">
        <f t="shared" si="3"/>
        <v>00103DCC</v>
      </c>
      <c r="B131" s="18" t="s">
        <v>300</v>
      </c>
      <c r="C131" s="18" t="s">
        <v>187</v>
      </c>
      <c r="D131" s="18"/>
    </row>
    <row r="132" spans="1:4">
      <c r="A132" s="20" t="str">
        <f t="shared" si="3"/>
        <v>00103DD0</v>
      </c>
      <c r="B132" s="20" t="s">
        <v>265</v>
      </c>
      <c r="C132" s="20" t="s">
        <v>190</v>
      </c>
      <c r="D132" s="20" t="s">
        <v>189</v>
      </c>
    </row>
    <row r="133" spans="1:4">
      <c r="A133" s="20" t="str">
        <f t="shared" si="3"/>
        <v>00103DD4</v>
      </c>
      <c r="B133" s="21" t="s">
        <v>264</v>
      </c>
      <c r="C133" s="20" t="s">
        <v>184</v>
      </c>
      <c r="D133" s="20"/>
    </row>
    <row r="134" spans="1:4">
      <c r="A134" s="20" t="str">
        <f t="shared" si="3"/>
        <v>00103DD8</v>
      </c>
      <c r="B134" s="20" t="s">
        <v>301</v>
      </c>
      <c r="C134" s="20" t="s">
        <v>187</v>
      </c>
      <c r="D134" s="20"/>
    </row>
    <row r="135" spans="1:4">
      <c r="A135" s="36" t="str">
        <f t="shared" si="3"/>
        <v>00103DDC</v>
      </c>
      <c r="B135" s="36" t="s">
        <v>266</v>
      </c>
      <c r="C135" s="36" t="s">
        <v>191</v>
      </c>
      <c r="D135" s="36" t="s">
        <v>193</v>
      </c>
    </row>
    <row r="136" spans="1:4" ht="15.45" customHeight="1">
      <c r="A136" s="36" t="str">
        <f t="shared" si="3"/>
        <v>00103DE0</v>
      </c>
      <c r="B136" s="36" t="s">
        <v>14</v>
      </c>
      <c r="C136" s="36" t="s">
        <v>13</v>
      </c>
      <c r="D136" s="36"/>
    </row>
    <row r="137" spans="1:4">
      <c r="A137" s="36" t="str">
        <f t="shared" si="3"/>
        <v>00103DE4</v>
      </c>
      <c r="B137" s="36" t="s">
        <v>302</v>
      </c>
      <c r="C137" s="36" t="s">
        <v>194</v>
      </c>
      <c r="D137" s="36"/>
    </row>
    <row r="138" spans="1:4">
      <c r="A138" s="38" t="str">
        <f t="shared" si="3"/>
        <v>00103DE8</v>
      </c>
      <c r="B138" s="38" t="s">
        <v>14</v>
      </c>
      <c r="C138" s="38" t="s">
        <v>13</v>
      </c>
      <c r="D138" s="38" t="s">
        <v>209</v>
      </c>
    </row>
    <row r="139" spans="1:4">
      <c r="A139" s="38" t="str">
        <f t="shared" si="3"/>
        <v>00103DEC</v>
      </c>
      <c r="B139" s="38" t="s">
        <v>303</v>
      </c>
      <c r="C139" s="38" t="s">
        <v>206</v>
      </c>
      <c r="D139" s="38"/>
    </row>
    <row r="140" spans="1:4">
      <c r="A140" s="38" t="str">
        <f t="shared" si="3"/>
        <v>00103DF0</v>
      </c>
      <c r="B140" s="46" t="s">
        <v>267</v>
      </c>
      <c r="C140" s="38" t="s">
        <v>207</v>
      </c>
      <c r="D140" s="38"/>
    </row>
    <row r="141" spans="1:4">
      <c r="A141" s="38" t="str">
        <f t="shared" si="3"/>
        <v>00103DF4</v>
      </c>
      <c r="B141" s="46" t="s">
        <v>268</v>
      </c>
      <c r="C141" s="38" t="s">
        <v>208</v>
      </c>
      <c r="D141" s="38"/>
    </row>
    <row r="142" spans="1:4">
      <c r="A142" s="7" t="str">
        <f t="shared" si="3"/>
        <v>00103DF8</v>
      </c>
      <c r="B142" s="7" t="s">
        <v>17</v>
      </c>
      <c r="C142" s="7" t="s">
        <v>16</v>
      </c>
      <c r="D142" s="7"/>
    </row>
    <row r="143" spans="1:4">
      <c r="A143" s="7" t="str">
        <f t="shared" si="3"/>
        <v>00103DFC</v>
      </c>
      <c r="B143" s="7" t="s">
        <v>269</v>
      </c>
      <c r="C143" s="7" t="s">
        <v>211</v>
      </c>
      <c r="D143" s="7"/>
    </row>
    <row r="144" spans="1:4">
      <c r="A144" s="7" t="str">
        <f t="shared" si="3"/>
        <v>00103E00</v>
      </c>
      <c r="B144" s="7" t="s">
        <v>270</v>
      </c>
      <c r="C144" s="7" t="s">
        <v>214</v>
      </c>
      <c r="D144" s="7"/>
    </row>
    <row r="145" spans="1:4">
      <c r="A145" s="7" t="str">
        <f t="shared" si="3"/>
        <v>00103E04</v>
      </c>
      <c r="B145" s="7" t="s">
        <v>271</v>
      </c>
      <c r="C145" s="7" t="s">
        <v>217</v>
      </c>
      <c r="D145" s="7"/>
    </row>
    <row r="146" spans="1:4">
      <c r="A146" s="7" t="str">
        <f t="shared" si="3"/>
        <v>00103E08</v>
      </c>
      <c r="B146" s="7" t="s">
        <v>272</v>
      </c>
      <c r="C146" s="7" t="s">
        <v>210</v>
      </c>
      <c r="D146" s="7" t="s">
        <v>216</v>
      </c>
    </row>
    <row r="147" spans="1:4">
      <c r="A147" s="7" t="str">
        <f t="shared" si="3"/>
        <v>00103E0C</v>
      </c>
      <c r="B147" s="7" t="s">
        <v>273</v>
      </c>
      <c r="C147" s="7" t="s">
        <v>215</v>
      </c>
      <c r="D147" s="7"/>
    </row>
    <row r="148" spans="1:4">
      <c r="A148" s="7" t="str">
        <f t="shared" si="3"/>
        <v>00103E10</v>
      </c>
      <c r="B148" s="7" t="s">
        <v>311</v>
      </c>
      <c r="C148" s="7" t="s">
        <v>310</v>
      </c>
      <c r="D148" s="7"/>
    </row>
    <row r="149" spans="1:4">
      <c r="A149" s="7" t="str">
        <f t="shared" si="3"/>
        <v>00103E14</v>
      </c>
      <c r="B149" s="7" t="s">
        <v>274</v>
      </c>
      <c r="C149" s="7" t="s">
        <v>218</v>
      </c>
      <c r="D149" s="7"/>
    </row>
    <row r="150" spans="1:4">
      <c r="A150" s="7" t="str">
        <f t="shared" si="3"/>
        <v>00103E18</v>
      </c>
      <c r="B150" s="8" t="s">
        <v>275</v>
      </c>
      <c r="C150" s="7" t="s">
        <v>219</v>
      </c>
      <c r="D150" s="7"/>
    </row>
    <row r="151" spans="1:4">
      <c r="A151" s="39" t="str">
        <f t="shared" ref="A151:A192" si="4">DEC2HEX(HEX2DEC(A150)+4,8)</f>
        <v>00103E1C</v>
      </c>
      <c r="B151" s="39" t="s">
        <v>276</v>
      </c>
      <c r="C151" s="39" t="str">
        <f>_xlfn.CONCAT("bne 0x",A158)</f>
        <v>bne 0x00103E38</v>
      </c>
      <c r="D151" s="39" t="s">
        <v>220</v>
      </c>
    </row>
    <row r="152" spans="1:4">
      <c r="A152" s="39" t="str">
        <f t="shared" si="4"/>
        <v>00103E20</v>
      </c>
      <c r="B152" s="39" t="s">
        <v>277</v>
      </c>
      <c r="C152" s="39" t="s">
        <v>221</v>
      </c>
      <c r="D152" s="39" t="s">
        <v>222</v>
      </c>
    </row>
    <row r="153" spans="1:4">
      <c r="A153" s="39" t="str">
        <f t="shared" si="4"/>
        <v>00103E24</v>
      </c>
      <c r="B153" s="39" t="s">
        <v>273</v>
      </c>
      <c r="C153" s="39" t="s">
        <v>215</v>
      </c>
      <c r="D153" s="39"/>
    </row>
    <row r="154" spans="1:4">
      <c r="A154" s="39" t="str">
        <f t="shared" si="4"/>
        <v>00103E28</v>
      </c>
      <c r="B154" s="39" t="s">
        <v>312</v>
      </c>
      <c r="C154" s="39" t="s">
        <v>310</v>
      </c>
      <c r="D154" s="39"/>
    </row>
    <row r="155" spans="1:4">
      <c r="A155" s="40" t="str">
        <f t="shared" si="4"/>
        <v>00103E2C</v>
      </c>
      <c r="B155" s="47" t="s">
        <v>275</v>
      </c>
      <c r="C155" s="40" t="s">
        <v>219</v>
      </c>
      <c r="D155" s="40"/>
    </row>
    <row r="156" spans="1:4">
      <c r="A156" s="40" t="str">
        <f t="shared" si="4"/>
        <v>00103E30</v>
      </c>
      <c r="B156" s="47" t="s">
        <v>278</v>
      </c>
      <c r="C156" s="40" t="s">
        <v>225</v>
      </c>
      <c r="D156" s="40" t="s">
        <v>223</v>
      </c>
    </row>
    <row r="157" spans="1:4">
      <c r="A157" s="40" t="str">
        <f t="shared" si="4"/>
        <v>00103E34</v>
      </c>
      <c r="B157" s="47" t="s">
        <v>268</v>
      </c>
      <c r="C157" s="40" t="s">
        <v>208</v>
      </c>
      <c r="D157" s="40" t="s">
        <v>224</v>
      </c>
    </row>
    <row r="158" spans="1:4">
      <c r="A158" s="30" t="str">
        <f t="shared" si="4"/>
        <v>00103E38</v>
      </c>
      <c r="B158" s="30" t="s">
        <v>279</v>
      </c>
      <c r="C158" s="30" t="s">
        <v>228</v>
      </c>
      <c r="D158" s="30" t="s">
        <v>230</v>
      </c>
    </row>
    <row r="159" spans="1:4">
      <c r="A159" s="30" t="str">
        <f t="shared" si="4"/>
        <v>00103E3C</v>
      </c>
      <c r="B159" s="30" t="s">
        <v>280</v>
      </c>
      <c r="C159" s="30" t="s">
        <v>229</v>
      </c>
      <c r="D159" s="30"/>
    </row>
    <row r="160" spans="1:4">
      <c r="A160" s="30" t="str">
        <f t="shared" si="4"/>
        <v>00103E40</v>
      </c>
      <c r="B160" s="30" t="s">
        <v>304</v>
      </c>
      <c r="C160" s="30" t="s">
        <v>85</v>
      </c>
      <c r="D160" s="30"/>
    </row>
    <row r="161" spans="1:4">
      <c r="A161" s="30" t="str">
        <f t="shared" si="4"/>
        <v>00103E44</v>
      </c>
      <c r="B161" s="30" t="s">
        <v>281</v>
      </c>
      <c r="C161" s="30" t="s">
        <v>231</v>
      </c>
      <c r="D161" s="30" t="s">
        <v>232</v>
      </c>
    </row>
    <row r="162" spans="1:4">
      <c r="A162" s="30" t="str">
        <f t="shared" si="4"/>
        <v>00103E48</v>
      </c>
      <c r="B162" s="31" t="s">
        <v>282</v>
      </c>
      <c r="C162" s="30" t="s">
        <v>233</v>
      </c>
      <c r="D162" s="30" t="s">
        <v>234</v>
      </c>
    </row>
    <row r="163" spans="1:4">
      <c r="A163" s="30" t="str">
        <f t="shared" si="4"/>
        <v>00103E4C</v>
      </c>
      <c r="B163" s="30" t="s">
        <v>283</v>
      </c>
      <c r="C163" s="30" t="s">
        <v>235</v>
      </c>
      <c r="D163" s="30" t="s">
        <v>236</v>
      </c>
    </row>
    <row r="164" spans="1:4">
      <c r="A164" s="2" t="str">
        <f t="shared" si="4"/>
        <v>00103E50</v>
      </c>
      <c r="B164" s="2" t="s">
        <v>279</v>
      </c>
      <c r="C164" s="2" t="s">
        <v>228</v>
      </c>
      <c r="D164" s="2" t="s">
        <v>238</v>
      </c>
    </row>
    <row r="165" spans="1:4">
      <c r="A165" s="2" t="str">
        <f t="shared" si="4"/>
        <v>00103E54</v>
      </c>
      <c r="B165" s="2" t="s">
        <v>284</v>
      </c>
      <c r="C165" s="2" t="s">
        <v>237</v>
      </c>
    </row>
    <row r="166" spans="1:4">
      <c r="A166" s="2" t="str">
        <f t="shared" si="4"/>
        <v>00103E58</v>
      </c>
      <c r="B166" s="2" t="s">
        <v>305</v>
      </c>
      <c r="C166" s="2" t="s">
        <v>85</v>
      </c>
    </row>
    <row r="167" spans="1:4">
      <c r="A167" s="2" t="str">
        <f t="shared" si="4"/>
        <v>00103E5C</v>
      </c>
      <c r="B167" s="3" t="s">
        <v>285</v>
      </c>
      <c r="C167" s="2" t="s">
        <v>239</v>
      </c>
      <c r="D167" s="2" t="s">
        <v>240</v>
      </c>
    </row>
    <row r="168" spans="1:4">
      <c r="A168" s="2" t="str">
        <f t="shared" si="4"/>
        <v>00103E60</v>
      </c>
      <c r="B168" s="3" t="s">
        <v>306</v>
      </c>
      <c r="C168" s="2" t="s">
        <v>293</v>
      </c>
      <c r="D168" s="2" t="s">
        <v>295</v>
      </c>
    </row>
    <row r="169" spans="1:4">
      <c r="A169" s="2" t="str">
        <f t="shared" si="4"/>
        <v>00103E64</v>
      </c>
      <c r="B169" s="2" t="s">
        <v>323</v>
      </c>
      <c r="C169" s="2" t="str">
        <f>_xlfn.CONCAT("blo 0x",A190)</f>
        <v>blo 0x00103EB8</v>
      </c>
      <c r="D169" s="2" t="s">
        <v>241</v>
      </c>
    </row>
    <row r="170" spans="1:4">
      <c r="A170" s="14" t="str">
        <f t="shared" si="4"/>
        <v>00103E68</v>
      </c>
      <c r="B170" s="14" t="s">
        <v>121</v>
      </c>
      <c r="C170" s="14" t="s">
        <v>66</v>
      </c>
      <c r="D170" s="14"/>
    </row>
    <row r="171" spans="1:4">
      <c r="A171" s="14" t="str">
        <f t="shared" si="4"/>
        <v>00103E6C</v>
      </c>
      <c r="B171" s="14" t="s">
        <v>261</v>
      </c>
      <c r="C171" s="14" t="s">
        <v>181</v>
      </c>
      <c r="D171" s="14"/>
    </row>
    <row r="172" spans="1:4">
      <c r="A172" s="14" t="str">
        <f t="shared" si="4"/>
        <v>00103E70</v>
      </c>
      <c r="B172" s="14" t="s">
        <v>14</v>
      </c>
      <c r="C172" s="14" t="s">
        <v>13</v>
      </c>
      <c r="D172" s="14"/>
    </row>
    <row r="173" spans="1:4">
      <c r="A173" s="14" t="str">
        <f t="shared" si="4"/>
        <v>00103E74</v>
      </c>
      <c r="B173" s="14" t="s">
        <v>307</v>
      </c>
      <c r="C173" s="14" t="s">
        <v>182</v>
      </c>
      <c r="D173" s="14"/>
    </row>
    <row r="174" spans="1:4">
      <c r="A174" s="16" t="str">
        <f t="shared" si="4"/>
        <v>00103E78</v>
      </c>
      <c r="B174" s="17" t="s">
        <v>286</v>
      </c>
      <c r="C174" s="16" t="s">
        <v>201</v>
      </c>
      <c r="D174" s="16"/>
    </row>
    <row r="175" spans="1:4">
      <c r="A175" s="16" t="str">
        <f t="shared" si="4"/>
        <v>00103E7C</v>
      </c>
      <c r="B175" s="16" t="s">
        <v>139</v>
      </c>
      <c r="C175" s="16" t="s">
        <v>82</v>
      </c>
      <c r="D175" s="16"/>
    </row>
    <row r="176" spans="1:4">
      <c r="A176" s="16" t="str">
        <f t="shared" si="4"/>
        <v>00103E80</v>
      </c>
      <c r="B176" s="16" t="s">
        <v>287</v>
      </c>
      <c r="C176" s="16" t="s">
        <v>197</v>
      </c>
      <c r="D176" s="16" t="s">
        <v>198</v>
      </c>
    </row>
    <row r="177" spans="1:4">
      <c r="A177" s="16" t="str">
        <f t="shared" si="4"/>
        <v>00103E84</v>
      </c>
      <c r="B177" s="16" t="s">
        <v>288</v>
      </c>
      <c r="C177" s="16" t="s">
        <v>160</v>
      </c>
      <c r="D177" s="16" t="s">
        <v>200</v>
      </c>
    </row>
    <row r="178" spans="1:4">
      <c r="A178" s="16" t="str">
        <f t="shared" si="4"/>
        <v>00103E88</v>
      </c>
      <c r="B178" s="16" t="s">
        <v>289</v>
      </c>
      <c r="C178" s="16" t="s">
        <v>196</v>
      </c>
      <c r="D178" s="16" t="s">
        <v>199</v>
      </c>
    </row>
    <row r="179" spans="1:4">
      <c r="A179" s="28" t="str">
        <f t="shared" si="4"/>
        <v>00103E8C</v>
      </c>
      <c r="B179" s="28" t="s">
        <v>290</v>
      </c>
      <c r="C179" s="28" t="str">
        <f>_xlfn.CONCAT("ldrh r2, [pc, #",HEX2DEC(A$192)-HEX2DEC(A179)-8+2,"]")</f>
        <v>ldrh r2, [pc, #46]</v>
      </c>
      <c r="D179" s="28"/>
    </row>
    <row r="180" spans="1:4">
      <c r="A180" s="28" t="str">
        <f t="shared" si="4"/>
        <v>00103E90</v>
      </c>
      <c r="B180" s="28" t="s">
        <v>263</v>
      </c>
      <c r="C180" s="28" t="s">
        <v>183</v>
      </c>
      <c r="D180" s="28" t="s">
        <v>186</v>
      </c>
    </row>
    <row r="181" spans="1:4">
      <c r="A181" s="28" t="str">
        <f t="shared" si="4"/>
        <v>00103E94</v>
      </c>
      <c r="B181" s="29" t="s">
        <v>264</v>
      </c>
      <c r="C181" s="28" t="s">
        <v>184</v>
      </c>
      <c r="D181" s="28"/>
    </row>
    <row r="182" spans="1:4">
      <c r="A182" s="28" t="str">
        <f t="shared" si="4"/>
        <v>00103E98</v>
      </c>
      <c r="B182" s="28" t="s">
        <v>324</v>
      </c>
      <c r="C182" s="28" t="s">
        <v>185</v>
      </c>
      <c r="D182" s="28"/>
    </row>
    <row r="183" spans="1:4">
      <c r="A183" s="37" t="str">
        <f t="shared" si="4"/>
        <v>00103E9C</v>
      </c>
      <c r="B183" s="37" t="s">
        <v>17</v>
      </c>
      <c r="C183" s="37" t="s">
        <v>16</v>
      </c>
      <c r="D183" s="37" t="s">
        <v>188</v>
      </c>
    </row>
    <row r="184" spans="1:4">
      <c r="A184" s="37" t="str">
        <f t="shared" si="4"/>
        <v>00103EA0</v>
      </c>
      <c r="B184" s="48" t="s">
        <v>264</v>
      </c>
      <c r="C184" s="37" t="s">
        <v>184</v>
      </c>
      <c r="D184" s="37"/>
    </row>
    <row r="185" spans="1:4">
      <c r="A185" s="37" t="str">
        <f t="shared" si="4"/>
        <v>00103EA4</v>
      </c>
      <c r="B185" s="37" t="s">
        <v>325</v>
      </c>
      <c r="C185" s="37" t="s">
        <v>187</v>
      </c>
      <c r="D185" s="37"/>
    </row>
    <row r="186" spans="1:4">
      <c r="A186" s="28" t="str">
        <f t="shared" si="4"/>
        <v>00103EA8</v>
      </c>
      <c r="B186" s="28" t="s">
        <v>266</v>
      </c>
      <c r="C186" s="28" t="s">
        <v>191</v>
      </c>
      <c r="D186" s="28" t="s">
        <v>193</v>
      </c>
    </row>
    <row r="187" spans="1:4">
      <c r="A187" s="28" t="str">
        <f t="shared" si="4"/>
        <v>00103EAC</v>
      </c>
      <c r="B187" s="28" t="s">
        <v>14</v>
      </c>
      <c r="C187" s="28" t="s">
        <v>13</v>
      </c>
      <c r="D187" s="28"/>
    </row>
    <row r="188" spans="1:4" s="49" customFormat="1">
      <c r="A188" s="49" t="str">
        <f t="shared" si="4"/>
        <v>00103EB0</v>
      </c>
      <c r="B188" s="49" t="s">
        <v>291</v>
      </c>
      <c r="C188" s="2" t="str">
        <f>SUBSTITUTE(C86,"push","pop")</f>
        <v>pop {r4, r5, r6, r7, r8, r9, lr}</v>
      </c>
    </row>
    <row r="189" spans="1:4" s="49" customFormat="1">
      <c r="A189" s="49" t="str">
        <f t="shared" si="4"/>
        <v>00103EB4</v>
      </c>
      <c r="B189" s="49" t="s">
        <v>326</v>
      </c>
      <c r="C189" s="49" t="s">
        <v>192</v>
      </c>
    </row>
    <row r="190" spans="1:4">
      <c r="A190" s="2" t="str">
        <f t="shared" si="4"/>
        <v>00103EB8</v>
      </c>
      <c r="B190" s="2" t="s">
        <v>292</v>
      </c>
      <c r="C190" s="2" t="str">
        <f>SUBSTITUTE(C188,"lr","pc")</f>
        <v>pop {r4, r5, r6, r7, r8, r9, pc}</v>
      </c>
    </row>
    <row r="191" spans="1:4">
      <c r="A191" s="2" t="str">
        <f t="shared" si="4"/>
        <v>00103EBC</v>
      </c>
      <c r="B191" s="3" t="s">
        <v>45</v>
      </c>
    </row>
    <row r="192" spans="1:4">
      <c r="A192" s="2" t="str">
        <f t="shared" si="4"/>
        <v>00103EC0</v>
      </c>
      <c r="B192" s="2">
        <v>24082808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1B3F21-BF7A-4933-9E2D-BBAECBED0B18}">
  <dimension ref="A1:J16"/>
  <sheetViews>
    <sheetView workbookViewId="0">
      <selection activeCell="B5" sqref="B5"/>
    </sheetView>
  </sheetViews>
  <sheetFormatPr defaultRowHeight="14.15"/>
  <sheetData>
    <row r="1" spans="1:10">
      <c r="A1">
        <v>0</v>
      </c>
      <c r="B1">
        <v>106</v>
      </c>
      <c r="C1">
        <v>110</v>
      </c>
      <c r="D1">
        <v>100</v>
      </c>
      <c r="E1">
        <v>136</v>
      </c>
      <c r="F1">
        <v>125</v>
      </c>
      <c r="G1">
        <v>130</v>
      </c>
      <c r="I1">
        <f>SUM(B1:G1)</f>
        <v>707</v>
      </c>
      <c r="J1">
        <f>I1-MIN(C1,E1)</f>
        <v>597</v>
      </c>
    </row>
    <row r="2" spans="1:10">
      <c r="A2">
        <v>1</v>
      </c>
      <c r="B2">
        <v>116</v>
      </c>
      <c r="C2">
        <v>190</v>
      </c>
      <c r="D2">
        <v>125</v>
      </c>
      <c r="E2">
        <v>127</v>
      </c>
      <c r="F2">
        <v>125</v>
      </c>
      <c r="G2">
        <v>144</v>
      </c>
      <c r="I2">
        <f>SUM(B2:G2)</f>
        <v>827</v>
      </c>
      <c r="J2">
        <f>I2-MIN(C2,E2)</f>
        <v>700</v>
      </c>
    </row>
    <row r="3" spans="1:10">
      <c r="A3">
        <v>2</v>
      </c>
      <c r="B3">
        <v>110</v>
      </c>
      <c r="C3">
        <v>90</v>
      </c>
      <c r="D3">
        <v>130</v>
      </c>
      <c r="E3">
        <v>170</v>
      </c>
      <c r="F3">
        <v>130</v>
      </c>
      <c r="G3">
        <v>160</v>
      </c>
      <c r="I3">
        <f>SUM(B3:G3)</f>
        <v>790</v>
      </c>
      <c r="J3">
        <f>I3-MIN(C3,E3)</f>
        <v>700</v>
      </c>
    </row>
    <row r="5" spans="1:10">
      <c r="A5">
        <v>3</v>
      </c>
      <c r="B5">
        <v>181</v>
      </c>
      <c r="C5">
        <v>193</v>
      </c>
      <c r="D5">
        <v>131</v>
      </c>
      <c r="E5">
        <v>193</v>
      </c>
      <c r="F5">
        <v>131</v>
      </c>
      <c r="G5">
        <v>163</v>
      </c>
      <c r="I5">
        <f>SUM(B5:G5)</f>
        <v>992</v>
      </c>
      <c r="J5">
        <f>I5-MIN(C5,E5)</f>
        <v>799</v>
      </c>
    </row>
    <row r="7" spans="1:10">
      <c r="A7">
        <v>2</v>
      </c>
      <c r="B7">
        <f>MOD(B$5,$A7)</f>
        <v>1</v>
      </c>
      <c r="C7">
        <f t="shared" ref="C7:G14" si="0">MOD(C$5,$A7)</f>
        <v>1</v>
      </c>
      <c r="D7">
        <f t="shared" si="0"/>
        <v>1</v>
      </c>
      <c r="E7">
        <f t="shared" si="0"/>
        <v>1</v>
      </c>
      <c r="F7">
        <f t="shared" si="0"/>
        <v>1</v>
      </c>
      <c r="G7">
        <f t="shared" si="0"/>
        <v>1</v>
      </c>
    </row>
    <row r="8" spans="1:10">
      <c r="A8">
        <v>3</v>
      </c>
      <c r="B8">
        <f t="shared" ref="B8:B14" si="1">MOD(B$5,$A8)</f>
        <v>1</v>
      </c>
      <c r="C8">
        <f t="shared" si="0"/>
        <v>1</v>
      </c>
      <c r="D8">
        <f t="shared" si="0"/>
        <v>2</v>
      </c>
      <c r="E8">
        <f t="shared" si="0"/>
        <v>1</v>
      </c>
      <c r="F8">
        <f t="shared" si="0"/>
        <v>2</v>
      </c>
      <c r="G8">
        <f t="shared" si="0"/>
        <v>1</v>
      </c>
    </row>
    <row r="9" spans="1:10">
      <c r="A9">
        <v>7</v>
      </c>
      <c r="B9">
        <f t="shared" si="1"/>
        <v>6</v>
      </c>
      <c r="C9">
        <f t="shared" si="0"/>
        <v>4</v>
      </c>
      <c r="D9">
        <f t="shared" si="0"/>
        <v>5</v>
      </c>
      <c r="E9">
        <f t="shared" si="0"/>
        <v>4</v>
      </c>
      <c r="F9">
        <f t="shared" si="0"/>
        <v>5</v>
      </c>
      <c r="G9">
        <f t="shared" si="0"/>
        <v>2</v>
      </c>
    </row>
    <row r="10" spans="1:10">
      <c r="A10">
        <v>11</v>
      </c>
      <c r="B10">
        <f t="shared" si="1"/>
        <v>5</v>
      </c>
      <c r="C10">
        <f t="shared" si="0"/>
        <v>6</v>
      </c>
      <c r="D10">
        <f t="shared" si="0"/>
        <v>10</v>
      </c>
      <c r="E10">
        <f t="shared" si="0"/>
        <v>6</v>
      </c>
      <c r="F10">
        <f t="shared" si="0"/>
        <v>10</v>
      </c>
      <c r="G10">
        <f t="shared" si="0"/>
        <v>9</v>
      </c>
    </row>
    <row r="11" spans="1:10">
      <c r="A11">
        <v>13</v>
      </c>
      <c r="B11">
        <f t="shared" si="1"/>
        <v>12</v>
      </c>
      <c r="C11">
        <f t="shared" si="0"/>
        <v>11</v>
      </c>
      <c r="D11">
        <f t="shared" si="0"/>
        <v>1</v>
      </c>
      <c r="E11">
        <f t="shared" si="0"/>
        <v>11</v>
      </c>
      <c r="F11">
        <f t="shared" si="0"/>
        <v>1</v>
      </c>
      <c r="G11">
        <f t="shared" si="0"/>
        <v>7</v>
      </c>
    </row>
    <row r="12" spans="1:10">
      <c r="A12">
        <v>17</v>
      </c>
      <c r="B12">
        <f t="shared" si="1"/>
        <v>11</v>
      </c>
      <c r="C12">
        <f t="shared" si="0"/>
        <v>6</v>
      </c>
      <c r="D12">
        <f t="shared" si="0"/>
        <v>12</v>
      </c>
      <c r="E12">
        <f t="shared" si="0"/>
        <v>6</v>
      </c>
      <c r="F12">
        <f t="shared" si="0"/>
        <v>12</v>
      </c>
      <c r="G12">
        <f t="shared" si="0"/>
        <v>10</v>
      </c>
    </row>
    <row r="13" spans="1:10">
      <c r="A13">
        <v>19</v>
      </c>
      <c r="B13">
        <f t="shared" si="1"/>
        <v>10</v>
      </c>
      <c r="C13">
        <f t="shared" si="0"/>
        <v>3</v>
      </c>
      <c r="D13">
        <f t="shared" si="0"/>
        <v>17</v>
      </c>
      <c r="E13">
        <f t="shared" si="0"/>
        <v>3</v>
      </c>
      <c r="F13">
        <f t="shared" si="0"/>
        <v>17</v>
      </c>
      <c r="G13">
        <f t="shared" si="0"/>
        <v>11</v>
      </c>
    </row>
    <row r="14" spans="1:10">
      <c r="A14">
        <v>23</v>
      </c>
      <c r="B14">
        <f t="shared" si="1"/>
        <v>20</v>
      </c>
      <c r="C14">
        <f t="shared" si="0"/>
        <v>9</v>
      </c>
      <c r="D14">
        <f t="shared" si="0"/>
        <v>16</v>
      </c>
      <c r="E14">
        <f t="shared" si="0"/>
        <v>9</v>
      </c>
      <c r="F14">
        <f t="shared" si="0"/>
        <v>16</v>
      </c>
      <c r="G14">
        <f t="shared" si="0"/>
        <v>2</v>
      </c>
    </row>
    <row r="16" spans="1:10">
      <c r="B16">
        <f>MIN(B7:B14)</f>
        <v>1</v>
      </c>
      <c r="C16">
        <f t="shared" ref="C16:G16" si="2">MIN(C7:C14)</f>
        <v>1</v>
      </c>
      <c r="D16">
        <f t="shared" si="2"/>
        <v>1</v>
      </c>
      <c r="E16">
        <f t="shared" si="2"/>
        <v>1</v>
      </c>
      <c r="F16">
        <f t="shared" si="2"/>
        <v>1</v>
      </c>
      <c r="G16">
        <f t="shared" si="2"/>
        <v>1</v>
      </c>
      <c r="J16">
        <f t="shared" ref="J16" si="3">MIN(J7:J14)</f>
        <v>0</v>
      </c>
    </row>
  </sheetData>
  <conditionalFormatting sqref="B16:G16">
    <cfRule type="cellIs" dxfId="1" priority="2" operator="greaterThan">
      <formula>0</formula>
    </cfRule>
  </conditionalFormatting>
  <conditionalFormatting sqref="J16">
    <cfRule type="cellIs" dxfId="0" priority="1" operator="greater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Mewtwonite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Aryeh Baruch</dc:creator>
  <cp:lastModifiedBy>Andrew Baruch</cp:lastModifiedBy>
  <dcterms:created xsi:type="dcterms:W3CDTF">2025-05-13T06:37:01Z</dcterms:created>
  <dcterms:modified xsi:type="dcterms:W3CDTF">2026-06-03T06:37:11Z</dcterms:modified>
</cp:coreProperties>
</file>