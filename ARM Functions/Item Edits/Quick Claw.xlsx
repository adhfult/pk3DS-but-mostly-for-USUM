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44A7A7D2-FEEA-44E9-8BBE-9154938DEA71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" sheetId="12" r:id="rId1"/>
    <sheet name="original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2" l="1"/>
  <c r="A13" i="12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C29" i="12"/>
  <c r="A11" i="12"/>
  <c r="A12" i="12" s="1"/>
  <c r="A4" i="12"/>
  <c r="A5" i="12" s="1"/>
  <c r="A6" i="12" s="1"/>
  <c r="A7" i="12" s="1"/>
  <c r="B3" i="12"/>
  <c r="A2" i="12" a="1"/>
  <c r="A2" i="12" s="1"/>
  <c r="A58" i="6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31" i="6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C21" i="12" l="1"/>
  <c r="C17" i="12"/>
  <c r="A4" i="6" l="1"/>
  <c r="A5" i="6" s="1"/>
  <c r="A6" i="6" s="1"/>
  <c r="A7" i="6" s="1"/>
  <c r="B3" i="6"/>
  <c r="A2" i="6" a="1"/>
  <c r="A2" i="6" s="1"/>
  <c r="A11" i="6" l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l="1"/>
  <c r="A25" i="6" s="1"/>
  <c r="A26" i="6" s="1"/>
  <c r="A27" i="6" s="1"/>
  <c r="A28" i="6" s="1"/>
  <c r="A29" i="6" s="1"/>
  <c r="A30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<sst xmlns="http://schemas.openxmlformats.org/spreadsheetml/2006/main" count="196" uniqueCount="135">
  <si>
    <t>Address</t>
  </si>
  <si>
    <t>Hex</t>
  </si>
  <si>
    <t>instruction</t>
  </si>
  <si>
    <t>notes</t>
  </si>
  <si>
    <t>0300A0E3</t>
  </si>
  <si>
    <t>00F020E3</t>
  </si>
  <si>
    <t>mov r5, r1</t>
  </si>
  <si>
    <t>mov r0, r5</t>
  </si>
  <si>
    <t>0150A0E1</t>
  </si>
  <si>
    <t>0500A0E1</t>
  </si>
  <si>
    <t>mov r4, r0</t>
  </si>
  <si>
    <t>0040A0E1</t>
  </si>
  <si>
    <t>bx lr</t>
  </si>
  <si>
    <t>1EFF2FE1</t>
  </si>
  <si>
    <t>push {r4, r5, r6, lr}</t>
  </si>
  <si>
    <t>70402DE9</t>
  </si>
  <si>
    <t>7040BDE8</t>
  </si>
  <si>
    <t>7080BDE8</t>
  </si>
  <si>
    <t>cmp r0, 0x1</t>
  </si>
  <si>
    <t>010050E3</t>
  </si>
  <si>
    <t>0500001A</t>
  </si>
  <si>
    <t>mov r0, 0x3</t>
  </si>
  <si>
    <t>011080E2</t>
  </si>
  <si>
    <t>0610A0E1</t>
  </si>
  <si>
    <t>mov r1, r6</t>
  </si>
  <si>
    <t>mov r1, 0x1</t>
  </si>
  <si>
    <t>001080E5</t>
  </si>
  <si>
    <t>str r1, [r0]</t>
  </si>
  <si>
    <t>00009FE5</t>
  </si>
  <si>
    <t>ldr r0, [pc]</t>
  </si>
  <si>
    <t>00000000</t>
  </si>
  <si>
    <t>andeq r0, r0, r0</t>
  </si>
  <si>
    <t>mov r1, 0x3</t>
  </si>
  <si>
    <t>000BD82C</t>
  </si>
  <si>
    <t>Quick Claw Main Calc 0xF</t>
  </si>
  <si>
    <t>000BF4CC</t>
  </si>
  <si>
    <t>push {r4, r5, r6, r7, r8, lr}</t>
  </si>
  <si>
    <t>mov r7, r0</t>
  </si>
  <si>
    <t>mov r6, r2</t>
  </si>
  <si>
    <t>mov r4, r3</t>
  </si>
  <si>
    <t>cmp r0, r6</t>
  </si>
  <si>
    <t>ldr r0, [r4]</t>
  </si>
  <si>
    <t>mov r0, r7</t>
  </si>
  <si>
    <t>mov r1, r8</t>
  </si>
  <si>
    <t>strd r0, r1, [r4]</t>
  </si>
  <si>
    <t xml:space="preserve">nop </t>
  </si>
  <si>
    <t>mov r2, r6</t>
  </si>
  <si>
    <t>pop {r4, r5, r6, r7, r8, lr}</t>
  </si>
  <si>
    <t>pop {r4, r5, r6, r7, r8, pc}</t>
  </si>
  <si>
    <t>F0412DE9</t>
  </si>
  <si>
    <t>0070A0E1</t>
  </si>
  <si>
    <t>0260A0E1</t>
  </si>
  <si>
    <t>0340A0E1</t>
  </si>
  <si>
    <t>1100A0E3</t>
  </si>
  <si>
    <t>9B21FFEB</t>
  </si>
  <si>
    <t>3000001A</t>
  </si>
  <si>
    <t>0200A0E3</t>
  </si>
  <si>
    <t>9721FFEB</t>
  </si>
  <si>
    <t>060050E1</t>
  </si>
  <si>
    <t>2C00001A</t>
  </si>
  <si>
    <t>B585FEEB</t>
  </si>
  <si>
    <t>000050E3</t>
  </si>
  <si>
    <t>2700001A</t>
  </si>
  <si>
    <t>000094E5</t>
  </si>
  <si>
    <t>1100001A</t>
  </si>
  <si>
    <t>0700A0E1</t>
  </si>
  <si>
    <t>0380A0E3</t>
  </si>
  <si>
    <t>B803D0E1</t>
  </si>
  <si>
    <t>0810A0E1</t>
  </si>
  <si>
    <t>8250FFEB</t>
  </si>
  <si>
    <t>FF0000E2</t>
  </si>
  <si>
    <t>5708FFEB</t>
  </si>
  <si>
    <t>0210A0E3</t>
  </si>
  <si>
    <t>2113FFEB</t>
  </si>
  <si>
    <t>0010A003</t>
  </si>
  <si>
    <t>0000000A</t>
  </si>
  <si>
    <t>0110A0E3</t>
  </si>
  <si>
    <t>0100A0E3</t>
  </si>
  <si>
    <t>F000C4E1</t>
  </si>
  <si>
    <t>040094E5</t>
  </si>
  <si>
    <t>0F00000A</t>
  </si>
  <si>
    <t>F00DFFEB</t>
  </si>
  <si>
    <t>0900000A</t>
  </si>
  <si>
    <t>080094E5</t>
  </si>
  <si>
    <t>0600001A</t>
  </si>
  <si>
    <t>CF86FEEB</t>
  </si>
  <si>
    <t>0620A0E1</t>
  </si>
  <si>
    <t>F041BDE8</t>
  </si>
  <si>
    <t>0010A0E3</t>
  </si>
  <si>
    <t>1C2AFFEA</t>
  </si>
  <si>
    <t>F081BDE8</t>
  </si>
  <si>
    <t>mov r0, 0x11</t>
  </si>
  <si>
    <t>bne 0xbf5b4</t>
  </si>
  <si>
    <t>bl 0x60be4</t>
  </si>
  <si>
    <t>bne 0xbf568</t>
  </si>
  <si>
    <t>ldrh r0, [r0, 0x38]</t>
  </si>
  <si>
    <t>bl 0x93740</t>
  </si>
  <si>
    <t>and r0, r0, 0xff</t>
  </si>
  <si>
    <t>bl 0x8169c</t>
  </si>
  <si>
    <t>bne 0xbf55c</t>
  </si>
  <si>
    <t>bl 0x841d8</t>
  </si>
  <si>
    <t>beq 0xbf560</t>
  </si>
  <si>
    <t>beq 0xbf5b4</t>
  </si>
  <si>
    <t>bl 0x82d44</t>
  </si>
  <si>
    <t>bl 0x610e0</t>
  </si>
  <si>
    <t>b 0x89e28</t>
  </si>
  <si>
    <t>mov r0, 0x2</t>
  </si>
  <si>
    <t>cmp r0, 0x0</t>
  </si>
  <si>
    <t>mov r8, 0x3</t>
  </si>
  <si>
    <t>mov r1, 0x2</t>
  </si>
  <si>
    <t>moveq r1, 0x0</t>
  </si>
  <si>
    <t>mov r0, 0x1</t>
  </si>
  <si>
    <t>ldr r0, [r4, 0x4]</t>
  </si>
  <si>
    <t>ldr r0, [r4, 0x8]</t>
  </si>
  <si>
    <t>mov r1, 0x0</t>
  </si>
  <si>
    <t>bl 0x00087B58</t>
  </si>
  <si>
    <t>bl 0x000610E0</t>
  </si>
  <si>
    <t>Check self attacker</t>
  </si>
  <si>
    <t>mov r0, 0x1C</t>
  </si>
  <si>
    <t>Get priority</t>
  </si>
  <si>
    <t>exit if priority is 0</t>
  </si>
  <si>
    <t>add r1, r0, 0x1</t>
  </si>
  <si>
    <t>bl 0x00082D44</t>
  </si>
  <si>
    <t>increase priority by 1</t>
  </si>
  <si>
    <t>b 0x00089E28</t>
  </si>
  <si>
    <t>mov r0, r4</t>
  </si>
  <si>
    <t>Quick Claw Main Calc 0x11</t>
  </si>
  <si>
    <t>9C21FFEB</t>
  </si>
  <si>
    <t>0D00001A</t>
  </si>
  <si>
    <t>1C00A0E3</t>
  </si>
  <si>
    <t>9821FFEB</t>
  </si>
  <si>
    <t>0E0EFFEB</t>
  </si>
  <si>
    <t>0400A0E1</t>
  </si>
  <si>
    <t>F386FEEB</t>
  </si>
  <si>
    <t>402AFFEA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</si>
</sst>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quotePrefix="1" applyFont="1"/>
    <xf numFmtId="0" fontId="3" fillId="0" borderId="0" xfId="0" applyFont="1"/>
    <xf numFmtId="0" fontId="2" fillId="2" borderId="0" xfId="0" applyFont="1" applyFill="1"/>
    <xf numFmtId="0" fontId="3" fillId="2" borderId="0" xfId="0" quotePrefix="1" applyFont="1" applyFill="1"/>
    <xf numFmtId="0" fontId="3" fillId="2" borderId="0" xfId="0" applyFont="1" applyFill="1"/>
    <xf numFmtId="0" fontId="2" fillId="3" borderId="0" xfId="0" applyFont="1" applyFill="1"/>
    <xf numFmtId="0" fontId="3" fillId="3" borderId="0" xfId="0" quotePrefix="1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3" fillId="4" borderId="0" xfId="0" quotePrefix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8416-71E6-4461-8EC0-DF75C48CDE36}">
  <dimension ref="A1:F32"/>
  <sheetViews>
    <sheetView tabSelected="1" zoomScaleNormal="100" workbookViewId="0">
      <pane ySplit="1" topLeftCell="A2" activePane="bottomLeft" state="frozen"/>
      <selection pane="bottomLeft" activeCell="A9" sqref="A9"/>
    </sheetView>
  </sheetViews>
  <sheetFormatPr defaultRowHeight="15.9"/>
  <cols>
    <col min="1" max="1" width="11.5" style="2" customWidth="1"/>
    <col min="2" max="2" width="9.5" style="2" bestFit="1" customWidth="1"/>
    <col min="3" max="4" width="32.2109375" style="2" bestFit="1" customWidth="1"/>
    <col min="5" max="5" width="3.5703125" style="2" customWidth="1"/>
    <col min="6" max="6" width="12.7109375" style="2" customWidth="1"/>
    <col min="7" max="7" width="13.5703125" style="2" customWidth="1"/>
    <col min="8" max="16384" width="9.14062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1" t="str" cm="1">
        <f t="array" aca="1" ref="A2" ca="1">SUBSTITUTE(MID(CELL("filename"),SEARCH("[",CELL("filename"))+1,SEARCH("]",CELL("filename"))-SEARCH("[",CELL("filename"))-1),".xlsx","")&amp;" Call Function"</f>
        <v>Quick Claw Call Function</v>
      </c>
      <c r="B2" s="1"/>
      <c r="C2" s="1"/>
      <c r="D2" s="1"/>
    </row>
    <row r="3" spans="1:6">
      <c r="A3" s="3" t="s">
        <v>33</v>
      </c>
      <c r="B3" s="2" t="str">
        <f>_xlfn.CONCAT("0",RIGHT(C3,1),"10A0E3")</f>
        <v>0310A0E3</v>
      </c>
      <c r="C3" s="2" t="s">
        <v>32</v>
      </c>
      <c r="D3" s="1"/>
    </row>
    <row r="4" spans="1:6">
      <c r="A4" s="2" t="str">
        <f t="shared" ref="A4:A6" si="0">DEC2HEX(HEX2DEC(A3)+4,8)</f>
        <v>000BD830</v>
      </c>
      <c r="B4" s="3" t="s">
        <v>26</v>
      </c>
      <c r="C4" s="2" t="s">
        <v>27</v>
      </c>
      <c r="D4" s="1"/>
    </row>
    <row r="5" spans="1:6">
      <c r="A5" s="2" t="str">
        <f t="shared" si="0"/>
        <v>000BD834</v>
      </c>
      <c r="B5" s="2" t="s">
        <v>28</v>
      </c>
      <c r="C5" s="2" t="s">
        <v>29</v>
      </c>
      <c r="D5" s="1"/>
    </row>
    <row r="6" spans="1:6">
      <c r="A6" s="2" t="str">
        <f t="shared" si="0"/>
        <v>000BD838</v>
      </c>
      <c r="B6" s="2" t="s">
        <v>13</v>
      </c>
      <c r="C6" s="2" t="s">
        <v>12</v>
      </c>
      <c r="D6" s="1"/>
    </row>
    <row r="7" spans="1:6">
      <c r="A7" s="2" t="str">
        <f>DEC2HEX(HEX2DEC(A6)+4,8)</f>
        <v>000BD83C</v>
      </c>
      <c r="B7" s="3" t="s">
        <v>30</v>
      </c>
      <c r="C7" s="2" t="s">
        <v>31</v>
      </c>
      <c r="D7" s="1"/>
    </row>
    <row r="8" spans="1:6">
      <c r="A8" s="1"/>
      <c r="B8" s="1"/>
      <c r="C8" s="1"/>
      <c r="D8" s="1"/>
    </row>
    <row r="9" spans="1:6">
      <c r="A9" s="1" t="s">
        <v>126</v>
      </c>
      <c r="B9" s="1"/>
      <c r="C9" s="1"/>
      <c r="D9" s="1"/>
    </row>
    <row r="10" spans="1:6">
      <c r="A10" s="3" t="s">
        <v>35</v>
      </c>
      <c r="B10" s="2" t="s">
        <v>15</v>
      </c>
      <c r="C10" s="2" t="s">
        <v>14</v>
      </c>
    </row>
    <row r="11" spans="1:6">
      <c r="A11" s="2" t="str">
        <f>DEC2HEX(HEX2DEC(A10)+4,8)</f>
        <v>000BF4D0</v>
      </c>
      <c r="B11" s="2" t="s">
        <v>8</v>
      </c>
      <c r="C11" s="2" t="s">
        <v>6</v>
      </c>
    </row>
    <row r="12" spans="1:6">
      <c r="A12" s="2" t="str">
        <f t="shared" ref="A12:A32" si="1">DEC2HEX(HEX2DEC(A11)+4,8)</f>
        <v>000BF4D4</v>
      </c>
      <c r="B12" s="2" t="s">
        <v>11</v>
      </c>
      <c r="C12" s="2" t="s">
        <v>10</v>
      </c>
    </row>
    <row r="13" spans="1:6">
      <c r="A13" s="2" t="str">
        <f t="shared" si="1"/>
        <v>000BF4D8</v>
      </c>
      <c r="B13" s="2" t="s">
        <v>51</v>
      </c>
      <c r="C13" s="2" t="s">
        <v>38</v>
      </c>
    </row>
    <row r="14" spans="1:6">
      <c r="A14" s="6" t="str">
        <f t="shared" si="1"/>
        <v>000BF4DC</v>
      </c>
      <c r="B14" s="7" t="s">
        <v>4</v>
      </c>
      <c r="C14" s="8" t="s">
        <v>21</v>
      </c>
      <c r="D14" s="6" t="s">
        <v>117</v>
      </c>
      <c r="F14" s="5"/>
    </row>
    <row r="15" spans="1:6">
      <c r="A15" s="6" t="str">
        <f t="shared" si="1"/>
        <v>000BF4E0</v>
      </c>
      <c r="B15" s="7" t="s">
        <v>127</v>
      </c>
      <c r="C15" s="6" t="s">
        <v>115</v>
      </c>
      <c r="D15" s="6"/>
      <c r="F15" s="5"/>
    </row>
    <row r="16" spans="1:6">
      <c r="A16" s="6" t="str">
        <f t="shared" si="1"/>
        <v>000BF4E4</v>
      </c>
      <c r="B16" s="7" t="s">
        <v>58</v>
      </c>
      <c r="C16" s="6" t="s">
        <v>40</v>
      </c>
      <c r="D16" s="6"/>
      <c r="F16" s="5"/>
    </row>
    <row r="17" spans="1:6">
      <c r="A17" s="6" t="str">
        <f t="shared" si="1"/>
        <v>000BF4E8</v>
      </c>
      <c r="B17" s="7" t="s">
        <v>128</v>
      </c>
      <c r="C17" s="6" t="str">
        <f>_xlfn.CONCAT("bne 0x",A32)</f>
        <v>bne 0x000BF524</v>
      </c>
      <c r="D17" s="6"/>
      <c r="F17" s="5"/>
    </row>
    <row r="18" spans="1:6">
      <c r="A18" s="9" t="str">
        <f t="shared" si="1"/>
        <v>000BF4EC</v>
      </c>
      <c r="B18" s="10" t="s">
        <v>129</v>
      </c>
      <c r="C18" s="9" t="s">
        <v>118</v>
      </c>
      <c r="D18" s="9" t="s">
        <v>119</v>
      </c>
      <c r="F18" s="5"/>
    </row>
    <row r="19" spans="1:6">
      <c r="A19" s="9" t="str">
        <f t="shared" si="1"/>
        <v>000BF4F0</v>
      </c>
      <c r="B19" s="10" t="s">
        <v>130</v>
      </c>
      <c r="C19" s="9" t="s">
        <v>115</v>
      </c>
      <c r="D19" s="9"/>
      <c r="F19" s="5"/>
    </row>
    <row r="20" spans="1:6">
      <c r="A20" s="9" t="str">
        <f t="shared" si="1"/>
        <v>000BF4F4</v>
      </c>
      <c r="B20" s="11" t="s">
        <v>61</v>
      </c>
      <c r="C20" s="9" t="s">
        <v>107</v>
      </c>
      <c r="D20" s="9"/>
    </row>
    <row r="21" spans="1:6">
      <c r="A21" s="9" t="str">
        <f t="shared" si="1"/>
        <v>000BF4F8</v>
      </c>
      <c r="B21" s="11" t="s">
        <v>82</v>
      </c>
      <c r="C21" s="9" t="str">
        <f>_xlfn.CONCAT("beq 0x",A32)</f>
        <v>beq 0x000BF524</v>
      </c>
      <c r="D21" s="9" t="s">
        <v>120</v>
      </c>
    </row>
    <row r="22" spans="1:6">
      <c r="A22" s="12" t="str">
        <f t="shared" si="1"/>
        <v>000BF4FC</v>
      </c>
      <c r="B22" s="13" t="s">
        <v>22</v>
      </c>
      <c r="C22" s="12" t="s">
        <v>121</v>
      </c>
      <c r="D22" s="12" t="s">
        <v>123</v>
      </c>
    </row>
    <row r="23" spans="1:6">
      <c r="A23" s="12" t="str">
        <f t="shared" si="1"/>
        <v>000BF500</v>
      </c>
      <c r="B23" s="13" t="s">
        <v>129</v>
      </c>
      <c r="C23" s="12" t="s">
        <v>118</v>
      </c>
      <c r="D23" s="12"/>
    </row>
    <row r="24" spans="1:6">
      <c r="A24" s="12" t="str">
        <f t="shared" si="1"/>
        <v>000BF504</v>
      </c>
      <c r="B24" s="14" t="s">
        <v>131</v>
      </c>
      <c r="C24" s="15" t="s">
        <v>122</v>
      </c>
      <c r="D24" s="12"/>
      <c r="F24" s="4"/>
    </row>
    <row r="25" spans="1:6">
      <c r="A25" s="2" t="str">
        <f t="shared" si="1"/>
        <v>000BF508</v>
      </c>
      <c r="B25" s="2" t="s">
        <v>132</v>
      </c>
      <c r="C25" s="2" t="s">
        <v>125</v>
      </c>
    </row>
    <row r="26" spans="1:6">
      <c r="A26" s="2" t="str">
        <f t="shared" si="1"/>
        <v>000BF50C</v>
      </c>
      <c r="B26" s="2" t="s">
        <v>133</v>
      </c>
      <c r="C26" s="2" t="s">
        <v>116</v>
      </c>
    </row>
    <row r="27" spans="1:6">
      <c r="A27" s="2" t="str">
        <f t="shared" si="1"/>
        <v>000BF510</v>
      </c>
      <c r="B27" s="2" t="s">
        <v>86</v>
      </c>
      <c r="C27" s="2" t="s">
        <v>46</v>
      </c>
    </row>
    <row r="28" spans="1:6">
      <c r="A28" s="2" t="str">
        <f t="shared" si="1"/>
        <v>000BF514</v>
      </c>
      <c r="B28" s="2" t="s">
        <v>9</v>
      </c>
      <c r="C28" s="2" t="s">
        <v>7</v>
      </c>
    </row>
    <row r="29" spans="1:6">
      <c r="A29" s="2" t="str">
        <f t="shared" si="1"/>
        <v>000BF518</v>
      </c>
      <c r="B29" s="2" t="s">
        <v>16</v>
      </c>
      <c r="C29" s="2" t="str">
        <f>SUBSTITUTE(C10,"push","pop")</f>
        <v>pop {r4, r5, r6, lr}</v>
      </c>
    </row>
    <row r="30" spans="1:6">
      <c r="A30" s="2" t="str">
        <f t="shared" si="1"/>
        <v>000BF51C</v>
      </c>
      <c r="B30" s="2" t="s">
        <v>88</v>
      </c>
      <c r="C30" s="2" t="s">
        <v>114</v>
      </c>
    </row>
    <row r="31" spans="1:6">
      <c r="A31" s="2" t="str">
        <f t="shared" si="1"/>
        <v>000BF520</v>
      </c>
      <c r="B31" s="2" t="s">
        <v>134</v>
      </c>
      <c r="C31" s="2" t="s">
        <v>124</v>
      </c>
    </row>
    <row r="32" spans="1:6">
      <c r="A32" s="2" t="str">
        <f t="shared" si="1"/>
        <v>000BF524</v>
      </c>
      <c r="B32" s="2" t="s">
        <v>17</v>
      </c>
      <c r="C32" s="2" t="str">
        <f>SUBSTITUTE(C29,"lr","pc")</f>
        <v>pop {r4, r5, r6, pc}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F68"/>
  <sheetViews>
    <sheetView zoomScaleNormal="100" workbookViewId="0">
      <pane ySplit="1" topLeftCell="A38" activePane="bottomLeft" state="frozen"/>
      <selection pane="bottomLeft" activeCell="C61" sqref="C61"/>
    </sheetView>
  </sheetViews>
  <sheetFormatPr defaultRowHeight="15.9"/>
  <cols>
    <col min="1" max="1" width="11.5" style="2" customWidth="1"/>
    <col min="2" max="2" width="9.5" style="2" bestFit="1" customWidth="1"/>
    <col min="3" max="3" width="25.0703125" style="2" customWidth="1"/>
    <col min="4" max="4" width="15.7109375" style="2" bestFit="1" customWidth="1"/>
    <col min="5" max="5" width="3.5703125" style="2" customWidth="1"/>
    <col min="6" max="6" width="12.7109375" style="2" customWidth="1"/>
    <col min="7" max="7" width="13.5703125" style="2" customWidth="1"/>
    <col min="8" max="16384" width="9.14062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1" t="str" cm="1">
        <f t="array" aca="1" ref="A2" ca="1">SUBSTITUTE(MID(CELL("filename"),SEARCH("[",CELL("filename"))+1,SEARCH("]",CELL("filename"))-SEARCH("[",CELL("filename"))-1),".xlsx","")&amp;" Call Function"</f>
        <v>Quick Claw Call Function</v>
      </c>
      <c r="B2" s="1"/>
      <c r="C2" s="1"/>
      <c r="D2" s="1"/>
    </row>
    <row r="3" spans="1:6">
      <c r="A3" s="3" t="s">
        <v>33</v>
      </c>
      <c r="B3" s="2" t="str">
        <f>_xlfn.CONCAT("0",RIGHT(C3,1),"10A0E3")</f>
        <v>0310A0E3</v>
      </c>
      <c r="C3" s="2" t="s">
        <v>32</v>
      </c>
      <c r="D3" s="1"/>
    </row>
    <row r="4" spans="1:6">
      <c r="A4" s="2" t="str">
        <f t="shared" ref="A4:A6" si="0">DEC2HEX(HEX2DEC(A3)+4,8)</f>
        <v>000BD830</v>
      </c>
      <c r="B4" s="3" t="s">
        <v>26</v>
      </c>
      <c r="C4" s="2" t="s">
        <v>27</v>
      </c>
      <c r="D4" s="1"/>
    </row>
    <row r="5" spans="1:6">
      <c r="A5" s="2" t="str">
        <f t="shared" si="0"/>
        <v>000BD834</v>
      </c>
      <c r="B5" s="2" t="s">
        <v>28</v>
      </c>
      <c r="C5" s="2" t="s">
        <v>29</v>
      </c>
      <c r="D5" s="1"/>
    </row>
    <row r="6" spans="1:6">
      <c r="A6" s="2" t="str">
        <f t="shared" si="0"/>
        <v>000BD838</v>
      </c>
      <c r="B6" s="2" t="s">
        <v>13</v>
      </c>
      <c r="C6" s="2" t="s">
        <v>12</v>
      </c>
      <c r="D6" s="1"/>
    </row>
    <row r="7" spans="1:6">
      <c r="A7" s="2" t="str">
        <f>DEC2HEX(HEX2DEC(A6)+4,8)</f>
        <v>000BD83C</v>
      </c>
      <c r="B7" s="3" t="s">
        <v>30</v>
      </c>
      <c r="C7" s="2" t="s">
        <v>31</v>
      </c>
      <c r="D7" s="1"/>
    </row>
    <row r="8" spans="1:6">
      <c r="A8" s="1"/>
      <c r="B8" s="1"/>
      <c r="C8" s="1"/>
      <c r="D8" s="1"/>
    </row>
    <row r="9" spans="1:6">
      <c r="A9" s="1" t="s">
        <v>34</v>
      </c>
      <c r="B9" s="1"/>
      <c r="C9" s="1"/>
      <c r="D9" s="1"/>
    </row>
    <row r="10" spans="1:6">
      <c r="A10" s="3" t="s">
        <v>35</v>
      </c>
      <c r="B10" s="2" t="s">
        <v>49</v>
      </c>
      <c r="C10" s="2" t="s">
        <v>36</v>
      </c>
    </row>
    <row r="11" spans="1:6">
      <c r="A11" s="2" t="str">
        <f>DEC2HEX(HEX2DEC(A10)+4,8)</f>
        <v>000BF4D0</v>
      </c>
      <c r="B11" s="2" t="s">
        <v>8</v>
      </c>
      <c r="C11" s="2" t="s">
        <v>6</v>
      </c>
    </row>
    <row r="12" spans="1:6">
      <c r="A12" s="2" t="str">
        <f t="shared" ref="A12:A75" si="1">DEC2HEX(HEX2DEC(A11)+4,8)</f>
        <v>000BF4D4</v>
      </c>
      <c r="B12" s="2" t="s">
        <v>50</v>
      </c>
      <c r="C12" s="2" t="s">
        <v>37</v>
      </c>
    </row>
    <row r="13" spans="1:6">
      <c r="A13" s="2" t="str">
        <f t="shared" si="1"/>
        <v>000BF4D8</v>
      </c>
      <c r="B13" s="2" t="s">
        <v>51</v>
      </c>
      <c r="C13" s="2" t="s">
        <v>38</v>
      </c>
    </row>
    <row r="14" spans="1:6">
      <c r="A14" s="2" t="str">
        <f t="shared" si="1"/>
        <v>000BF4DC</v>
      </c>
      <c r="B14" s="3" t="s">
        <v>52</v>
      </c>
      <c r="C14" s="2" t="s">
        <v>39</v>
      </c>
    </row>
    <row r="15" spans="1:6">
      <c r="A15" s="2" t="str">
        <f t="shared" si="1"/>
        <v>000BF4E0</v>
      </c>
      <c r="B15" s="4" t="s">
        <v>53</v>
      </c>
      <c r="C15" s="5" t="s">
        <v>91</v>
      </c>
      <c r="F15" s="5"/>
    </row>
    <row r="16" spans="1:6">
      <c r="A16" s="2" t="str">
        <f t="shared" si="1"/>
        <v>000BF4E4</v>
      </c>
      <c r="B16" s="4" t="s">
        <v>54</v>
      </c>
      <c r="C16" s="2" t="s">
        <v>115</v>
      </c>
      <c r="F16" s="5"/>
    </row>
    <row r="17" spans="1:6">
      <c r="A17" s="2" t="str">
        <f t="shared" si="1"/>
        <v>000BF4E8</v>
      </c>
      <c r="B17" s="4" t="s">
        <v>19</v>
      </c>
      <c r="C17" s="2" t="s">
        <v>18</v>
      </c>
      <c r="F17" s="5"/>
    </row>
    <row r="18" spans="1:6">
      <c r="A18" s="2" t="str">
        <f t="shared" si="1"/>
        <v>000BF4EC</v>
      </c>
      <c r="B18" s="4" t="s">
        <v>55</v>
      </c>
      <c r="C18" s="2" t="s">
        <v>92</v>
      </c>
      <c r="F18" s="5"/>
    </row>
    <row r="19" spans="1:6">
      <c r="A19" s="2" t="str">
        <f t="shared" si="1"/>
        <v>000BF4F0</v>
      </c>
      <c r="B19" s="4" t="s">
        <v>56</v>
      </c>
      <c r="C19" s="2" t="s">
        <v>106</v>
      </c>
      <c r="F19" s="5"/>
    </row>
    <row r="20" spans="1:6">
      <c r="A20" s="2" t="str">
        <f t="shared" si="1"/>
        <v>000BF4F4</v>
      </c>
      <c r="B20" s="4" t="s">
        <v>57</v>
      </c>
      <c r="C20" s="2" t="s">
        <v>115</v>
      </c>
      <c r="F20" s="5"/>
    </row>
    <row r="21" spans="1:6">
      <c r="A21" s="2" t="str">
        <f t="shared" si="1"/>
        <v>000BF4F8</v>
      </c>
      <c r="B21" s="3" t="s">
        <v>58</v>
      </c>
      <c r="C21" s="2" t="s">
        <v>40</v>
      </c>
    </row>
    <row r="22" spans="1:6">
      <c r="A22" s="2" t="str">
        <f t="shared" si="1"/>
        <v>000BF4FC</v>
      </c>
      <c r="B22" s="3" t="s">
        <v>59</v>
      </c>
      <c r="C22" s="2" t="s">
        <v>92</v>
      </c>
    </row>
    <row r="23" spans="1:6">
      <c r="A23" s="2" t="str">
        <f t="shared" si="1"/>
        <v>000BF500</v>
      </c>
      <c r="B23" s="3" t="s">
        <v>23</v>
      </c>
      <c r="C23" s="2" t="s">
        <v>24</v>
      </c>
    </row>
    <row r="24" spans="1:6">
      <c r="A24" s="2" t="str">
        <f t="shared" si="1"/>
        <v>000BF504</v>
      </c>
      <c r="B24" s="3" t="s">
        <v>9</v>
      </c>
      <c r="C24" s="2" t="s">
        <v>7</v>
      </c>
    </row>
    <row r="25" spans="1:6">
      <c r="A25" s="2" t="str">
        <f t="shared" si="1"/>
        <v>000BF508</v>
      </c>
      <c r="B25" s="3" t="s">
        <v>60</v>
      </c>
      <c r="C25" s="5" t="s">
        <v>93</v>
      </c>
    </row>
    <row r="26" spans="1:6">
      <c r="A26" s="2" t="str">
        <f t="shared" si="1"/>
        <v>000BF50C</v>
      </c>
      <c r="B26" s="4" t="s">
        <v>61</v>
      </c>
      <c r="C26" s="2" t="s">
        <v>107</v>
      </c>
      <c r="F26" s="4"/>
    </row>
    <row r="27" spans="1:6">
      <c r="A27" s="2" t="str">
        <f t="shared" si="1"/>
        <v>000BF510</v>
      </c>
      <c r="B27" s="4" t="s">
        <v>62</v>
      </c>
      <c r="C27" s="2" t="s">
        <v>92</v>
      </c>
      <c r="F27" s="4"/>
    </row>
    <row r="28" spans="1:6">
      <c r="A28" s="2" t="str">
        <f t="shared" si="1"/>
        <v>000BF514</v>
      </c>
      <c r="B28" s="4" t="s">
        <v>63</v>
      </c>
      <c r="C28" s="2" t="s">
        <v>41</v>
      </c>
      <c r="F28" s="4"/>
    </row>
    <row r="29" spans="1:6">
      <c r="A29" s="2" t="str">
        <f t="shared" si="1"/>
        <v>000BF518</v>
      </c>
      <c r="B29" s="4" t="s">
        <v>61</v>
      </c>
      <c r="C29" s="5" t="s">
        <v>107</v>
      </c>
      <c r="F29" s="4"/>
    </row>
    <row r="30" spans="1:6">
      <c r="A30" s="2" t="str">
        <f t="shared" si="1"/>
        <v>000BF51C</v>
      </c>
      <c r="B30" s="4" t="s">
        <v>64</v>
      </c>
      <c r="C30" s="2" t="s">
        <v>94</v>
      </c>
      <c r="F30" s="4"/>
    </row>
    <row r="31" spans="1:6">
      <c r="A31" s="2" t="str">
        <f t="shared" si="1"/>
        <v>000BF520</v>
      </c>
      <c r="B31" s="2" t="s">
        <v>65</v>
      </c>
      <c r="C31" s="2" t="s">
        <v>42</v>
      </c>
    </row>
    <row r="32" spans="1:6">
      <c r="A32" s="2" t="str">
        <f t="shared" si="1"/>
        <v>000BF524</v>
      </c>
      <c r="B32" s="2" t="s">
        <v>66</v>
      </c>
      <c r="C32" s="2" t="s">
        <v>108</v>
      </c>
    </row>
    <row r="33" spans="1:3">
      <c r="A33" s="2" t="str">
        <f t="shared" si="1"/>
        <v>000BF528</v>
      </c>
      <c r="B33" s="2" t="s">
        <v>67</v>
      </c>
      <c r="C33" s="2" t="s">
        <v>95</v>
      </c>
    </row>
    <row r="34" spans="1:3">
      <c r="A34" s="2" t="str">
        <f t="shared" si="1"/>
        <v>000BF52C</v>
      </c>
      <c r="B34" s="2" t="s">
        <v>68</v>
      </c>
      <c r="C34" s="2" t="s">
        <v>43</v>
      </c>
    </row>
    <row r="35" spans="1:3">
      <c r="A35" s="2" t="str">
        <f t="shared" si="1"/>
        <v>000BF530</v>
      </c>
      <c r="B35" s="2" t="s">
        <v>69</v>
      </c>
      <c r="C35" s="2" t="s">
        <v>96</v>
      </c>
    </row>
    <row r="36" spans="1:3">
      <c r="A36" s="2" t="str">
        <f t="shared" si="1"/>
        <v>000BF534</v>
      </c>
      <c r="B36" s="2" t="s">
        <v>70</v>
      </c>
      <c r="C36" s="2" t="s">
        <v>97</v>
      </c>
    </row>
    <row r="37" spans="1:3">
      <c r="A37" s="2" t="str">
        <f t="shared" si="1"/>
        <v>000BF538</v>
      </c>
      <c r="B37" s="2" t="s">
        <v>71</v>
      </c>
      <c r="C37" s="2" t="s">
        <v>98</v>
      </c>
    </row>
    <row r="38" spans="1:3">
      <c r="A38" s="2" t="str">
        <f t="shared" si="1"/>
        <v>000BF53C</v>
      </c>
      <c r="B38" s="3" t="s">
        <v>61</v>
      </c>
      <c r="C38" s="2" t="s">
        <v>107</v>
      </c>
    </row>
    <row r="39" spans="1:3">
      <c r="A39" s="2" t="str">
        <f t="shared" si="1"/>
        <v>000BF540</v>
      </c>
      <c r="B39" s="2" t="s">
        <v>20</v>
      </c>
      <c r="C39" s="2" t="s">
        <v>99</v>
      </c>
    </row>
    <row r="40" spans="1:3">
      <c r="A40" s="2" t="str">
        <f t="shared" si="1"/>
        <v>000BF544</v>
      </c>
      <c r="B40" s="2" t="s">
        <v>72</v>
      </c>
      <c r="C40" s="2" t="s">
        <v>109</v>
      </c>
    </row>
    <row r="41" spans="1:3">
      <c r="A41" s="2" t="str">
        <f t="shared" si="1"/>
        <v>000BF548</v>
      </c>
      <c r="B41" s="2" t="s">
        <v>9</v>
      </c>
      <c r="C41" s="2" t="s">
        <v>7</v>
      </c>
    </row>
    <row r="42" spans="1:3">
      <c r="A42" s="2" t="str">
        <f t="shared" si="1"/>
        <v>000BF54C</v>
      </c>
      <c r="B42" s="2" t="s">
        <v>73</v>
      </c>
      <c r="C42" s="2" t="s">
        <v>100</v>
      </c>
    </row>
    <row r="43" spans="1:3">
      <c r="A43" s="2" t="str">
        <f t="shared" si="1"/>
        <v>000BF550</v>
      </c>
      <c r="B43" s="3" t="s">
        <v>61</v>
      </c>
      <c r="C43" s="2" t="s">
        <v>107</v>
      </c>
    </row>
    <row r="44" spans="1:3">
      <c r="A44" s="2" t="str">
        <f t="shared" si="1"/>
        <v>000BF554</v>
      </c>
      <c r="B44" s="2" t="s">
        <v>74</v>
      </c>
      <c r="C44" s="2" t="s">
        <v>110</v>
      </c>
    </row>
    <row r="45" spans="1:3">
      <c r="A45" s="2" t="str">
        <f t="shared" si="1"/>
        <v>000BF558</v>
      </c>
      <c r="B45" s="2" t="s">
        <v>75</v>
      </c>
      <c r="C45" s="2" t="s">
        <v>101</v>
      </c>
    </row>
    <row r="46" spans="1:3">
      <c r="A46" s="2" t="str">
        <f t="shared" si="1"/>
        <v>000BF55C</v>
      </c>
      <c r="B46" s="2" t="s">
        <v>76</v>
      </c>
      <c r="C46" s="2" t="s">
        <v>25</v>
      </c>
    </row>
    <row r="47" spans="1:3">
      <c r="A47" s="2" t="str">
        <f t="shared" si="1"/>
        <v>000BF560</v>
      </c>
      <c r="B47" s="2" t="s">
        <v>77</v>
      </c>
      <c r="C47" s="2" t="s">
        <v>111</v>
      </c>
    </row>
    <row r="48" spans="1:3">
      <c r="A48" s="2" t="str">
        <f t="shared" si="1"/>
        <v>000BF564</v>
      </c>
      <c r="B48" s="2" t="s">
        <v>78</v>
      </c>
      <c r="C48" s="2" t="s">
        <v>44</v>
      </c>
    </row>
    <row r="49" spans="1:3">
      <c r="A49" s="2" t="str">
        <f t="shared" si="1"/>
        <v>000BF568</v>
      </c>
      <c r="B49" s="3" t="s">
        <v>79</v>
      </c>
      <c r="C49" s="2" t="s">
        <v>112</v>
      </c>
    </row>
    <row r="50" spans="1:3">
      <c r="A50" s="2" t="str">
        <f t="shared" si="1"/>
        <v>000BF56C</v>
      </c>
      <c r="B50" s="3" t="s">
        <v>61</v>
      </c>
      <c r="C50" s="2" t="s">
        <v>107</v>
      </c>
    </row>
    <row r="51" spans="1:3">
      <c r="A51" s="2" t="str">
        <f t="shared" si="1"/>
        <v>000BF570</v>
      </c>
      <c r="B51" s="2" t="s">
        <v>80</v>
      </c>
      <c r="C51" s="2" t="s">
        <v>102</v>
      </c>
    </row>
    <row r="52" spans="1:3">
      <c r="A52" s="2" t="str">
        <f t="shared" si="1"/>
        <v>000BF574</v>
      </c>
      <c r="B52" s="2" t="s">
        <v>72</v>
      </c>
      <c r="C52" s="2" t="s">
        <v>109</v>
      </c>
    </row>
    <row r="53" spans="1:3">
      <c r="A53" s="2" t="str">
        <f t="shared" si="1"/>
        <v>000BF578</v>
      </c>
      <c r="B53" s="2" t="s">
        <v>53</v>
      </c>
      <c r="C53" s="2" t="s">
        <v>91</v>
      </c>
    </row>
    <row r="54" spans="1:3">
      <c r="A54" s="2" t="str">
        <f t="shared" si="1"/>
        <v>000BF57C</v>
      </c>
      <c r="B54" s="2" t="s">
        <v>81</v>
      </c>
      <c r="C54" s="2" t="s">
        <v>103</v>
      </c>
    </row>
    <row r="55" spans="1:3">
      <c r="A55" s="2" t="str">
        <f t="shared" si="1"/>
        <v>000BF580</v>
      </c>
      <c r="B55" s="3" t="s">
        <v>61</v>
      </c>
      <c r="C55" s="2" t="s">
        <v>107</v>
      </c>
    </row>
    <row r="56" spans="1:3">
      <c r="A56" s="2" t="str">
        <f t="shared" si="1"/>
        <v>000BF584</v>
      </c>
      <c r="B56" s="2" t="s">
        <v>5</v>
      </c>
      <c r="C56" s="2" t="s">
        <v>45</v>
      </c>
    </row>
    <row r="57" spans="1:3">
      <c r="A57" s="2" t="str">
        <f t="shared" si="1"/>
        <v>000BF588</v>
      </c>
      <c r="B57" s="2" t="s">
        <v>82</v>
      </c>
      <c r="C57" s="2" t="s">
        <v>102</v>
      </c>
    </row>
    <row r="58" spans="1:3">
      <c r="A58" s="2" t="str">
        <f t="shared" si="1"/>
        <v>000BF58C</v>
      </c>
      <c r="B58" s="3" t="s">
        <v>83</v>
      </c>
      <c r="C58" s="2" t="s">
        <v>113</v>
      </c>
    </row>
    <row r="59" spans="1:3">
      <c r="A59" s="2" t="str">
        <f t="shared" si="1"/>
        <v>000BF590</v>
      </c>
      <c r="B59" s="3" t="s">
        <v>61</v>
      </c>
      <c r="C59" s="2" t="s">
        <v>107</v>
      </c>
    </row>
    <row r="60" spans="1:3">
      <c r="A60" s="2" t="str">
        <f t="shared" si="1"/>
        <v>000BF594</v>
      </c>
      <c r="B60" s="2" t="s">
        <v>84</v>
      </c>
      <c r="C60" s="2" t="s">
        <v>92</v>
      </c>
    </row>
    <row r="61" spans="1:3">
      <c r="A61" s="2" t="str">
        <f t="shared" si="1"/>
        <v>000BF598</v>
      </c>
      <c r="B61" s="2" t="s">
        <v>65</v>
      </c>
      <c r="C61" s="2" t="s">
        <v>42</v>
      </c>
    </row>
    <row r="62" spans="1:3">
      <c r="A62" s="2" t="str">
        <f t="shared" si="1"/>
        <v>000BF59C</v>
      </c>
      <c r="B62" s="2" t="s">
        <v>85</v>
      </c>
      <c r="C62" s="2" t="s">
        <v>104</v>
      </c>
    </row>
    <row r="63" spans="1:3">
      <c r="A63" s="2" t="str">
        <f t="shared" si="1"/>
        <v>000BF5A0</v>
      </c>
      <c r="B63" s="2" t="s">
        <v>86</v>
      </c>
      <c r="C63" s="2" t="s">
        <v>46</v>
      </c>
    </row>
    <row r="64" spans="1:3">
      <c r="A64" s="2" t="str">
        <f t="shared" si="1"/>
        <v>000BF5A4</v>
      </c>
      <c r="B64" s="2" t="s">
        <v>9</v>
      </c>
      <c r="C64" s="2" t="s">
        <v>7</v>
      </c>
    </row>
    <row r="65" spans="1:3">
      <c r="A65" s="2" t="str">
        <f t="shared" si="1"/>
        <v>000BF5A8</v>
      </c>
      <c r="B65" s="2" t="s">
        <v>87</v>
      </c>
      <c r="C65" s="2" t="s">
        <v>47</v>
      </c>
    </row>
    <row r="66" spans="1:3">
      <c r="A66" s="2" t="str">
        <f t="shared" si="1"/>
        <v>000BF5AC</v>
      </c>
      <c r="B66" s="2" t="s">
        <v>88</v>
      </c>
      <c r="C66" s="2" t="s">
        <v>114</v>
      </c>
    </row>
    <row r="67" spans="1:3">
      <c r="A67" s="2" t="str">
        <f t="shared" si="1"/>
        <v>000BF5B0</v>
      </c>
      <c r="B67" s="2" t="s">
        <v>89</v>
      </c>
      <c r="C67" s="2" t="s">
        <v>105</v>
      </c>
    </row>
    <row r="68" spans="1:3">
      <c r="A68" s="2" t="str">
        <f t="shared" si="1"/>
        <v>000BF5B4</v>
      </c>
      <c r="B68" s="2" t="s">
        <v>90</v>
      </c>
      <c r="C68" s="2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2026-05-08T22:45:09Z</dcterms:modified>
</cp:coreProperties>
</file>