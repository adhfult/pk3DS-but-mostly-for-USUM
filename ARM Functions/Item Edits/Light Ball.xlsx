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A047CAE-FB4F-4AD0-953C-B8CBEF1EDF68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23" i="1" l="1"/>
  <c r="C27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C22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<sst xmlns="http://schemas.openxmlformats.org/spreadsheetml/2006/main" count="43" uniqueCount="43">
  <si>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</si>
  <si>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</si>
  <si>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</si>
  <si>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</si>
  <si>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</si>
  <si>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</si>
  <si>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</si>
  <si>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</si>
  <si>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</si>
  <si>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</si>
  <si>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</si>
  <si>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</si>
  <si>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</si>
  <si>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0300001A</t>
  </si>
  <si>
    <t>0100A0E1</t>
  </si>
  <si>
    <t>mov r0, r1</t>
  </si>
  <si>
    <t>Get pointer to self</t>
  </si>
  <si>
    <t>0210A0E1</t>
  </si>
  <si>
    <t>mov r1, r2</t>
  </si>
  <si>
    <t>Check mega</t>
  </si>
  <si>
    <t>push {r1, r2, lr}</t>
  </si>
  <si>
    <t>cmp r9, 0x4F</t>
  </si>
  <si>
    <t>06402DE9</t>
  </si>
  <si>
    <t>0640BDE8</t>
  </si>
  <si>
    <t>4F0059E3</t>
  </si>
  <si>
    <t>0680BDE8</t>
  </si>
  <si>
    <t>Ignore Ground Immunity to Electric at cost of secondary effects If Pikachu 0x4E/0x4F/0x67/0x7B/0x83/0x9D</t>
  </si>
  <si>
    <t>mov r1, 0x8</t>
  </si>
  <si>
    <t>Light Ball 0x8B (no idea what this does)</t>
  </si>
  <si>
    <t>000BCA74</t>
  </si>
  <si>
    <t>Light Ball 0x4A</t>
  </si>
  <si>
    <t>000B95CC</t>
  </si>
  <si>
    <t>bls 0x000BA370</t>
  </si>
  <si>
    <t>bhi 0x000DE6B8</t>
  </si>
  <si>
    <t>ldr r0, [r0, 0xC]</t>
  </si>
  <si>
    <t>cmp r0, 0x19</t>
  </si>
  <si>
    <t>000BBFC8</t>
  </si>
  <si>
    <t>00101328</t>
  </si>
  <si>
    <t>D743FEEB</t>
  </si>
  <si>
    <t>0C0090E5</t>
  </si>
  <si>
    <t>190050E3</t>
  </si>
  <si>
    <t>07E4FE9A</t>
  </si>
  <si>
    <t>D874FF8A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</si>
</sst>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Light Ball Call Function</v>
      </c>
      <c r="B2" s="1"/>
      <c r="C2" s="1"/>
      <c r="D2" s="1"/>
    </row>
    <row r="3" spans="1:4">
      <c r="A3" s="3" t="s">
        <v>36</v>
      </c>
      <c r="B3" s="2" t="str">
        <f>_xlfn.CONCAT("0",RIGHT(C3,1),"10A0E3")</f>
        <v>0810A0E3</v>
      </c>
      <c r="C3" s="2" t="s">
        <v>27</v>
      </c>
      <c r="D3" s="1"/>
    </row>
    <row r="4" spans="1:4">
      <c r="A4" s="2" t="str">
        <f t="shared" ref="A4:A6" si="0">DEC2HEX(HEX2DEC(A3)+4,8)</f>
        <v>000BBFCC</v>
      </c>
      <c r="B4" s="3" t="s">
        <v>4</v>
      </c>
      <c r="C4" s="2" t="s">
        <v>5</v>
      </c>
      <c r="D4" s="1"/>
    </row>
    <row r="5" spans="1:4">
      <c r="A5" s="2" t="str">
        <f t="shared" si="0"/>
        <v>000BBFD0</v>
      </c>
      <c r="B5" s="2" t="s">
        <v>6</v>
      </c>
      <c r="C5" s="2" t="s">
        <v>7</v>
      </c>
      <c r="D5" s="1"/>
    </row>
    <row r="6" spans="1:4">
      <c r="A6" s="2" t="str">
        <f t="shared" si="0"/>
        <v>000BBFD4</v>
      </c>
      <c r="B6" s="2" t="s">
        <v>8</v>
      </c>
      <c r="C6" s="2" t="s">
        <v>9</v>
      </c>
      <c r="D6" s="1"/>
    </row>
    <row r="7" spans="1:4">
      <c r="A7" s="2" t="str">
        <f>DEC2HEX(HEX2DEC(A6)+4,8)</f>
        <v>000BBFD8</v>
      </c>
      <c r="B7" s="3" t="s">
        <v>10</v>
      </c>
      <c r="C7" s="2" t="s">
        <v>11</v>
      </c>
      <c r="D7" s="1"/>
    </row>
    <row r="9" spans="1:4">
      <c r="A9" s="1" t="s">
        <v>30</v>
      </c>
    </row>
    <row r="10" spans="1:4">
      <c r="A10" s="2" t="s">
        <v>31</v>
      </c>
    </row>
    <row r="12" spans="1:4">
      <c r="A12" s="1" t="s">
        <v>28</v>
      </c>
    </row>
    <row r="13" spans="1:4">
      <c r="A13" s="2" t="s">
        <v>29</v>
      </c>
      <c r="C13" s="2" t="str">
        <f>SUBSTITUTE(C8,"lr","pc")</f>
        <v/>
      </c>
    </row>
    <row r="15" spans="1:4">
      <c r="A15" s="1" t="s">
        <v>26</v>
      </c>
    </row>
    <row r="16" spans="1:4">
      <c r="A16" s="3" t="s">
        <v>37</v>
      </c>
      <c r="B16" s="2" t="s">
        <v>22</v>
      </c>
      <c r="C16" s="2" t="s">
        <v>20</v>
      </c>
    </row>
    <row r="17" spans="1:4">
      <c r="A17" s="5" t="str">
        <f t="shared" ref="A17:A27" si="1">DEC2HEX(HEX2DEC(A16)+4,8)</f>
        <v>0010132C</v>
      </c>
      <c r="B17" s="5" t="s">
        <v>14</v>
      </c>
      <c r="C17" s="5" t="s">
        <v>15</v>
      </c>
      <c r="D17" s="5" t="s">
        <v>16</v>
      </c>
    </row>
    <row r="18" spans="1:4">
      <c r="A18" s="5" t="str">
        <f t="shared" si="1"/>
        <v>00101330</v>
      </c>
      <c r="B18" s="5" t="s">
        <v>17</v>
      </c>
      <c r="C18" s="5" t="s">
        <v>18</v>
      </c>
      <c r="D18" s="5"/>
    </row>
    <row r="19" spans="1:4">
      <c r="A19" s="5" t="str">
        <f t="shared" si="1"/>
        <v>00101334</v>
      </c>
      <c r="B19" s="6" t="s">
        <v>38</v>
      </c>
      <c r="C19" s="5" t="s">
        <v>12</v>
      </c>
      <c r="D19" s="5"/>
    </row>
    <row r="20" spans="1:4">
      <c r="A20" s="4" t="str">
        <f t="shared" si="1"/>
        <v>00101338</v>
      </c>
      <c r="B20" s="7" t="s">
        <v>39</v>
      </c>
      <c r="C20" s="4" t="s">
        <v>34</v>
      </c>
      <c r="D20" s="4" t="s">
        <v>19</v>
      </c>
    </row>
    <row r="21" spans="1:4">
      <c r="A21" s="4" t="str">
        <f t="shared" si="1"/>
        <v>0010133C</v>
      </c>
      <c r="B21" s="7" t="s">
        <v>40</v>
      </c>
      <c r="C21" s="4" t="s">
        <v>35</v>
      </c>
      <c r="D21" s="4"/>
    </row>
    <row r="22" spans="1:4">
      <c r="A22" s="4" t="str">
        <f t="shared" si="1"/>
        <v>00101340</v>
      </c>
      <c r="B22" s="7" t="s">
        <v>13</v>
      </c>
      <c r="C22" s="4" t="str">
        <f>_xlfn.CONCAT("bne 0x",A27)</f>
        <v>bne 0x00101354</v>
      </c>
      <c r="D22" s="4"/>
    </row>
    <row r="23" spans="1:4">
      <c r="A23" s="8" t="str">
        <f t="shared" si="1"/>
        <v>00101344</v>
      </c>
      <c r="B23" s="9" t="s">
        <v>23</v>
      </c>
      <c r="C23" s="8" t="str">
        <f>SUBSTITUTE(C16,"push","pop")</f>
        <v>pop {r1, r2, lr}</v>
      </c>
      <c r="D23" s="8"/>
    </row>
    <row r="24" spans="1:4">
      <c r="A24" s="8" t="str">
        <f t="shared" si="1"/>
        <v>00101348</v>
      </c>
      <c r="B24" s="9" t="s">
        <v>24</v>
      </c>
      <c r="C24" s="8" t="s">
        <v>21</v>
      </c>
      <c r="D24" s="8"/>
    </row>
    <row r="25" spans="1:4">
      <c r="A25" s="8" t="str">
        <f t="shared" si="1"/>
        <v>0010134C</v>
      </c>
      <c r="B25" s="9" t="s">
        <v>41</v>
      </c>
      <c r="C25" s="8" t="s">
        <v>32</v>
      </c>
      <c r="D25" s="8"/>
    </row>
    <row r="26" spans="1:4">
      <c r="A26" s="8" t="str">
        <f t="shared" si="1"/>
        <v>00101350</v>
      </c>
      <c r="B26" s="9" t="s">
        <v>42</v>
      </c>
      <c r="C26" s="8" t="s">
        <v>33</v>
      </c>
      <c r="D26" s="8"/>
    </row>
    <row r="27" spans="1:4">
      <c r="A27" s="2" t="str">
        <f t="shared" si="1"/>
        <v>00101354</v>
      </c>
      <c r="B27" s="2" t="s">
        <v>25</v>
      </c>
      <c r="C27" s="2" t="str">
        <f>SUBSTITUTE(C23,"lr","pc")</f>
        <v>pop {r1, r2,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2026-06-11T07:52:51Z</dcterms:modified>
</cp:coreProperties>
</file>