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444DCB0-CD43-4345-A8BD-2910DF9AD201}" xr6:coauthVersionLast="47" xr6:coauthVersionMax="47" xr10:uidLastSave="{00000000-0000-0000-0000-000000000000}"/>
  <bookViews>
    <workbookView xWindow="3926" yWindow="3531" windowWidth="24685" windowHeight="12832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5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<sst xmlns="http://schemas.openxmlformats.org/spreadsheetml/2006/main" count="27" uniqueCount="27">
  <si>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</si>
  <si>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</si>
  <si>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</si>
  <si>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</si>
  <si>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</si>
  <si>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</si>
  <si>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</si>
  <si>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</si>
  <si>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</si>
  <si>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</si>
  <si>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</si>
  <si>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</si>
  <si>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 0x00102910</t>
  </si>
  <si>
    <t>Immune to Dragon if Mega/Ultra/Primal 0x3A</t>
  </si>
  <si>
    <t>mov r0, 0xF</t>
  </si>
  <si>
    <t>Dragon</t>
  </si>
  <si>
    <t>mov r0, 0x11</t>
  </si>
  <si>
    <t>000DE834</t>
  </si>
  <si>
    <t>000FDC20</t>
  </si>
  <si>
    <t>000FDC28</t>
  </si>
  <si>
    <t>0F00A0E3</t>
  </si>
  <si>
    <t>391300EA</t>
  </si>
  <si>
    <t>1100A0E3</t>
  </si>
  <si>
    <t>Add Fairy if Mega/Ultra/Primal 0x4E/0x4F/0x54/0x6A/0x6D/0xA7</t>
  </si>
  <si>
    <t>mov r1, 0x7</t>
  </si>
  <si>
    <t>751500EA</t>
  </si>
  <si>
    <t>b 0x00103208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</si>
</sst>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5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Chandelurite Call Function</v>
      </c>
      <c r="B2" s="1"/>
      <c r="C2" s="1"/>
      <c r="D2" s="1"/>
    </row>
    <row r="3" spans="1:4">
      <c r="A3" s="3" t="s">
        <v>17</v>
      </c>
      <c r="B3" s="2" t="str">
        <f>_xlfn.CONCAT("0",RIGHT(C3,1),"10A0E3")</f>
        <v>0710A0E3</v>
      </c>
      <c r="C3" s="2" t="s">
        <v>24</v>
      </c>
      <c r="D3" s="1"/>
    </row>
    <row r="4" spans="1:4">
      <c r="A4" s="2" t="str">
        <f t="shared" ref="A4:A6" si="0">DEC2HEX(HEX2DEC(A3)+4,8)</f>
        <v>000DE838</v>
      </c>
      <c r="B4" s="3" t="s">
        <v>4</v>
      </c>
      <c r="C4" s="2" t="s">
        <v>5</v>
      </c>
      <c r="D4" s="1"/>
    </row>
    <row r="5" spans="1:4">
      <c r="A5" s="2" t="str">
        <f t="shared" si="0"/>
        <v>000DE83C</v>
      </c>
      <c r="B5" s="2" t="s">
        <v>6</v>
      </c>
      <c r="C5" s="2" t="s">
        <v>7</v>
      </c>
      <c r="D5" s="1"/>
    </row>
    <row r="6" spans="1:4">
      <c r="A6" s="2" t="str">
        <f t="shared" si="0"/>
        <v>000DE840</v>
      </c>
      <c r="B6" s="2" t="s">
        <v>8</v>
      </c>
      <c r="C6" s="2" t="s">
        <v>9</v>
      </c>
      <c r="D6" s="1"/>
    </row>
    <row r="7" spans="1:4">
      <c r="A7" s="2" t="str">
        <f>DEC2HEX(HEX2DEC(A6)+4,8)</f>
        <v>000DE844</v>
      </c>
      <c r="B7" s="3" t="s">
        <v>10</v>
      </c>
      <c r="C7" s="2" t="s">
        <v>11</v>
      </c>
      <c r="D7" s="1"/>
    </row>
    <row r="9" spans="1:4">
      <c r="A9" s="1" t="s">
        <v>13</v>
      </c>
    </row>
    <row r="10" spans="1:4">
      <c r="A10" s="3" t="s">
        <v>18</v>
      </c>
      <c r="B10" s="2" t="s">
        <v>20</v>
      </c>
      <c r="C10" s="2" t="s">
        <v>14</v>
      </c>
      <c r="D10" s="2" t="s">
        <v>15</v>
      </c>
    </row>
    <row r="11" spans="1:4">
      <c r="A11" s="2" t="str">
        <f t="shared" ref="A11" si="1">DEC2HEX(HEX2DEC(A10)+4,8)</f>
        <v>000FDC24</v>
      </c>
      <c r="B11" s="2" t="s">
        <v>21</v>
      </c>
      <c r="C11" s="2" t="s">
        <v>12</v>
      </c>
    </row>
    <row r="13" spans="1:4">
      <c r="A13" s="1" t="s">
        <v>23</v>
      </c>
    </row>
    <row r="14" spans="1:4">
      <c r="A14" s="3" t="s">
        <v>19</v>
      </c>
      <c r="B14" s="2" t="s">
        <v>22</v>
      </c>
      <c r="C14" s="2" t="s">
        <v>16</v>
      </c>
    </row>
    <row r="15" spans="1:4">
      <c r="A15" s="2" t="str">
        <f t="shared" ref="A15" si="2">DEC2HEX(HEX2DEC(A14)+4,8)</f>
        <v>000FDC2C</v>
      </c>
      <c r="B15" s="2" t="s">
        <v>25</v>
      </c>
      <c r="C1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2026-05-17T07:37:53Z</dcterms:modified>
</cp:coreProperties>
</file>