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D6CB0586-B499-4D42-AEDF-CB8D7AED5C5C}" xr6:coauthVersionLast="47" xr6:coauthVersionMax="47" xr10:uidLastSave="{00000000-0000-0000-0000-000000000000}"/>
  <bookViews>
    <workbookView xWindow="-32914" yWindow="0" windowWidth="16457" windowHeight="17914" activeTab="1" xr2:uid="{FFF8744C-F0B4-428F-8CA7-718350CADE02}"/>
  </bookViews>
  <sheets>
    <sheet name="Edited bag.cro &amp; field.cro" sheetId="18" r:id="rId1"/>
    <sheet name="Edited code.bin" sheetId="20" r:id="rId2"/>
    <sheet name="original code.bin" sheetId="1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20" l="1"/>
  <c r="D13" i="20"/>
  <c r="G17" i="20" l="1"/>
  <c r="G18" i="20" s="1"/>
  <c r="G19" i="20" s="1"/>
  <c r="G20" i="20" s="1"/>
  <c r="G21" i="20" s="1"/>
  <c r="G22" i="20" s="1"/>
  <c r="G23" i="20" s="1"/>
  <c r="G24" i="20" s="1"/>
  <c r="G25" i="20" s="1"/>
  <c r="G26" i="20" s="1"/>
  <c r="G27" i="20" s="1"/>
  <c r="G28" i="20" s="1"/>
  <c r="G29" i="20" s="1"/>
  <c r="G30" i="20" s="1"/>
  <c r="I23" i="20" s="1"/>
  <c r="F16" i="20"/>
  <c r="F17" i="20" s="1"/>
  <c r="F18" i="20" s="1"/>
  <c r="F19" i="20" s="1"/>
  <c r="F20" i="20" s="1"/>
  <c r="F21" i="20" s="1"/>
  <c r="F22" i="20" s="1"/>
  <c r="F23" i="20" s="1"/>
  <c r="F24" i="20" s="1"/>
  <c r="F25" i="20" s="1"/>
  <c r="F26" i="20" s="1"/>
  <c r="F27" i="20" s="1"/>
  <c r="F28" i="20" s="1"/>
  <c r="F29" i="20" s="1"/>
  <c r="F30" i="20" s="1"/>
  <c r="I14" i="20"/>
  <c r="D14" i="20"/>
  <c r="B17" i="20"/>
  <c r="B18" i="20" s="1"/>
  <c r="A16" i="20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56" i="18"/>
  <c r="A57" i="18" s="1"/>
  <c r="A58" i="18" s="1"/>
  <c r="A59" i="18" s="1"/>
  <c r="A60" i="18" s="1"/>
  <c r="A47" i="18"/>
  <c r="A48" i="18" s="1"/>
  <c r="A49" i="18" s="1"/>
  <c r="A50" i="18" s="1"/>
  <c r="A51" i="18" s="1"/>
  <c r="A52" i="18" s="1"/>
  <c r="A53" i="18" s="1"/>
  <c r="A54" i="18" s="1"/>
  <c r="A55" i="18" s="1"/>
  <c r="I17" i="20" l="1"/>
  <c r="I22" i="20"/>
  <c r="I18" i="20"/>
  <c r="B19" i="20"/>
  <c r="B20" i="20" s="1"/>
  <c r="B21" i="20" s="1"/>
  <c r="B22" i="20" s="1"/>
  <c r="B23" i="20" s="1"/>
  <c r="C52" i="18"/>
  <c r="C47" i="18"/>
  <c r="B24" i="20" l="1"/>
  <c r="B25" i="20" s="1"/>
  <c r="B26" i="20" s="1"/>
  <c r="B27" i="20" s="1"/>
  <c r="B28" i="20" s="1"/>
  <c r="C53" i="18"/>
  <c r="C48" i="18"/>
  <c r="D22" i="20" l="1"/>
  <c r="B29" i="20"/>
  <c r="D17" i="20"/>
  <c r="I3" i="20"/>
  <c r="G4" i="20"/>
  <c r="G5" i="20" s="1"/>
  <c r="G6" i="20" s="1"/>
  <c r="G7" i="20" s="1"/>
  <c r="G8" i="20" s="1"/>
  <c r="G9" i="20" s="1"/>
  <c r="G10" i="20" s="1"/>
  <c r="G11" i="20" s="1"/>
  <c r="G12" i="20" s="1"/>
  <c r="G13" i="20" s="1"/>
  <c r="B4" i="20"/>
  <c r="B5" i="20" s="1"/>
  <c r="B6" i="20" s="1"/>
  <c r="B7" i="20" s="1"/>
  <c r="B8" i="20" s="1"/>
  <c r="B9" i="20" s="1"/>
  <c r="B10" i="20" s="1"/>
  <c r="B11" i="20" s="1"/>
  <c r="B12" i="20" s="1"/>
  <c r="B13" i="20" s="1"/>
  <c r="F3" i="20"/>
  <c r="F4" i="20" s="1"/>
  <c r="F5" i="20" s="1"/>
  <c r="F6" i="20" s="1"/>
  <c r="F7" i="20" s="1"/>
  <c r="F8" i="20" s="1"/>
  <c r="F9" i="20" s="1"/>
  <c r="F10" i="20" s="1"/>
  <c r="F11" i="20" s="1"/>
  <c r="F12" i="20" s="1"/>
  <c r="F13" i="20" s="1"/>
  <c r="A3" i="20"/>
  <c r="A4" i="20" s="1"/>
  <c r="A5" i="20" s="1"/>
  <c r="A6" i="20" s="1"/>
  <c r="A7" i="20" s="1"/>
  <c r="A8" i="20" s="1"/>
  <c r="A9" i="20" s="1"/>
  <c r="A10" i="20" s="1"/>
  <c r="A11" i="20" s="1"/>
  <c r="A12" i="20" s="1"/>
  <c r="A13" i="20" s="1"/>
  <c r="B30" i="20" l="1"/>
  <c r="D23" i="20" s="1"/>
  <c r="D18" i="20"/>
  <c r="C41" i="18"/>
  <c r="A35" i="18"/>
  <c r="A36" i="18" s="1"/>
  <c r="A37" i="18" s="1"/>
  <c r="A38" i="18" s="1"/>
  <c r="A39" i="18" s="1"/>
  <c r="A40" i="18" s="1"/>
  <c r="A41" i="18" s="1"/>
  <c r="A42" i="18" s="1"/>
  <c r="C31" i="18"/>
  <c r="C28" i="18"/>
  <c r="A5" i="18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G4" i="19"/>
  <c r="G5" i="19" s="1"/>
  <c r="G6" i="19" s="1"/>
  <c r="G7" i="19" s="1"/>
  <c r="G8" i="19" s="1"/>
  <c r="G9" i="19" s="1"/>
  <c r="G10" i="19" s="1"/>
  <c r="G11" i="19" s="1"/>
  <c r="G12" i="19" s="1"/>
  <c r="G13" i="19" s="1"/>
  <c r="F4" i="19"/>
  <c r="F5" i="19" s="1"/>
  <c r="F6" i="19" s="1"/>
  <c r="F7" i="19" s="1"/>
  <c r="F8" i="19" s="1"/>
  <c r="F9" i="19" s="1"/>
  <c r="F10" i="19" s="1"/>
  <c r="F11" i="19" s="1"/>
  <c r="F12" i="19" s="1"/>
  <c r="F13" i="19" s="1"/>
  <c r="F3" i="19"/>
  <c r="A3" i="19"/>
  <c r="A4" i="19" s="1"/>
  <c r="A5" i="19" s="1"/>
  <c r="A6" i="19" s="1"/>
  <c r="A7" i="19" s="1"/>
  <c r="A8" i="19" s="1"/>
  <c r="A9" i="19" s="1"/>
  <c r="A10" i="19" s="1"/>
  <c r="A11" i="19" s="1"/>
  <c r="A12" i="19" s="1"/>
  <c r="A13" i="19" s="1"/>
  <c r="B4" i="19"/>
  <c r="B5" i="19" s="1"/>
  <c r="B6" i="19" s="1"/>
  <c r="B7" i="19" s="1"/>
  <c r="B8" i="19" s="1"/>
  <c r="B9" i="19" s="1"/>
  <c r="B10" i="19" s="1"/>
  <c r="B11" i="19" s="1"/>
  <c r="B12" i="19" s="1"/>
  <c r="B13" i="19" s="1"/>
</calcChain>
</file>

<file path=xl/sharedStrings.xml><?xml version="1.0" encoding="utf-8"?>
<sst xmlns="http://schemas.openxmlformats.org/spreadsheetml/2006/main" count="305" uniqueCount="164">
  <si>
    <t>Address</t>
  </si>
  <si>
    <t>Hex</t>
  </si>
  <si>
    <t>instruction</t>
  </si>
  <si>
    <t>notes</t>
  </si>
  <si>
    <t>mov r0, 0x0</t>
  </si>
  <si>
    <t>0000A0E3</t>
  </si>
  <si>
    <t>mov r4, r0</t>
  </si>
  <si>
    <t>0040A0E1</t>
  </si>
  <si>
    <t>Toggle Vs Seeker</t>
  </si>
  <si>
    <t>00015EB8</t>
  </si>
  <si>
    <t>08520133</t>
  </si>
  <si>
    <t>Original Trainer Is Battleable</t>
  </si>
  <si>
    <t>US</t>
  </si>
  <si>
    <t>004B934C</t>
  </si>
  <si>
    <t>ldr r1, [r1, #4]</t>
  </si>
  <si>
    <t>ldr r0, [r0, #0x44]</t>
  </si>
  <si>
    <t>uxth r1, r1</t>
  </si>
  <si>
    <t>ldr r0, [r0, #0x90]</t>
  </si>
  <si>
    <t>mov r0, r0</t>
  </si>
  <si>
    <t>ldr r0, [r0, #8]</t>
  </si>
  <si>
    <t>ldr r0, [r0, #0x24]</t>
  </si>
  <si>
    <t>ldr r0, [r0, #4]</t>
  </si>
  <si>
    <t>add r0, r0, #0x1400</t>
  </si>
  <si>
    <t>add r0, r0, #0x1d8</t>
  </si>
  <si>
    <t>041091E5</t>
  </si>
  <si>
    <t>440090E5</t>
  </si>
  <si>
    <t>7110FFE6</t>
  </si>
  <si>
    <t>900090E5</t>
  </si>
  <si>
    <t>0000A0E1</t>
  </si>
  <si>
    <t>080090E5</t>
  </si>
  <si>
    <t>240090E5</t>
  </si>
  <si>
    <t>040090E5</t>
  </si>
  <si>
    <t>050B80E2</t>
  </si>
  <si>
    <t>760F80E2</t>
  </si>
  <si>
    <t>9D0700EA</t>
  </si>
  <si>
    <t>US in-file</t>
  </si>
  <si>
    <t>b 0x004BB1F0</t>
  </si>
  <si>
    <t>UM in-File</t>
  </si>
  <si>
    <t>UM</t>
  </si>
  <si>
    <t>004B9354</t>
  </si>
  <si>
    <t>b #0x4BB1F8</t>
  </si>
  <si>
    <t>Call to check Vs Seeker Bit</t>
  </si>
  <si>
    <t>Bag.cro</t>
  </si>
  <si>
    <t>get value</t>
  </si>
  <si>
    <t>get highest bit</t>
  </si>
  <si>
    <t>check if on</t>
  </si>
  <si>
    <t>push {r3, r4, r5, lr}</t>
  </si>
  <si>
    <t>get Toggle Bit</t>
  </si>
  <si>
    <t>check toggle bit</t>
  </si>
  <si>
    <t>ldr r3, [r0, 0x44]</t>
  </si>
  <si>
    <t>ldr r0, [r3, 0xC]</t>
  </si>
  <si>
    <t>orr r1, r1, r2</t>
  </si>
  <si>
    <t>str r1, [r3, 0xC]</t>
  </si>
  <si>
    <t>mov r1, 0x0</t>
  </si>
  <si>
    <t>and r1, r0, 0x80000000</t>
  </si>
  <si>
    <t>cmp r1, 0x0</t>
  </si>
  <si>
    <t>bic r2, r0, 0x80000000</t>
  </si>
  <si>
    <t>moveq r1, 0x80000000</t>
  </si>
  <si>
    <t>movne r1, 0x0</t>
  </si>
  <si>
    <t>flip on if off</t>
  </si>
  <si>
    <t>flip off if on</t>
  </si>
  <si>
    <t>mov r3, 0x0</t>
  </si>
  <si>
    <t>str r5, [sp]</t>
  </si>
  <si>
    <t>ldr r0, [r4, 0x70]</t>
  </si>
  <si>
    <t>mov r2, r3</t>
  </si>
  <si>
    <t>bl 0x0000A25C</t>
  </si>
  <si>
    <t>bl 0x0000A5E4</t>
  </si>
  <si>
    <t>mov r0, 0x2</t>
  </si>
  <si>
    <t>str r0, [r4, 0x4]</t>
  </si>
  <si>
    <t>38402DE9</t>
  </si>
  <si>
    <t>443090E5</t>
  </si>
  <si>
    <t>0C0093E5</t>
  </si>
  <si>
    <t>021100E2</t>
  </si>
  <si>
    <t>000051E3</t>
  </si>
  <si>
    <t>0211A003</t>
  </si>
  <si>
    <t>0010A013</t>
  </si>
  <si>
    <t>0221C0E3</t>
  </si>
  <si>
    <t>021081E1</t>
  </si>
  <si>
    <t>0C1083E5</t>
  </si>
  <si>
    <t>0030A0E3</t>
  </si>
  <si>
    <t>00508DE5</t>
  </si>
  <si>
    <t>700094E5</t>
  </si>
  <si>
    <t>0320A0E1</t>
  </si>
  <si>
    <t>D6D0FFEB</t>
  </si>
  <si>
    <t>0010A0E3</t>
  </si>
  <si>
    <t>B5D1FFEB</t>
  </si>
  <si>
    <t>0200A0E3</t>
  </si>
  <si>
    <t>040084E5</t>
  </si>
  <si>
    <t>3880BDE8</t>
  </si>
  <si>
    <t>000CED08</t>
  </si>
  <si>
    <t>Field Items Use Text</t>
  </si>
  <si>
    <t>Print Text for item</t>
  </si>
  <si>
    <t>0000A304</t>
  </si>
  <si>
    <t>original beq 0xA5C0 (after cmp r5, 0x34)</t>
  </si>
  <si>
    <t>Turned On</t>
  </si>
  <si>
    <t>Turned Off</t>
  </si>
  <si>
    <t>Text for Vs Seeker</t>
  </si>
  <si>
    <t>00015F1C</t>
  </si>
  <si>
    <t>beq 0x0000A5C0</t>
  </si>
  <si>
    <t>Rotom Power already in use</t>
  </si>
  <si>
    <t>moveq r1, 0x35</t>
  </si>
  <si>
    <t>movne r1, 0x36</t>
  </si>
  <si>
    <t>cmp r5, 0x36</t>
  </si>
  <si>
    <t>turned off</t>
  </si>
  <si>
    <t>mov r1, r0</t>
  </si>
  <si>
    <t>moveq r2, 0x17</t>
  </si>
  <si>
    <t>A7D1FF0A</t>
  </si>
  <si>
    <t>360055E3</t>
  </si>
  <si>
    <t>1720A003</t>
  </si>
  <si>
    <t>0010A0E1</t>
  </si>
  <si>
    <t>042F002A</t>
  </si>
  <si>
    <t>3510A003</t>
  </si>
  <si>
    <t>3610A013</t>
  </si>
  <si>
    <t>cmp r5, 0x35</t>
  </si>
  <si>
    <t>350055E3</t>
  </si>
  <si>
    <t>turned on, text is in Game Text File 1</t>
  </si>
  <si>
    <t>beq 0x0000A538</t>
  </si>
  <si>
    <t>moveq r2, 0x18</t>
  </si>
  <si>
    <t>b 0x0000A308</t>
  </si>
  <si>
    <t>81D1FF0A</t>
  </si>
  <si>
    <t>1820A003</t>
  </si>
  <si>
    <t>7ED1FF0A</t>
  </si>
  <si>
    <t>F1D0FFEA</t>
  </si>
  <si>
    <t>get trainer count</t>
  </si>
  <si>
    <t>get trainer count pointer</t>
  </si>
  <si>
    <t>push {lr}</t>
  </si>
  <si>
    <t>bl #0x4BB1F8</t>
  </si>
  <si>
    <t>bl 0x004BB1F0</t>
  </si>
  <si>
    <t>cmp r0, 0x0</t>
  </si>
  <si>
    <t>check if already natively 0</t>
  </si>
  <si>
    <t>toggle pointer</t>
  </si>
  <si>
    <t>trainer count pointer</t>
  </si>
  <si>
    <t>get pointer for Vs. Seeker being on</t>
  </si>
  <si>
    <t>04E02DE5</t>
  </si>
  <si>
    <t>9E0700EB</t>
  </si>
  <si>
    <t>000050E3</t>
  </si>
  <si>
    <t>is zero, exit</t>
  </si>
  <si>
    <t>not on, exit</t>
  </si>
  <si>
    <t>ldr r1, [r1, 0xC]</t>
  </si>
  <si>
    <t>and r1, 0x80000000</t>
  </si>
  <si>
    <t>cmp r1, 0x80000000</t>
  </si>
  <si>
    <t>pop {pc}</t>
  </si>
  <si>
    <t>ldrh r0, [r1, 0x2]</t>
  </si>
  <si>
    <t>sub r0, r0, 0x1</t>
  </si>
  <si>
    <t>preemptively subtract 1</t>
  </si>
  <si>
    <t>strh r0, [r1, 0x2]</t>
  </si>
  <si>
    <t>write new value</t>
  </si>
  <si>
    <t>and return 0 to rebattle</t>
  </si>
  <si>
    <t>0900000A</t>
  </si>
  <si>
    <t>24109FE5</t>
  </si>
  <si>
    <t>0C1091E5</t>
  </si>
  <si>
    <t>021101E2</t>
  </si>
  <si>
    <t>020151E3</t>
  </si>
  <si>
    <t>0400001A</t>
  </si>
  <si>
    <t>14109FE5</t>
  </si>
  <si>
    <t>B200D1E1</t>
  </si>
  <si>
    <t>010040E2</t>
  </si>
  <si>
    <t>B200C1E1</t>
  </si>
  <si>
    <t>04F09DE4</t>
  </si>
  <si>
    <t>A82F0133</t>
  </si>
  <si>
    <t>Field.cro (deprecated)</t>
  </si>
  <si>
    <t>0032171C</t>
  </si>
  <si>
    <t>63CA0BEA</t>
  </si>
  <si>
    <t>61CA0BEA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</si>
</sst>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2" fillId="3" borderId="0" xfId="0" applyFont="1" applyFill="1"/>
    <xf numFmtId="0" fontId="2" fillId="3" borderId="0" xfId="0" quotePrefix="1" applyFont="1" applyFill="1"/>
    <xf numFmtId="0" fontId="1" fillId="0" borderId="0" xfId="0" applyFont="1"/>
    <xf numFmtId="0" fontId="3" fillId="0" borderId="0" xfId="0" applyFont="1"/>
    <xf numFmtId="49" fontId="3" fillId="0" borderId="0" xfId="0" quotePrefix="1" applyNumberFormat="1" applyFont="1"/>
    <xf numFmtId="49" fontId="3" fillId="0" borderId="0" xfId="0" applyNumberFormat="1" applyFont="1"/>
    <xf numFmtId="0" fontId="3" fillId="0" borderId="0" xfId="0" quotePrefix="1" applyFont="1"/>
    <xf numFmtId="49" fontId="2" fillId="0" borderId="0" xfId="0" quotePrefix="1" applyNumberFormat="1" applyFont="1"/>
    <xf numFmtId="49" fontId="2" fillId="0" borderId="0" xfId="0" applyNumberFormat="1" applyFont="1"/>
    <xf numFmtId="0" fontId="1" fillId="0" borderId="0" xfId="0" quotePrefix="1" applyFont="1"/>
    <xf numFmtId="0" fontId="2" fillId="2" borderId="0" xfId="0" applyFont="1" applyFill="1" applyAlignment="1">
      <alignment horizontal="left"/>
    </xf>
    <xf numFmtId="0" fontId="2" fillId="4" borderId="0" xfId="0" applyFont="1" applyFill="1"/>
    <xf numFmtId="0" fontId="2" fillId="4" borderId="0" xfId="0" quotePrefix="1" applyFont="1" applyFill="1"/>
    <xf numFmtId="11" fontId="2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C2195-8476-4F55-A96F-DE6990A98BD4}">
  <dimension ref="A1:D71"/>
  <sheetViews>
    <sheetView zoomScaleNormal="100" workbookViewId="0">
      <pane ySplit="1" topLeftCell="A29" activePane="bottomLeft" state="frozen"/>
      <selection pane="bottomLeft" activeCell="C48" sqref="C48"/>
    </sheetView>
  </sheetViews>
  <sheetFormatPr defaultColWidth="9.2109375" defaultRowHeight="15.9"/>
  <cols>
    <col min="1" max="1" width="12.2109375" style="1" customWidth="1"/>
    <col min="2" max="2" width="10.640625" style="1" bestFit="1" customWidth="1"/>
    <col min="3" max="3" width="36.7109375" style="1" bestFit="1" customWidth="1"/>
    <col min="4" max="4" width="66.0703125" style="1" customWidth="1"/>
    <col min="5" max="5" width="3.640625" style="1" customWidth="1"/>
    <col min="6" max="6" width="12.7109375" style="1" customWidth="1"/>
    <col min="7" max="7" width="13.640625" style="1" customWidth="1"/>
    <col min="8" max="11" width="9.2109375" style="1"/>
    <col min="12" max="12" width="9.7109375" style="1" bestFit="1" customWidth="1"/>
    <col min="13" max="16384" width="9.2109375" style="1"/>
  </cols>
  <sheetData>
    <row r="1" spans="1:4">
      <c r="A1" s="7" t="s">
        <v>0</v>
      </c>
      <c r="B1" s="7" t="s">
        <v>1</v>
      </c>
      <c r="C1" s="7" t="s">
        <v>2</v>
      </c>
      <c r="D1" s="7" t="s">
        <v>3</v>
      </c>
    </row>
    <row r="2" spans="1:4">
      <c r="A2" s="7" t="s">
        <v>42</v>
      </c>
      <c r="B2" s="7"/>
      <c r="C2" s="7"/>
      <c r="D2" s="7"/>
    </row>
    <row r="3" spans="1:4">
      <c r="A3" s="7" t="s">
        <v>8</v>
      </c>
      <c r="B3" s="7"/>
      <c r="C3" s="7"/>
    </row>
    <row r="4" spans="1:4">
      <c r="A4" s="1" t="s">
        <v>9</v>
      </c>
      <c r="B4" s="2" t="s">
        <v>69</v>
      </c>
      <c r="C4" s="1" t="s">
        <v>46</v>
      </c>
    </row>
    <row r="5" spans="1:4">
      <c r="A5" s="1" t="str">
        <f t="shared" ref="A5:A28" si="0">DEC2HEX(HEX2DEC(A4)+4,8)</f>
        <v>00015EBC</v>
      </c>
      <c r="B5" s="2" t="s">
        <v>7</v>
      </c>
      <c r="C5" s="1" t="s">
        <v>6</v>
      </c>
    </row>
    <row r="6" spans="1:4">
      <c r="A6" s="5" t="str">
        <f t="shared" si="0"/>
        <v>00015EC0</v>
      </c>
      <c r="B6" s="6" t="s">
        <v>70</v>
      </c>
      <c r="C6" s="5" t="s">
        <v>49</v>
      </c>
      <c r="D6" s="5" t="s">
        <v>47</v>
      </c>
    </row>
    <row r="7" spans="1:4">
      <c r="A7" s="5" t="str">
        <f t="shared" si="0"/>
        <v>00015EC4</v>
      </c>
      <c r="B7" s="6" t="s">
        <v>71</v>
      </c>
      <c r="C7" s="5" t="s">
        <v>50</v>
      </c>
      <c r="D7" s="5"/>
    </row>
    <row r="8" spans="1:4">
      <c r="A8" s="5" t="str">
        <f t="shared" si="0"/>
        <v>00015EC8</v>
      </c>
      <c r="B8" s="6" t="s">
        <v>72</v>
      </c>
      <c r="C8" s="5" t="s">
        <v>54</v>
      </c>
      <c r="D8" s="5"/>
    </row>
    <row r="9" spans="1:4">
      <c r="A9" s="5" t="str">
        <f t="shared" si="0"/>
        <v>00015ECC</v>
      </c>
      <c r="B9" s="6" t="s">
        <v>73</v>
      </c>
      <c r="C9" s="5" t="s">
        <v>55</v>
      </c>
      <c r="D9" s="5" t="s">
        <v>48</v>
      </c>
    </row>
    <row r="10" spans="1:4">
      <c r="A10" s="3" t="str">
        <f t="shared" si="0"/>
        <v>00015ED0</v>
      </c>
      <c r="B10" s="4" t="s">
        <v>74</v>
      </c>
      <c r="C10" s="3" t="s">
        <v>57</v>
      </c>
      <c r="D10" s="3" t="s">
        <v>59</v>
      </c>
    </row>
    <row r="11" spans="1:4">
      <c r="A11" s="3" t="str">
        <f t="shared" si="0"/>
        <v>00015ED4</v>
      </c>
      <c r="B11" s="4" t="s">
        <v>75</v>
      </c>
      <c r="C11" s="3" t="s">
        <v>58</v>
      </c>
      <c r="D11" s="15" t="s">
        <v>60</v>
      </c>
    </row>
    <row r="12" spans="1:4">
      <c r="A12" s="3" t="str">
        <f t="shared" si="0"/>
        <v>00015ED8</v>
      </c>
      <c r="B12" s="4" t="s">
        <v>76</v>
      </c>
      <c r="C12" s="3" t="s">
        <v>56</v>
      </c>
      <c r="D12" s="4"/>
    </row>
    <row r="13" spans="1:4">
      <c r="A13" s="3" t="str">
        <f t="shared" si="0"/>
        <v>00015EDC</v>
      </c>
      <c r="B13" s="4" t="s">
        <v>77</v>
      </c>
      <c r="C13" s="3" t="s">
        <v>51</v>
      </c>
      <c r="D13" s="3"/>
    </row>
    <row r="14" spans="1:4">
      <c r="A14" s="3" t="str">
        <f t="shared" si="0"/>
        <v>00015EE0</v>
      </c>
      <c r="B14" s="4" t="s">
        <v>78</v>
      </c>
      <c r="C14" s="3" t="s">
        <v>52</v>
      </c>
      <c r="D14" s="3"/>
    </row>
    <row r="15" spans="1:4">
      <c r="A15" s="1" t="str">
        <f t="shared" si="0"/>
        <v>00015EE4</v>
      </c>
      <c r="B15" s="2" t="s">
        <v>79</v>
      </c>
      <c r="C15" s="1" t="s">
        <v>61</v>
      </c>
    </row>
    <row r="16" spans="1:4">
      <c r="A16" s="1" t="str">
        <f t="shared" si="0"/>
        <v>00015EE8</v>
      </c>
      <c r="B16" s="2" t="s">
        <v>80</v>
      </c>
      <c r="C16" s="1" t="s">
        <v>62</v>
      </c>
    </row>
    <row r="17" spans="1:4">
      <c r="A17" s="1" t="str">
        <f t="shared" si="0"/>
        <v>00015EEC</v>
      </c>
      <c r="B17" s="11" t="s">
        <v>81</v>
      </c>
      <c r="C17" s="1" t="s">
        <v>63</v>
      </c>
    </row>
    <row r="18" spans="1:4">
      <c r="A18" s="1" t="str">
        <f t="shared" si="0"/>
        <v>00015EF0</v>
      </c>
      <c r="B18" s="2" t="s">
        <v>82</v>
      </c>
      <c r="C18" s="1" t="s">
        <v>64</v>
      </c>
    </row>
    <row r="19" spans="1:4">
      <c r="A19" s="1" t="str">
        <f t="shared" si="0"/>
        <v>00015EF4</v>
      </c>
      <c r="B19" s="2" t="s">
        <v>111</v>
      </c>
      <c r="C19" s="1" t="s">
        <v>100</v>
      </c>
      <c r="D19" s="1" t="s">
        <v>94</v>
      </c>
    </row>
    <row r="20" spans="1:4">
      <c r="A20" s="1" t="str">
        <f t="shared" si="0"/>
        <v>00015EF8</v>
      </c>
      <c r="B20" s="2" t="s">
        <v>112</v>
      </c>
      <c r="C20" s="1" t="s">
        <v>101</v>
      </c>
      <c r="D20" s="1" t="s">
        <v>95</v>
      </c>
    </row>
    <row r="21" spans="1:4">
      <c r="A21" s="1" t="str">
        <f t="shared" si="0"/>
        <v>00015EFC</v>
      </c>
      <c r="B21" s="2" t="s">
        <v>83</v>
      </c>
      <c r="C21" s="1" t="s">
        <v>65</v>
      </c>
      <c r="D21" s="1" t="s">
        <v>91</v>
      </c>
    </row>
    <row r="22" spans="1:4">
      <c r="A22" s="1" t="str">
        <f t="shared" si="0"/>
        <v>00015F00</v>
      </c>
      <c r="B22" s="2" t="s">
        <v>81</v>
      </c>
      <c r="C22" s="1" t="s">
        <v>63</v>
      </c>
    </row>
    <row r="23" spans="1:4">
      <c r="A23" s="1" t="str">
        <f t="shared" si="0"/>
        <v>00015F04</v>
      </c>
      <c r="B23" s="2" t="s">
        <v>84</v>
      </c>
      <c r="C23" s="1" t="s">
        <v>53</v>
      </c>
    </row>
    <row r="24" spans="1:4">
      <c r="A24" s="1" t="str">
        <f t="shared" si="0"/>
        <v>00015F08</v>
      </c>
      <c r="B24" s="2" t="s">
        <v>85</v>
      </c>
      <c r="C24" s="1" t="s">
        <v>66</v>
      </c>
    </row>
    <row r="25" spans="1:4">
      <c r="A25" s="1" t="str">
        <f t="shared" si="0"/>
        <v>00015F0C</v>
      </c>
      <c r="B25" s="9" t="s">
        <v>86</v>
      </c>
      <c r="C25" s="1" t="s">
        <v>67</v>
      </c>
      <c r="D25" s="8"/>
    </row>
    <row r="26" spans="1:4">
      <c r="A26" s="1" t="str">
        <f t="shared" si="0"/>
        <v>00015F10</v>
      </c>
      <c r="B26" s="10" t="s">
        <v>87</v>
      </c>
      <c r="C26" s="1" t="s">
        <v>68</v>
      </c>
    </row>
    <row r="27" spans="1:4">
      <c r="A27" s="1" t="str">
        <f t="shared" si="0"/>
        <v>00015F14</v>
      </c>
      <c r="B27" s="10" t="s">
        <v>5</v>
      </c>
      <c r="C27" s="1" t="s">
        <v>4</v>
      </c>
    </row>
    <row r="28" spans="1:4">
      <c r="A28" s="1" t="str">
        <f t="shared" si="0"/>
        <v>00015F18</v>
      </c>
      <c r="B28" s="10" t="s">
        <v>88</v>
      </c>
      <c r="C28" s="1" t="str">
        <f>SUBSTITUTE(SUBSTITUTE(C4,"push","pop"),"lr","pc")</f>
        <v>pop {r3, r4, r5, pc}</v>
      </c>
    </row>
    <row r="29" spans="1:4">
      <c r="A29" s="2"/>
    </row>
    <row r="30" spans="1:4">
      <c r="A30" s="7" t="s">
        <v>90</v>
      </c>
      <c r="B30" s="7"/>
      <c r="C30" s="7"/>
    </row>
    <row r="31" spans="1:4">
      <c r="A31" s="1" t="s">
        <v>92</v>
      </c>
      <c r="B31" s="2" t="s">
        <v>110</v>
      </c>
      <c r="C31" s="1" t="str">
        <f>_xlfn.CONCAT("bhs 0x",A34)</f>
        <v>bhs 0x00015F1C</v>
      </c>
      <c r="D31" s="1" t="s">
        <v>93</v>
      </c>
    </row>
    <row r="32" spans="1:4">
      <c r="B32" s="2"/>
    </row>
    <row r="33" spans="1:4">
      <c r="A33" s="7" t="s">
        <v>96</v>
      </c>
      <c r="B33" s="7"/>
      <c r="C33" s="7"/>
    </row>
    <row r="34" spans="1:4">
      <c r="A34" s="1" t="s">
        <v>97</v>
      </c>
      <c r="B34" s="2" t="s">
        <v>106</v>
      </c>
      <c r="C34" s="1" t="s">
        <v>98</v>
      </c>
      <c r="D34" s="1" t="s">
        <v>99</v>
      </c>
    </row>
    <row r="35" spans="1:4">
      <c r="A35" s="1" t="str">
        <f t="shared" ref="A35:A42" si="1">DEC2HEX(HEX2DEC(A34)+4,8)</f>
        <v>00015F20</v>
      </c>
      <c r="B35" s="1" t="s">
        <v>109</v>
      </c>
      <c r="C35" s="1" t="s">
        <v>104</v>
      </c>
    </row>
    <row r="36" spans="1:4">
      <c r="A36" s="1" t="str">
        <f t="shared" si="1"/>
        <v>00015F24</v>
      </c>
      <c r="B36" s="2" t="s">
        <v>114</v>
      </c>
      <c r="C36" s="1" t="s">
        <v>113</v>
      </c>
    </row>
    <row r="37" spans="1:4">
      <c r="A37" s="1" t="str">
        <f t="shared" si="1"/>
        <v>00015F28</v>
      </c>
      <c r="B37" s="1" t="s">
        <v>108</v>
      </c>
      <c r="C37" s="1" t="s">
        <v>105</v>
      </c>
      <c r="D37" s="1" t="s">
        <v>115</v>
      </c>
    </row>
    <row r="38" spans="1:4">
      <c r="A38" s="1" t="str">
        <f t="shared" si="1"/>
        <v>00015F2C</v>
      </c>
      <c r="B38" s="1" t="s">
        <v>119</v>
      </c>
      <c r="C38" s="1" t="s">
        <v>116</v>
      </c>
    </row>
    <row r="39" spans="1:4">
      <c r="A39" s="1" t="str">
        <f t="shared" si="1"/>
        <v>00015F30</v>
      </c>
      <c r="B39" s="2" t="s">
        <v>107</v>
      </c>
      <c r="C39" s="1" t="s">
        <v>102</v>
      </c>
    </row>
    <row r="40" spans="1:4">
      <c r="A40" s="1" t="str">
        <f t="shared" si="1"/>
        <v>00015F34</v>
      </c>
      <c r="B40" s="1" t="s">
        <v>120</v>
      </c>
      <c r="C40" s="1" t="s">
        <v>117</v>
      </c>
      <c r="D40" s="1" t="s">
        <v>103</v>
      </c>
    </row>
    <row r="41" spans="1:4">
      <c r="A41" s="1" t="str">
        <f t="shared" si="1"/>
        <v>00015F38</v>
      </c>
      <c r="B41" s="1" t="s">
        <v>121</v>
      </c>
      <c r="C41" s="1" t="str">
        <f>C38</f>
        <v>beq 0x0000A538</v>
      </c>
    </row>
    <row r="42" spans="1:4">
      <c r="A42" s="1" t="str">
        <f t="shared" si="1"/>
        <v>00015F3C</v>
      </c>
      <c r="B42" s="1" t="s">
        <v>122</v>
      </c>
      <c r="C42" s="1" t="s">
        <v>118</v>
      </c>
    </row>
    <row r="43" spans="1:4">
      <c r="A43" s="2"/>
    </row>
    <row r="44" spans="1:4">
      <c r="A44" s="14" t="s">
        <v>160</v>
      </c>
    </row>
    <row r="45" spans="1:4">
      <c r="A45" s="7" t="s">
        <v>41</v>
      </c>
      <c r="B45" s="7"/>
      <c r="C45" s="7"/>
      <c r="D45" s="7"/>
    </row>
    <row r="46" spans="1:4">
      <c r="A46" s="3" t="s">
        <v>89</v>
      </c>
      <c r="B46" s="4" t="s">
        <v>135</v>
      </c>
      <c r="C46" s="3" t="s">
        <v>128</v>
      </c>
      <c r="D46" s="3" t="s">
        <v>129</v>
      </c>
    </row>
    <row r="47" spans="1:4">
      <c r="A47" s="3" t="str">
        <f t="shared" ref="A47:A60" si="2">DEC2HEX(HEX2DEC(A46)+4,8)</f>
        <v>000CED0C</v>
      </c>
      <c r="B47" s="4" t="s">
        <v>148</v>
      </c>
      <c r="C47" s="3" t="str">
        <f>_xlfn.CONCAT("beq 0x",A58)</f>
        <v>beq 0x000CED38</v>
      </c>
      <c r="D47" s="3" t="s">
        <v>136</v>
      </c>
    </row>
    <row r="48" spans="1:4">
      <c r="A48" s="16" t="str">
        <f t="shared" si="2"/>
        <v>000CED10</v>
      </c>
      <c r="B48" s="17" t="s">
        <v>149</v>
      </c>
      <c r="C48" s="16" t="str">
        <f>_xlfn.CONCAT("ldr r1, [pc, #",HEX2DEC(A$59)-HEX2DEC(A48)-8,"]")</f>
        <v>ldr r1, [pc, #36]</v>
      </c>
      <c r="D48" s="16" t="s">
        <v>132</v>
      </c>
    </row>
    <row r="49" spans="1:4">
      <c r="A49" s="16" t="str">
        <f t="shared" si="2"/>
        <v>000CED14</v>
      </c>
      <c r="B49" s="17" t="s">
        <v>150</v>
      </c>
      <c r="C49" s="16" t="s">
        <v>138</v>
      </c>
      <c r="D49" s="16" t="s">
        <v>43</v>
      </c>
    </row>
    <row r="50" spans="1:4">
      <c r="A50" s="16" t="str">
        <f t="shared" si="2"/>
        <v>000CED18</v>
      </c>
      <c r="B50" s="17" t="s">
        <v>151</v>
      </c>
      <c r="C50" s="16" t="s">
        <v>139</v>
      </c>
      <c r="D50" s="16" t="s">
        <v>44</v>
      </c>
    </row>
    <row r="51" spans="1:4">
      <c r="A51" s="16" t="str">
        <f t="shared" si="2"/>
        <v>000CED1C</v>
      </c>
      <c r="B51" s="17" t="s">
        <v>152</v>
      </c>
      <c r="C51" s="16" t="s">
        <v>140</v>
      </c>
      <c r="D51" s="16" t="s">
        <v>45</v>
      </c>
    </row>
    <row r="52" spans="1:4">
      <c r="A52" s="3" t="str">
        <f t="shared" si="2"/>
        <v>000CED20</v>
      </c>
      <c r="B52" s="3" t="s">
        <v>153</v>
      </c>
      <c r="C52" s="3" t="str">
        <f>_xlfn.CONCAT("bne 0x",A58)</f>
        <v>bne 0x000CED38</v>
      </c>
      <c r="D52" s="3" t="s">
        <v>137</v>
      </c>
    </row>
    <row r="53" spans="1:4">
      <c r="A53" s="5" t="str">
        <f t="shared" si="2"/>
        <v>000CED24</v>
      </c>
      <c r="B53" s="6" t="s">
        <v>154</v>
      </c>
      <c r="C53" s="5" t="str">
        <f>_xlfn.CONCAT("ldr r1, [pc, #",HEX2DEC(A$60)-HEX2DEC(A53)-8,"]")</f>
        <v>ldr r1, [pc, #20]</v>
      </c>
      <c r="D53" s="5" t="s">
        <v>124</v>
      </c>
    </row>
    <row r="54" spans="1:4">
      <c r="A54" s="5" t="str">
        <f t="shared" si="2"/>
        <v>000CED28</v>
      </c>
      <c r="B54" s="6" t="s">
        <v>155</v>
      </c>
      <c r="C54" s="5" t="s">
        <v>142</v>
      </c>
      <c r="D54" s="5" t="s">
        <v>123</v>
      </c>
    </row>
    <row r="55" spans="1:4">
      <c r="A55" s="1" t="str">
        <f t="shared" si="2"/>
        <v>000CED2C</v>
      </c>
      <c r="B55" s="2" t="s">
        <v>156</v>
      </c>
      <c r="C55" s="1" t="s">
        <v>143</v>
      </c>
      <c r="D55" s="1" t="s">
        <v>144</v>
      </c>
    </row>
    <row r="56" spans="1:4">
      <c r="A56" s="1" t="str">
        <f t="shared" si="2"/>
        <v>000CED30</v>
      </c>
      <c r="B56" s="1" t="s">
        <v>157</v>
      </c>
      <c r="C56" s="1" t="s">
        <v>145</v>
      </c>
      <c r="D56" s="1" t="s">
        <v>146</v>
      </c>
    </row>
    <row r="57" spans="1:4">
      <c r="A57" s="1" t="str">
        <f t="shared" si="2"/>
        <v>000CED34</v>
      </c>
      <c r="B57" s="2" t="s">
        <v>5</v>
      </c>
      <c r="C57" s="1" t="s">
        <v>4</v>
      </c>
      <c r="D57" s="1" t="s">
        <v>147</v>
      </c>
    </row>
    <row r="58" spans="1:4">
      <c r="A58" s="3" t="str">
        <f t="shared" si="2"/>
        <v>000CED38</v>
      </c>
      <c r="B58" s="4" t="s">
        <v>158</v>
      </c>
      <c r="C58" s="3" t="s">
        <v>141</v>
      </c>
      <c r="D58" s="3"/>
    </row>
    <row r="59" spans="1:4">
      <c r="A59" s="1" t="str">
        <f t="shared" si="2"/>
        <v>000CED3C</v>
      </c>
      <c r="B59" s="2" t="s">
        <v>10</v>
      </c>
      <c r="C59" s="1" t="s">
        <v>130</v>
      </c>
    </row>
    <row r="60" spans="1:4">
      <c r="A60" s="1" t="str">
        <f t="shared" si="2"/>
        <v>000CED40</v>
      </c>
      <c r="B60" s="1" t="s">
        <v>159</v>
      </c>
      <c r="C60" s="1" t="s">
        <v>131</v>
      </c>
    </row>
    <row r="66" spans="1:4">
      <c r="A66" s="7"/>
      <c r="B66" s="7"/>
      <c r="D66" s="7"/>
    </row>
    <row r="67" spans="1:4">
      <c r="B67" s="12"/>
    </row>
    <row r="68" spans="1:4">
      <c r="B68" s="12"/>
    </row>
    <row r="69" spans="1:4">
      <c r="B69" s="13"/>
    </row>
    <row r="70" spans="1:4">
      <c r="B70" s="13"/>
    </row>
    <row r="71" spans="1:4">
      <c r="B71" s="1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BA609-BF3C-4443-96FA-5D88A8A7319E}">
  <dimension ref="A1:I30"/>
  <sheetViews>
    <sheetView tabSelected="1" workbookViewId="0">
      <selection activeCell="E11" sqref="E11"/>
    </sheetView>
  </sheetViews>
  <sheetFormatPr defaultRowHeight="15.9"/>
  <cols>
    <col min="1" max="1" width="11.5" style="1" bestFit="1" customWidth="1"/>
    <col min="2" max="3" width="9.35546875" style="1" bestFit="1" customWidth="1"/>
    <col min="4" max="4" width="21.35546875" style="1" bestFit="1" customWidth="1"/>
    <col min="5" max="5" width="38.78515625" style="1" bestFit="1" customWidth="1"/>
    <col min="6" max="6" width="11.5" style="1" bestFit="1" customWidth="1"/>
    <col min="7" max="8" width="9.35546875" style="1" bestFit="1" customWidth="1"/>
    <col min="9" max="9" width="21.35546875" style="1" bestFit="1" customWidth="1"/>
    <col min="10" max="16384" width="9.140625" style="1"/>
  </cols>
  <sheetData>
    <row r="1" spans="1:9">
      <c r="A1" s="7" t="s">
        <v>35</v>
      </c>
      <c r="B1" s="7" t="s">
        <v>12</v>
      </c>
      <c r="C1" s="7" t="s">
        <v>1</v>
      </c>
      <c r="D1" s="7" t="s">
        <v>2</v>
      </c>
      <c r="E1" s="7" t="s">
        <v>3</v>
      </c>
      <c r="F1" s="7" t="s">
        <v>37</v>
      </c>
      <c r="G1" s="7" t="s">
        <v>38</v>
      </c>
      <c r="H1" s="7" t="s">
        <v>1</v>
      </c>
      <c r="I1" s="7" t="s">
        <v>2</v>
      </c>
    </row>
    <row r="2" spans="1:9">
      <c r="A2" s="7"/>
      <c r="B2" s="7"/>
      <c r="C2" s="7"/>
      <c r="D2" s="7"/>
      <c r="E2" s="7"/>
      <c r="F2" s="7"/>
      <c r="G2" s="7"/>
    </row>
    <row r="3" spans="1:9">
      <c r="A3" s="1" t="str">
        <f>DEC2HEX(HEX2DEC(B3)-HEX2DEC(100000),8)</f>
        <v>003B934C</v>
      </c>
      <c r="B3" s="2" t="s">
        <v>13</v>
      </c>
      <c r="C3" s="2" t="s">
        <v>133</v>
      </c>
      <c r="D3" s="1" t="s">
        <v>125</v>
      </c>
      <c r="F3" s="1" t="str">
        <f>DEC2HEX(HEX2DEC(G3)-HEX2DEC(100000),8)</f>
        <v>003B9354</v>
      </c>
      <c r="G3" s="2" t="s">
        <v>39</v>
      </c>
      <c r="H3" s="2" t="s">
        <v>133</v>
      </c>
      <c r="I3" s="1" t="str">
        <f>D3</f>
        <v>push {lr}</v>
      </c>
    </row>
    <row r="4" spans="1:9">
      <c r="A4" s="1" t="str">
        <f t="shared" ref="A4:B13" si="0">DEC2HEX(HEX2DEC(A3)+4,8)</f>
        <v>003B9350</v>
      </c>
      <c r="B4" s="1" t="str">
        <f>DEC2HEX(HEX2DEC(B3)+4,8)</f>
        <v>004B9350</v>
      </c>
      <c r="C4" s="2" t="s">
        <v>24</v>
      </c>
      <c r="D4" s="1" t="s">
        <v>14</v>
      </c>
      <c r="F4" s="1" t="str">
        <f t="shared" ref="F4:G13" si="1">DEC2HEX(HEX2DEC(F3)+4,8)</f>
        <v>003B9358</v>
      </c>
      <c r="G4" s="1" t="str">
        <f t="shared" si="1"/>
        <v>004B9358</v>
      </c>
      <c r="H4" s="2" t="s">
        <v>24</v>
      </c>
      <c r="I4" s="1" t="s">
        <v>14</v>
      </c>
    </row>
    <row r="5" spans="1:9">
      <c r="A5" s="1" t="str">
        <f t="shared" si="0"/>
        <v>003B9354</v>
      </c>
      <c r="B5" s="1" t="str">
        <f t="shared" si="0"/>
        <v>004B9354</v>
      </c>
      <c r="C5" s="2" t="s">
        <v>25</v>
      </c>
      <c r="D5" s="1" t="s">
        <v>15</v>
      </c>
      <c r="F5" s="1" t="str">
        <f t="shared" si="1"/>
        <v>003B935C</v>
      </c>
      <c r="G5" s="1" t="str">
        <f t="shared" si="1"/>
        <v>004B935C</v>
      </c>
      <c r="H5" s="2" t="s">
        <v>25</v>
      </c>
      <c r="I5" s="1" t="s">
        <v>15</v>
      </c>
    </row>
    <row r="6" spans="1:9">
      <c r="A6" s="1" t="str">
        <f t="shared" si="0"/>
        <v>003B9358</v>
      </c>
      <c r="B6" s="1" t="str">
        <f t="shared" si="0"/>
        <v>004B9358</v>
      </c>
      <c r="C6" s="2" t="s">
        <v>27</v>
      </c>
      <c r="D6" s="1" t="s">
        <v>17</v>
      </c>
      <c r="F6" s="1" t="str">
        <f t="shared" si="1"/>
        <v>003B9360</v>
      </c>
      <c r="G6" s="1" t="str">
        <f t="shared" si="1"/>
        <v>004B9360</v>
      </c>
      <c r="H6" s="2" t="s">
        <v>27</v>
      </c>
      <c r="I6" s="1" t="s">
        <v>17</v>
      </c>
    </row>
    <row r="7" spans="1:9">
      <c r="A7" s="1" t="str">
        <f t="shared" si="0"/>
        <v>003B935C</v>
      </c>
      <c r="B7" s="1" t="str">
        <f t="shared" si="0"/>
        <v>004B935C</v>
      </c>
      <c r="C7" s="2" t="s">
        <v>29</v>
      </c>
      <c r="D7" s="1" t="s">
        <v>19</v>
      </c>
      <c r="F7" s="1" t="str">
        <f t="shared" si="1"/>
        <v>003B9364</v>
      </c>
      <c r="G7" s="1" t="str">
        <f t="shared" si="1"/>
        <v>004B9364</v>
      </c>
      <c r="H7" s="2" t="s">
        <v>29</v>
      </c>
      <c r="I7" s="1" t="s">
        <v>19</v>
      </c>
    </row>
    <row r="8" spans="1:9">
      <c r="A8" s="1" t="str">
        <f t="shared" si="0"/>
        <v>003B9360</v>
      </c>
      <c r="B8" s="1" t="str">
        <f t="shared" si="0"/>
        <v>004B9360</v>
      </c>
      <c r="C8" s="2" t="s">
        <v>30</v>
      </c>
      <c r="D8" s="1" t="s">
        <v>20</v>
      </c>
      <c r="F8" s="1" t="str">
        <f t="shared" si="1"/>
        <v>003B9368</v>
      </c>
      <c r="G8" s="1" t="str">
        <f t="shared" si="1"/>
        <v>004B9368</v>
      </c>
      <c r="H8" s="2" t="s">
        <v>30</v>
      </c>
      <c r="I8" s="1" t="s">
        <v>20</v>
      </c>
    </row>
    <row r="9" spans="1:9">
      <c r="A9" s="1" t="str">
        <f t="shared" si="0"/>
        <v>003B9364</v>
      </c>
      <c r="B9" s="1" t="str">
        <f t="shared" si="0"/>
        <v>004B9364</v>
      </c>
      <c r="C9" s="2" t="s">
        <v>31</v>
      </c>
      <c r="D9" s="1" t="s">
        <v>21</v>
      </c>
      <c r="F9" s="1" t="str">
        <f t="shared" si="1"/>
        <v>003B936C</v>
      </c>
      <c r="G9" s="1" t="str">
        <f t="shared" si="1"/>
        <v>004B936C</v>
      </c>
      <c r="H9" s="2" t="s">
        <v>31</v>
      </c>
      <c r="I9" s="1" t="s">
        <v>21</v>
      </c>
    </row>
    <row r="10" spans="1:9">
      <c r="A10" s="1" t="str">
        <f t="shared" si="0"/>
        <v>003B9368</v>
      </c>
      <c r="B10" s="1" t="str">
        <f t="shared" si="0"/>
        <v>004B9368</v>
      </c>
      <c r="C10" s="2" t="s">
        <v>32</v>
      </c>
      <c r="D10" s="1" t="s">
        <v>22</v>
      </c>
      <c r="F10" s="1" t="str">
        <f t="shared" si="1"/>
        <v>003B9370</v>
      </c>
      <c r="G10" s="1" t="str">
        <f t="shared" si="1"/>
        <v>004B9370</v>
      </c>
      <c r="H10" s="2" t="s">
        <v>32</v>
      </c>
      <c r="I10" s="1" t="s">
        <v>22</v>
      </c>
    </row>
    <row r="11" spans="1:9">
      <c r="A11" s="1" t="str">
        <f t="shared" si="0"/>
        <v>003B936C</v>
      </c>
      <c r="B11" s="1" t="str">
        <f t="shared" si="0"/>
        <v>004B936C</v>
      </c>
      <c r="C11" s="1" t="s">
        <v>33</v>
      </c>
      <c r="D11" s="1" t="s">
        <v>23</v>
      </c>
      <c r="F11" s="1" t="str">
        <f t="shared" si="1"/>
        <v>003B9374</v>
      </c>
      <c r="G11" s="1" t="str">
        <f t="shared" si="1"/>
        <v>004B9374</v>
      </c>
      <c r="H11" s="1" t="s">
        <v>33</v>
      </c>
      <c r="I11" s="1" t="s">
        <v>23</v>
      </c>
    </row>
    <row r="12" spans="1:9">
      <c r="A12" s="1" t="str">
        <f t="shared" si="0"/>
        <v>003B9370</v>
      </c>
      <c r="B12" s="1" t="str">
        <f t="shared" si="0"/>
        <v>004B9370</v>
      </c>
      <c r="C12" s="18" t="s">
        <v>134</v>
      </c>
      <c r="D12" s="1" t="s">
        <v>127</v>
      </c>
      <c r="F12" s="1" t="str">
        <f t="shared" si="1"/>
        <v>003B9378</v>
      </c>
      <c r="G12" s="1" t="str">
        <f t="shared" si="1"/>
        <v>004B9378</v>
      </c>
      <c r="H12" s="18" t="s">
        <v>134</v>
      </c>
      <c r="I12" s="1" t="s">
        <v>126</v>
      </c>
    </row>
    <row r="13" spans="1:9">
      <c r="A13" s="1" t="str">
        <f t="shared" si="0"/>
        <v>003B9374</v>
      </c>
      <c r="B13" s="1" t="str">
        <f t="shared" si="0"/>
        <v>004B9374</v>
      </c>
      <c r="C13" s="1" t="s">
        <v>162</v>
      </c>
      <c r="D13" s="1" t="str">
        <f>_xlfn.CONCAT("b 0x",DEC2HEX(HEX2DEC('Edited bag.cro &amp; field.cro'!A46)+HEX2DEC("6dd000"),8))</f>
        <v>b 0x007ABD08</v>
      </c>
      <c r="F13" s="1" t="str">
        <f t="shared" si="1"/>
        <v>003B937C</v>
      </c>
      <c r="G13" s="1" t="str">
        <f t="shared" si="1"/>
        <v>004B937C</v>
      </c>
      <c r="H13" s="1" t="s">
        <v>163</v>
      </c>
      <c r="I13" s="1" t="str">
        <f>D13</f>
        <v>b 0x007ABD08</v>
      </c>
    </row>
    <row r="14" spans="1:9">
      <c r="D14" s="1" t="str">
        <f>_xlfn.CONCAT("b 0x",B16)</f>
        <v>b 0x0032171C</v>
      </c>
      <c r="I14" s="1" t="str">
        <f>_xlfn.CONCAT("b 0x",G16)</f>
        <v>b 0x0032171C</v>
      </c>
    </row>
    <row r="15" spans="1:9">
      <c r="A15" s="7" t="s">
        <v>41</v>
      </c>
      <c r="B15" s="7"/>
      <c r="C15" s="7"/>
      <c r="D15" s="7"/>
    </row>
    <row r="16" spans="1:9">
      <c r="A16" s="3" t="str">
        <f>DEC2HEX(HEX2DEC(B16)-HEX2DEC(100000),8)</f>
        <v>0022171C</v>
      </c>
      <c r="B16" s="4" t="s">
        <v>161</v>
      </c>
      <c r="C16" s="4" t="s">
        <v>135</v>
      </c>
      <c r="D16" s="3" t="s">
        <v>128</v>
      </c>
      <c r="E16" s="3" t="s">
        <v>129</v>
      </c>
      <c r="F16" s="3" t="str">
        <f>DEC2HEX(HEX2DEC(G16)-HEX2DEC(100000),8)</f>
        <v>0022171C</v>
      </c>
      <c r="G16" s="4" t="s">
        <v>161</v>
      </c>
      <c r="H16" s="4" t="s">
        <v>135</v>
      </c>
      <c r="I16" s="3" t="s">
        <v>128</v>
      </c>
    </row>
    <row r="17" spans="1:9">
      <c r="A17" s="3" t="str">
        <f t="shared" ref="A17:B30" si="2">DEC2HEX(HEX2DEC(A16)+4,8)</f>
        <v>00221720</v>
      </c>
      <c r="B17" s="4" t="str">
        <f t="shared" si="2"/>
        <v>00321720</v>
      </c>
      <c r="C17" s="4" t="s">
        <v>148</v>
      </c>
      <c r="D17" s="3" t="str">
        <f>_xlfn.CONCAT("beq 0x",B28)</f>
        <v>beq 0x0032174C</v>
      </c>
      <c r="E17" s="3" t="s">
        <v>136</v>
      </c>
      <c r="F17" s="3" t="str">
        <f t="shared" ref="F17:G17" si="3">DEC2HEX(HEX2DEC(F16)+4,8)</f>
        <v>00221720</v>
      </c>
      <c r="G17" s="4" t="str">
        <f t="shared" si="3"/>
        <v>00321720</v>
      </c>
      <c r="H17" s="4" t="s">
        <v>148</v>
      </c>
      <c r="I17" s="3" t="str">
        <f>_xlfn.CONCAT("beq 0x",G28)</f>
        <v>beq 0x0032174C</v>
      </c>
    </row>
    <row r="18" spans="1:9">
      <c r="A18" s="16" t="str">
        <f t="shared" si="2"/>
        <v>00221724</v>
      </c>
      <c r="B18" s="17" t="str">
        <f t="shared" si="2"/>
        <v>00321724</v>
      </c>
      <c r="C18" s="17" t="s">
        <v>149</v>
      </c>
      <c r="D18" s="16" t="str">
        <f>_xlfn.CONCAT("ldr r1, [pc, #",HEX2DEC(B$29)-HEX2DEC(B18)-8,"]")</f>
        <v>ldr r1, [pc, #36]</v>
      </c>
      <c r="E18" s="16" t="s">
        <v>132</v>
      </c>
      <c r="F18" s="16" t="str">
        <f t="shared" ref="F18:G18" si="4">DEC2HEX(HEX2DEC(F17)+4,8)</f>
        <v>00221724</v>
      </c>
      <c r="G18" s="17" t="str">
        <f t="shared" si="4"/>
        <v>00321724</v>
      </c>
      <c r="H18" s="17" t="s">
        <v>149</v>
      </c>
      <c r="I18" s="16" t="str">
        <f>_xlfn.CONCAT("ldr r1, [pc, #",HEX2DEC(G$29)-HEX2DEC(G18)-8,"]")</f>
        <v>ldr r1, [pc, #36]</v>
      </c>
    </row>
    <row r="19" spans="1:9">
      <c r="A19" s="16" t="str">
        <f t="shared" si="2"/>
        <v>00221728</v>
      </c>
      <c r="B19" s="17" t="str">
        <f t="shared" si="2"/>
        <v>00321728</v>
      </c>
      <c r="C19" s="17" t="s">
        <v>150</v>
      </c>
      <c r="D19" s="16" t="s">
        <v>138</v>
      </c>
      <c r="E19" s="16" t="s">
        <v>43</v>
      </c>
      <c r="F19" s="16" t="str">
        <f t="shared" ref="F19:G19" si="5">DEC2HEX(HEX2DEC(F18)+4,8)</f>
        <v>00221728</v>
      </c>
      <c r="G19" s="17" t="str">
        <f t="shared" si="5"/>
        <v>00321728</v>
      </c>
      <c r="H19" s="17" t="s">
        <v>150</v>
      </c>
      <c r="I19" s="16" t="s">
        <v>138</v>
      </c>
    </row>
    <row r="20" spans="1:9">
      <c r="A20" s="16" t="str">
        <f t="shared" si="2"/>
        <v>0022172C</v>
      </c>
      <c r="B20" s="17" t="str">
        <f t="shared" si="2"/>
        <v>0032172C</v>
      </c>
      <c r="C20" s="17" t="s">
        <v>151</v>
      </c>
      <c r="D20" s="16" t="s">
        <v>139</v>
      </c>
      <c r="E20" s="16" t="s">
        <v>44</v>
      </c>
      <c r="F20" s="16" t="str">
        <f t="shared" ref="F20:G20" si="6">DEC2HEX(HEX2DEC(F19)+4,8)</f>
        <v>0022172C</v>
      </c>
      <c r="G20" s="17" t="str">
        <f t="shared" si="6"/>
        <v>0032172C</v>
      </c>
      <c r="H20" s="17" t="s">
        <v>151</v>
      </c>
      <c r="I20" s="16" t="s">
        <v>139</v>
      </c>
    </row>
    <row r="21" spans="1:9">
      <c r="A21" s="16" t="str">
        <f t="shared" si="2"/>
        <v>00221730</v>
      </c>
      <c r="B21" s="17" t="str">
        <f t="shared" si="2"/>
        <v>00321730</v>
      </c>
      <c r="C21" s="17" t="s">
        <v>152</v>
      </c>
      <c r="D21" s="16" t="s">
        <v>140</v>
      </c>
      <c r="E21" s="16" t="s">
        <v>45</v>
      </c>
      <c r="F21" s="16" t="str">
        <f t="shared" ref="F21:G21" si="7">DEC2HEX(HEX2DEC(F20)+4,8)</f>
        <v>00221730</v>
      </c>
      <c r="G21" s="17" t="str">
        <f t="shared" si="7"/>
        <v>00321730</v>
      </c>
      <c r="H21" s="17" t="s">
        <v>152</v>
      </c>
      <c r="I21" s="16" t="s">
        <v>140</v>
      </c>
    </row>
    <row r="22" spans="1:9">
      <c r="A22" s="3" t="str">
        <f t="shared" si="2"/>
        <v>00221734</v>
      </c>
      <c r="B22" s="3" t="str">
        <f t="shared" si="2"/>
        <v>00321734</v>
      </c>
      <c r="C22" s="3" t="s">
        <v>153</v>
      </c>
      <c r="D22" s="3" t="str">
        <f>_xlfn.CONCAT("bne 0x",B28)</f>
        <v>bne 0x0032174C</v>
      </c>
      <c r="E22" s="3" t="s">
        <v>137</v>
      </c>
      <c r="F22" s="3" t="str">
        <f t="shared" ref="F22:G22" si="8">DEC2HEX(HEX2DEC(F21)+4,8)</f>
        <v>00221734</v>
      </c>
      <c r="G22" s="3" t="str">
        <f t="shared" si="8"/>
        <v>00321734</v>
      </c>
      <c r="H22" s="3" t="s">
        <v>153</v>
      </c>
      <c r="I22" s="3" t="str">
        <f>_xlfn.CONCAT("bne 0x",G28)</f>
        <v>bne 0x0032174C</v>
      </c>
    </row>
    <row r="23" spans="1:9">
      <c r="A23" s="5" t="str">
        <f t="shared" si="2"/>
        <v>00221738</v>
      </c>
      <c r="B23" s="6" t="str">
        <f t="shared" si="2"/>
        <v>00321738</v>
      </c>
      <c r="C23" s="6" t="s">
        <v>154</v>
      </c>
      <c r="D23" s="5" t="str">
        <f>_xlfn.CONCAT("ldr r1, [pc, #",HEX2DEC(B$30)-HEX2DEC(B23)-8,"]")</f>
        <v>ldr r1, [pc, #20]</v>
      </c>
      <c r="E23" s="5" t="s">
        <v>124</v>
      </c>
      <c r="F23" s="5" t="str">
        <f t="shared" ref="F23:G23" si="9">DEC2HEX(HEX2DEC(F22)+4,8)</f>
        <v>00221738</v>
      </c>
      <c r="G23" s="6" t="str">
        <f t="shared" si="9"/>
        <v>00321738</v>
      </c>
      <c r="H23" s="6" t="s">
        <v>154</v>
      </c>
      <c r="I23" s="5" t="str">
        <f>_xlfn.CONCAT("ldr r1, [pc, #",HEX2DEC(G$30)-HEX2DEC(G23)-8,"]")</f>
        <v>ldr r1, [pc, #20]</v>
      </c>
    </row>
    <row r="24" spans="1:9">
      <c r="A24" s="5" t="str">
        <f t="shared" si="2"/>
        <v>0022173C</v>
      </c>
      <c r="B24" s="6" t="str">
        <f t="shared" si="2"/>
        <v>0032173C</v>
      </c>
      <c r="C24" s="6" t="s">
        <v>155</v>
      </c>
      <c r="D24" s="5" t="s">
        <v>142</v>
      </c>
      <c r="E24" s="5" t="s">
        <v>123</v>
      </c>
      <c r="F24" s="5" t="str">
        <f t="shared" ref="F24:G24" si="10">DEC2HEX(HEX2DEC(F23)+4,8)</f>
        <v>0022173C</v>
      </c>
      <c r="G24" s="6" t="str">
        <f t="shared" si="10"/>
        <v>0032173C</v>
      </c>
      <c r="H24" s="6" t="s">
        <v>155</v>
      </c>
      <c r="I24" s="5" t="s">
        <v>142</v>
      </c>
    </row>
    <row r="25" spans="1:9">
      <c r="A25" s="1" t="str">
        <f t="shared" si="2"/>
        <v>00221740</v>
      </c>
      <c r="B25" s="2" t="str">
        <f t="shared" si="2"/>
        <v>00321740</v>
      </c>
      <c r="C25" s="2" t="s">
        <v>156</v>
      </c>
      <c r="D25" s="1" t="s">
        <v>143</v>
      </c>
      <c r="E25" s="1" t="s">
        <v>144</v>
      </c>
      <c r="F25" s="1" t="str">
        <f t="shared" ref="F25:G25" si="11">DEC2HEX(HEX2DEC(F24)+4,8)</f>
        <v>00221740</v>
      </c>
      <c r="G25" s="2" t="str">
        <f t="shared" si="11"/>
        <v>00321740</v>
      </c>
      <c r="H25" s="2" t="s">
        <v>156</v>
      </c>
      <c r="I25" s="1" t="s">
        <v>143</v>
      </c>
    </row>
    <row r="26" spans="1:9">
      <c r="A26" s="1" t="str">
        <f t="shared" si="2"/>
        <v>00221744</v>
      </c>
      <c r="B26" s="1" t="str">
        <f t="shared" si="2"/>
        <v>00321744</v>
      </c>
      <c r="C26" s="1" t="s">
        <v>157</v>
      </c>
      <c r="D26" s="1" t="s">
        <v>145</v>
      </c>
      <c r="E26" s="1" t="s">
        <v>146</v>
      </c>
      <c r="F26" s="1" t="str">
        <f t="shared" ref="F26:G26" si="12">DEC2HEX(HEX2DEC(F25)+4,8)</f>
        <v>00221744</v>
      </c>
      <c r="G26" s="1" t="str">
        <f t="shared" si="12"/>
        <v>00321744</v>
      </c>
      <c r="H26" s="1" t="s">
        <v>157</v>
      </c>
      <c r="I26" s="1" t="s">
        <v>145</v>
      </c>
    </row>
    <row r="27" spans="1:9">
      <c r="A27" s="1" t="str">
        <f t="shared" si="2"/>
        <v>00221748</v>
      </c>
      <c r="B27" s="2" t="str">
        <f t="shared" si="2"/>
        <v>00321748</v>
      </c>
      <c r="C27" s="2" t="s">
        <v>5</v>
      </c>
      <c r="D27" s="1" t="s">
        <v>4</v>
      </c>
      <c r="E27" s="1" t="s">
        <v>147</v>
      </c>
      <c r="F27" s="1" t="str">
        <f t="shared" ref="F27:G27" si="13">DEC2HEX(HEX2DEC(F26)+4,8)</f>
        <v>00221748</v>
      </c>
      <c r="G27" s="2" t="str">
        <f t="shared" si="13"/>
        <v>00321748</v>
      </c>
      <c r="H27" s="2" t="s">
        <v>5</v>
      </c>
      <c r="I27" s="1" t="s">
        <v>4</v>
      </c>
    </row>
    <row r="28" spans="1:9">
      <c r="A28" s="3" t="str">
        <f t="shared" si="2"/>
        <v>0022174C</v>
      </c>
      <c r="B28" s="4" t="str">
        <f t="shared" si="2"/>
        <v>0032174C</v>
      </c>
      <c r="C28" s="4" t="s">
        <v>158</v>
      </c>
      <c r="D28" s="3" t="s">
        <v>141</v>
      </c>
      <c r="E28" s="3"/>
      <c r="F28" s="3" t="str">
        <f t="shared" ref="F28:G28" si="14">DEC2HEX(HEX2DEC(F27)+4,8)</f>
        <v>0022174C</v>
      </c>
      <c r="G28" s="4" t="str">
        <f t="shared" si="14"/>
        <v>0032174C</v>
      </c>
      <c r="H28" s="4" t="s">
        <v>158</v>
      </c>
      <c r="I28" s="3" t="s">
        <v>141</v>
      </c>
    </row>
    <row r="29" spans="1:9">
      <c r="A29" s="1" t="str">
        <f t="shared" si="2"/>
        <v>00221750</v>
      </c>
      <c r="B29" s="2" t="str">
        <f t="shared" si="2"/>
        <v>00321750</v>
      </c>
      <c r="C29" s="2" t="s">
        <v>10</v>
      </c>
      <c r="D29" s="1" t="s">
        <v>130</v>
      </c>
      <c r="F29" s="1" t="str">
        <f t="shared" ref="F29:G29" si="15">DEC2HEX(HEX2DEC(F28)+4,8)</f>
        <v>00221750</v>
      </c>
      <c r="G29" s="2" t="str">
        <f t="shared" si="15"/>
        <v>00321750</v>
      </c>
      <c r="H29" s="2" t="s">
        <v>10</v>
      </c>
      <c r="I29" s="1" t="s">
        <v>130</v>
      </c>
    </row>
    <row r="30" spans="1:9">
      <c r="A30" s="1" t="str">
        <f t="shared" si="2"/>
        <v>00221754</v>
      </c>
      <c r="B30" s="1" t="str">
        <f t="shared" si="2"/>
        <v>00321754</v>
      </c>
      <c r="C30" s="1" t="s">
        <v>159</v>
      </c>
      <c r="D30" s="1" t="s">
        <v>131</v>
      </c>
      <c r="F30" s="1" t="str">
        <f t="shared" ref="F30:G30" si="16">DEC2HEX(HEX2DEC(F29)+4,8)</f>
        <v>00221754</v>
      </c>
      <c r="G30" s="1" t="str">
        <f t="shared" si="16"/>
        <v>00321754</v>
      </c>
      <c r="H30" s="1" t="s">
        <v>159</v>
      </c>
      <c r="I30" s="1" t="s">
        <v>131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2A954-F000-408A-94CE-A02E0F185B43}">
  <dimension ref="A1:I16"/>
  <sheetViews>
    <sheetView workbookViewId="0">
      <pane ySplit="1" topLeftCell="A2" activePane="bottomLeft" state="frozen"/>
      <selection pane="bottomLeft" activeCell="A2" sqref="A2:I13"/>
    </sheetView>
  </sheetViews>
  <sheetFormatPr defaultRowHeight="15.9"/>
  <cols>
    <col min="1" max="1" width="11.5" style="1" bestFit="1" customWidth="1"/>
    <col min="2" max="3" width="9.35546875" style="1" bestFit="1" customWidth="1"/>
    <col min="4" max="4" width="21.35546875" style="1" bestFit="1" customWidth="1"/>
    <col min="5" max="5" width="6.140625" style="1" bestFit="1" customWidth="1"/>
    <col min="6" max="6" width="11.5" style="1" bestFit="1" customWidth="1"/>
    <col min="7" max="8" width="9.35546875" style="1" bestFit="1" customWidth="1"/>
    <col min="9" max="9" width="21.35546875" style="1" bestFit="1" customWidth="1"/>
    <col min="10" max="16384" width="9.140625" style="1"/>
  </cols>
  <sheetData>
    <row r="1" spans="1:9">
      <c r="A1" s="7" t="s">
        <v>35</v>
      </c>
      <c r="B1" s="7" t="s">
        <v>12</v>
      </c>
      <c r="C1" s="7" t="s">
        <v>1</v>
      </c>
      <c r="D1" s="7" t="s">
        <v>2</v>
      </c>
      <c r="E1" s="7" t="s">
        <v>3</v>
      </c>
      <c r="F1" s="7" t="s">
        <v>37</v>
      </c>
      <c r="G1" s="7" t="s">
        <v>38</v>
      </c>
      <c r="H1" s="7" t="s">
        <v>1</v>
      </c>
      <c r="I1" s="7" t="s">
        <v>2</v>
      </c>
    </row>
    <row r="2" spans="1:9">
      <c r="A2" s="19" t="s">
        <v>11</v>
      </c>
      <c r="B2" s="19"/>
      <c r="C2" s="19"/>
      <c r="D2" s="19"/>
      <c r="E2" s="19"/>
      <c r="F2" s="19"/>
      <c r="G2" s="19"/>
    </row>
    <row r="3" spans="1:9">
      <c r="A3" s="1" t="str">
        <f>DEC2HEX(HEX2DEC(B3)-HEX2DEC(100000),8)</f>
        <v>003B934C</v>
      </c>
      <c r="B3" s="2" t="s">
        <v>13</v>
      </c>
      <c r="C3" s="2" t="s">
        <v>24</v>
      </c>
      <c r="D3" s="1" t="s">
        <v>14</v>
      </c>
      <c r="F3" s="1" t="str">
        <f>DEC2HEX(HEX2DEC(G3)-HEX2DEC(100000),8)</f>
        <v>003B9354</v>
      </c>
      <c r="G3" s="2" t="s">
        <v>39</v>
      </c>
      <c r="H3" s="2" t="s">
        <v>24</v>
      </c>
      <c r="I3" s="1" t="s">
        <v>14</v>
      </c>
    </row>
    <row r="4" spans="1:9">
      <c r="A4" s="1" t="str">
        <f t="shared" ref="A4:A13" si="0">DEC2HEX(HEX2DEC(A3)+4,8)</f>
        <v>003B9350</v>
      </c>
      <c r="B4" s="1" t="str">
        <f>DEC2HEX(HEX2DEC(B3)+4,8)</f>
        <v>004B9350</v>
      </c>
      <c r="C4" s="2" t="s">
        <v>25</v>
      </c>
      <c r="D4" s="1" t="s">
        <v>15</v>
      </c>
      <c r="F4" s="1" t="str">
        <f t="shared" ref="F4:F13" si="1">DEC2HEX(HEX2DEC(F3)+4,8)</f>
        <v>003B9358</v>
      </c>
      <c r="G4" s="1" t="str">
        <f t="shared" ref="G4:G13" si="2">DEC2HEX(HEX2DEC(G3)+4,8)</f>
        <v>004B9358</v>
      </c>
      <c r="H4" s="2" t="s">
        <v>25</v>
      </c>
      <c r="I4" s="1" t="s">
        <v>15</v>
      </c>
    </row>
    <row r="5" spans="1:9">
      <c r="A5" s="1" t="str">
        <f t="shared" si="0"/>
        <v>003B9354</v>
      </c>
      <c r="B5" s="1" t="str">
        <f t="shared" ref="B5:B13" si="3">DEC2HEX(HEX2DEC(B4)+4,8)</f>
        <v>004B9354</v>
      </c>
      <c r="C5" s="2" t="s">
        <v>26</v>
      </c>
      <c r="D5" s="1" t="s">
        <v>16</v>
      </c>
      <c r="F5" s="1" t="str">
        <f t="shared" si="1"/>
        <v>003B935C</v>
      </c>
      <c r="G5" s="1" t="str">
        <f t="shared" si="2"/>
        <v>004B935C</v>
      </c>
      <c r="H5" s="1" t="s">
        <v>26</v>
      </c>
      <c r="I5" s="1" t="s">
        <v>16</v>
      </c>
    </row>
    <row r="6" spans="1:9">
      <c r="A6" s="1" t="str">
        <f t="shared" si="0"/>
        <v>003B9358</v>
      </c>
      <c r="B6" s="1" t="str">
        <f t="shared" si="3"/>
        <v>004B9358</v>
      </c>
      <c r="C6" s="2" t="s">
        <v>27</v>
      </c>
      <c r="D6" s="1" t="s">
        <v>17</v>
      </c>
      <c r="F6" s="1" t="str">
        <f t="shared" si="1"/>
        <v>003B9360</v>
      </c>
      <c r="G6" s="1" t="str">
        <f t="shared" si="2"/>
        <v>004B9360</v>
      </c>
      <c r="H6" s="2" t="s">
        <v>27</v>
      </c>
      <c r="I6" s="1" t="s">
        <v>17</v>
      </c>
    </row>
    <row r="7" spans="1:9">
      <c r="A7" s="1" t="str">
        <f t="shared" si="0"/>
        <v>003B935C</v>
      </c>
      <c r="B7" s="1" t="str">
        <f t="shared" si="3"/>
        <v>004B935C</v>
      </c>
      <c r="C7" s="2" t="s">
        <v>28</v>
      </c>
      <c r="D7" s="1" t="s">
        <v>18</v>
      </c>
      <c r="F7" s="1" t="str">
        <f t="shared" si="1"/>
        <v>003B9364</v>
      </c>
      <c r="G7" s="1" t="str">
        <f t="shared" si="2"/>
        <v>004B9364</v>
      </c>
      <c r="H7" s="1" t="s">
        <v>28</v>
      </c>
      <c r="I7" s="1" t="s">
        <v>18</v>
      </c>
    </row>
    <row r="8" spans="1:9">
      <c r="A8" s="1" t="str">
        <f t="shared" si="0"/>
        <v>003B9360</v>
      </c>
      <c r="B8" s="1" t="str">
        <f t="shared" si="3"/>
        <v>004B9360</v>
      </c>
      <c r="C8" s="2" t="s">
        <v>29</v>
      </c>
      <c r="D8" s="1" t="s">
        <v>19</v>
      </c>
      <c r="F8" s="1" t="str">
        <f t="shared" si="1"/>
        <v>003B9368</v>
      </c>
      <c r="G8" s="1" t="str">
        <f t="shared" si="2"/>
        <v>004B9368</v>
      </c>
      <c r="H8" s="2" t="s">
        <v>29</v>
      </c>
      <c r="I8" s="1" t="s">
        <v>19</v>
      </c>
    </row>
    <row r="9" spans="1:9">
      <c r="A9" s="1" t="str">
        <f t="shared" si="0"/>
        <v>003B9364</v>
      </c>
      <c r="B9" s="1" t="str">
        <f t="shared" si="3"/>
        <v>004B9364</v>
      </c>
      <c r="C9" s="2" t="s">
        <v>30</v>
      </c>
      <c r="D9" s="1" t="s">
        <v>20</v>
      </c>
      <c r="F9" s="1" t="str">
        <f t="shared" si="1"/>
        <v>003B936C</v>
      </c>
      <c r="G9" s="1" t="str">
        <f t="shared" si="2"/>
        <v>004B936C</v>
      </c>
      <c r="H9" s="2" t="s">
        <v>30</v>
      </c>
      <c r="I9" s="1" t="s">
        <v>20</v>
      </c>
    </row>
    <row r="10" spans="1:9">
      <c r="A10" s="1" t="str">
        <f t="shared" si="0"/>
        <v>003B9368</v>
      </c>
      <c r="B10" s="1" t="str">
        <f t="shared" si="3"/>
        <v>004B9368</v>
      </c>
      <c r="C10" s="2" t="s">
        <v>31</v>
      </c>
      <c r="D10" s="1" t="s">
        <v>21</v>
      </c>
      <c r="F10" s="1" t="str">
        <f t="shared" si="1"/>
        <v>003B9370</v>
      </c>
      <c r="G10" s="1" t="str">
        <f t="shared" si="2"/>
        <v>004B9370</v>
      </c>
      <c r="H10" s="2" t="s">
        <v>31</v>
      </c>
      <c r="I10" s="1" t="s">
        <v>21</v>
      </c>
    </row>
    <row r="11" spans="1:9">
      <c r="A11" s="1" t="str">
        <f t="shared" si="0"/>
        <v>003B936C</v>
      </c>
      <c r="B11" s="1" t="str">
        <f t="shared" si="3"/>
        <v>004B936C</v>
      </c>
      <c r="C11" s="1" t="s">
        <v>32</v>
      </c>
      <c r="D11" s="1" t="s">
        <v>22</v>
      </c>
      <c r="F11" s="1" t="str">
        <f t="shared" si="1"/>
        <v>003B9374</v>
      </c>
      <c r="G11" s="1" t="str">
        <f t="shared" si="2"/>
        <v>004B9374</v>
      </c>
      <c r="H11" s="1" t="s">
        <v>32</v>
      </c>
      <c r="I11" s="1" t="s">
        <v>22</v>
      </c>
    </row>
    <row r="12" spans="1:9">
      <c r="A12" s="1" t="str">
        <f t="shared" si="0"/>
        <v>003B9370</v>
      </c>
      <c r="B12" s="1" t="str">
        <f t="shared" si="3"/>
        <v>004B9370</v>
      </c>
      <c r="C12" s="1" t="s">
        <v>33</v>
      </c>
      <c r="D12" s="1" t="s">
        <v>23</v>
      </c>
      <c r="F12" s="1" t="str">
        <f t="shared" si="1"/>
        <v>003B9378</v>
      </c>
      <c r="G12" s="1" t="str">
        <f t="shared" si="2"/>
        <v>004B9378</v>
      </c>
      <c r="H12" s="1" t="s">
        <v>33</v>
      </c>
      <c r="I12" s="1" t="s">
        <v>23</v>
      </c>
    </row>
    <row r="13" spans="1:9">
      <c r="A13" s="1" t="str">
        <f t="shared" si="0"/>
        <v>003B9374</v>
      </c>
      <c r="B13" s="1" t="str">
        <f t="shared" si="3"/>
        <v>004B9374</v>
      </c>
      <c r="C13" s="1" t="s">
        <v>34</v>
      </c>
      <c r="D13" s="1" t="s">
        <v>36</v>
      </c>
      <c r="F13" s="1" t="str">
        <f t="shared" si="1"/>
        <v>003B937C</v>
      </c>
      <c r="G13" s="1" t="str">
        <f t="shared" si="2"/>
        <v>004B937C</v>
      </c>
      <c r="H13" s="1" t="s">
        <v>34</v>
      </c>
      <c r="I13" s="1" t="s">
        <v>40</v>
      </c>
    </row>
    <row r="16" spans="1:9">
      <c r="B16" s="2"/>
      <c r="D16" s="2"/>
      <c r="G16" s="2"/>
      <c r="I16" s="2"/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Edited bag.cro &amp; field.cro</vt:lpstr>
      <vt:lpstr>Edited code.bin</vt:lpstr>
      <vt:lpstr>original code.bin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2026-06-11T04:47:06Z</dcterms:modified>
</cp:coreProperties>
</file>