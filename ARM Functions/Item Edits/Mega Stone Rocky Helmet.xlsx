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ropbox\ROM\3ds\USUM ARM research\Item Edits\"/>
    </mc:Choice>
  </mc:AlternateContent>
  <xr:revisionPtr revIDLastSave="0" documentId="13_ncr:1_{9906FF87-62F1-47EF-9B6E-769B508E14D2}" xr6:coauthVersionLast="47" xr6:coauthVersionMax="47" xr10:uidLastSave="{00000000-0000-0000-0000-000000000000}"/>
  <bookViews>
    <workbookView xWindow="0" yWindow="0" windowWidth="16457" windowHeight="17914" xr2:uid="{6B563214-6527-4E5F-B5EA-E821D6DED3A7}"/>
  </bookViews>
  <sheets>
    <sheet name="Code" sheetId="1" r:id="rId1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7" i="1" l="1"/>
  <c r="A18" i="1" s="1"/>
  <c r="A19" i="1" s="1"/>
  <c r="A11" i="1" l="1"/>
  <c r="A12" i="1" s="1"/>
  <c r="A13" i="1" s="1"/>
  <c r="A14" i="1" s="1"/>
  <c r="A15" i="1" s="1"/>
  <c r="A16" i="1" s="1"/>
  <c r="C17" i="1"/>
  <c r="C19" i="1" s="1"/>
  <c r="A2" i="1" a="1"/>
  <c r="A2" i="1" s="1"/>
  <c r="A4" i="1"/>
  <c r="A5" i="1" s="1"/>
  <c r="A6" i="1" s="1"/>
  <c r="A7" i="1" s="1"/>
  <c r="B3" i="1"/>
  <c r="C16" i="1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<sst xmlns="http://schemas.openxmlformats.org/spreadsheetml/2006/main" count="37" uniqueCount="37">
  <si>
    <t>notes</t>
  </si>
  <si>
    <t>instruction</t>
  </si>
  <si>
    <t>Hex</t>
  </si>
  <si>
    <t>Address</t>
  </si>
  <si>
    <t>001080E5</t>
  </si>
  <si>
    <t>str r1, [r0]</t>
  </si>
  <si>
    <t>00009FE5</t>
  </si>
  <si>
    <t>ldr r0, [pc]</t>
  </si>
  <si>
    <t>1EFF2FE1</t>
  </si>
  <si>
    <t>bx lr</t>
  </si>
  <si>
    <t>00000000</t>
  </si>
  <si>
    <t>andeq r0, r0, r0</t>
  </si>
  <si>
    <t>mov r1, 0x1</t>
  </si>
  <si>
    <t>bl 0x00092298</t>
  </si>
  <si>
    <t>Rocky Helmet 0x60</t>
  </si>
  <si>
    <t>mov r0, r1</t>
  </si>
  <si>
    <t>mov r1, r2</t>
  </si>
  <si>
    <t>get pointer</t>
  </si>
  <si>
    <t>push {r0, r1, r2, r3, lr}</t>
  </si>
  <si>
    <t>get species</t>
  </si>
  <si>
    <t>get table</t>
  </si>
  <si>
    <t>b 0x000B9F50</t>
  </si>
  <si>
    <t>branch to rockuy helmet</t>
  </si>
  <si>
    <t>000D3E04</t>
  </si>
  <si>
    <t>00101E14</t>
  </si>
  <si>
    <t>0F402DE9</t>
  </si>
  <si>
    <t>0100A0E1</t>
  </si>
  <si>
    <t>0210A0E1</t>
  </si>
  <si>
    <t>1C41FEEB</t>
  </si>
  <si>
    <t>0F40BDE8</t>
  </si>
  <si>
    <t>0F80BDE8</t>
  </si>
  <si>
    <t>bl 0x000D6F98</t>
  </si>
  <si>
    <t>cmp r0, 0x1</t>
  </si>
  <si>
    <t>5B54FFEB</t>
  </si>
  <si>
    <t>010050E3</t>
  </si>
  <si>
    <t>0100001A</t>
  </si>
  <si>
    <t>45E0FEEA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</si>
</sst>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theme="1"/>
      <name val="Cascadia Code"/>
      <family val="3"/>
    </font>
    <font>
      <sz val="11"/>
      <color theme="1"/>
      <name val="Cascadia Code"/>
      <family val="3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quotePrefix="1" applyFont="1"/>
    <xf numFmtId="0" fontId="2" fillId="3" borderId="0" xfId="0" applyFont="1" applyFill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45B0BF-76E7-4635-9005-9D6B1877FAE8}">
  <dimension ref="A1:D19"/>
  <sheetViews>
    <sheetView tabSelected="1" workbookViewId="0">
      <pane ySplit="1" topLeftCell="A2" activePane="bottomLeft" state="frozen"/>
      <selection pane="bottomLeft" activeCell="A10" sqref="A10"/>
    </sheetView>
  </sheetViews>
  <sheetFormatPr defaultRowHeight="15.9"/>
  <cols>
    <col min="1" max="1" width="9.140625" style="2"/>
    <col min="2" max="2" width="9.35546875" style="2" bestFit="1" customWidth="1"/>
    <col min="3" max="3" width="23.5" style="2" bestFit="1" customWidth="1"/>
    <col min="4" max="4" width="51.85546875" style="2" bestFit="1" customWidth="1"/>
    <col min="5" max="7" width="9.140625" style="2"/>
    <col min="8" max="8" width="17.35546875" style="2" customWidth="1"/>
    <col min="9" max="16384" width="9.140625" style="2"/>
  </cols>
  <sheetData>
    <row r="1" spans="1:4">
      <c r="A1" s="1" t="s">
        <v>3</v>
      </c>
      <c r="B1" s="1" t="s">
        <v>2</v>
      </c>
      <c r="C1" s="1" t="s">
        <v>1</v>
      </c>
      <c r="D1" s="1" t="s">
        <v>0</v>
      </c>
    </row>
    <row r="2" spans="1:4">
      <c r="A2" s="1" t="str" cm="1">
        <f t="array" aca="1" ref="A2" ca="1">SUBSTITUTE(MID(CELL("filename"),SEARCH("[",CELL("filename"))+1,SEARCH("]",CELL("filename"))-SEARCH("[",CELL("filename"))-1),".xlsx","")&amp;" Call Function"</f>
        <v>Mega Stone Rocky Helmet Call Function</v>
      </c>
      <c r="B2" s="1"/>
      <c r="C2" s="1"/>
      <c r="D2" s="1"/>
    </row>
    <row r="3" spans="1:4">
      <c r="A3" s="3" t="s">
        <v>23</v>
      </c>
      <c r="B3" s="2" t="str">
        <f>_xlfn.CONCAT("0",RIGHT(C3,1),"10A0E3")</f>
        <v>0110A0E3</v>
      </c>
      <c r="C3" s="2" t="s">
        <v>12</v>
      </c>
      <c r="D3" s="1"/>
    </row>
    <row r="4" spans="1:4">
      <c r="A4" s="2" t="str">
        <f t="shared" ref="A4:A6" si="0">DEC2HEX(HEX2DEC(A3)+4,8)</f>
        <v>000D3E08</v>
      </c>
      <c r="B4" s="3" t="s">
        <v>4</v>
      </c>
      <c r="C4" s="2" t="s">
        <v>5</v>
      </c>
      <c r="D4" s="1"/>
    </row>
    <row r="5" spans="1:4">
      <c r="A5" s="2" t="str">
        <f t="shared" si="0"/>
        <v>000D3E0C</v>
      </c>
      <c r="B5" s="2" t="s">
        <v>6</v>
      </c>
      <c r="C5" s="2" t="s">
        <v>7</v>
      </c>
      <c r="D5" s="1"/>
    </row>
    <row r="6" spans="1:4">
      <c r="A6" s="2" t="str">
        <f t="shared" si="0"/>
        <v>000D3E10</v>
      </c>
      <c r="B6" s="2" t="s">
        <v>8</v>
      </c>
      <c r="C6" s="2" t="s">
        <v>9</v>
      </c>
      <c r="D6" s="1"/>
    </row>
    <row r="7" spans="1:4">
      <c r="A7" s="2" t="str">
        <f>DEC2HEX(HEX2DEC(A6)+4,8)</f>
        <v>000D3E14</v>
      </c>
      <c r="B7" s="3" t="s">
        <v>10</v>
      </c>
      <c r="C7" s="2" t="s">
        <v>11</v>
      </c>
      <c r="D7" s="1"/>
    </row>
    <row r="9" spans="1:4">
      <c r="A9" s="1" t="s">
        <v>14</v>
      </c>
    </row>
    <row r="10" spans="1:4">
      <c r="A10" s="2" t="s">
        <v>24</v>
      </c>
      <c r="B10" s="2" t="s">
        <v>25</v>
      </c>
      <c r="C10" s="2" t="s">
        <v>18</v>
      </c>
    </row>
    <row r="11" spans="1:4">
      <c r="A11" s="5" t="str">
        <f>DEC2HEX(HEX2DEC(A10)+4,8)</f>
        <v>00101E18</v>
      </c>
      <c r="B11" s="5" t="s">
        <v>26</v>
      </c>
      <c r="C11" s="5" t="s">
        <v>15</v>
      </c>
      <c r="D11" s="5" t="s">
        <v>17</v>
      </c>
    </row>
    <row r="12" spans="1:4">
      <c r="A12" s="5" t="str">
        <f t="shared" ref="A12:A19" si="1">DEC2HEX(HEX2DEC(A11)+4,8)</f>
        <v>00101E1C</v>
      </c>
      <c r="B12" s="5" t="s">
        <v>27</v>
      </c>
      <c r="C12" s="5" t="s">
        <v>16</v>
      </c>
      <c r="D12" s="5"/>
    </row>
    <row r="13" spans="1:4">
      <c r="A13" s="5" t="str">
        <f t="shared" si="1"/>
        <v>00101E20</v>
      </c>
      <c r="B13" s="5" t="s">
        <v>28</v>
      </c>
      <c r="C13" s="5" t="s">
        <v>13</v>
      </c>
      <c r="D13" s="5"/>
    </row>
    <row r="14" spans="1:4">
      <c r="A14" s="4" t="str">
        <f t="shared" si="1"/>
        <v>00101E24</v>
      </c>
      <c r="B14" s="4" t="s">
        <v>33</v>
      </c>
      <c r="C14" s="4" t="s">
        <v>31</v>
      </c>
      <c r="D14" s="4" t="s">
        <v>19</v>
      </c>
    </row>
    <row r="15" spans="1:4">
      <c r="A15" s="2" t="str">
        <f t="shared" si="1"/>
        <v>00101E28</v>
      </c>
      <c r="B15" s="3" t="s">
        <v>34</v>
      </c>
      <c r="C15" s="2" t="s">
        <v>32</v>
      </c>
      <c r="D15" s="2" t="s">
        <v>20</v>
      </c>
    </row>
    <row r="16" spans="1:4">
      <c r="A16" s="2" t="str">
        <f t="shared" si="1"/>
        <v>00101E2C</v>
      </c>
      <c r="B16" s="2" t="s">
        <v>35</v>
      </c>
      <c r="C16" s="2" t="str">
        <f>_xlfn.CONCAT("bne 0x",A19)</f>
        <v>bne 0x00101E38</v>
      </c>
    </row>
    <row r="17" spans="1:4">
      <c r="A17" s="2" t="str">
        <f t="shared" si="1"/>
        <v>00101E30</v>
      </c>
      <c r="B17" s="2" t="s">
        <v>29</v>
      </c>
      <c r="C17" s="2" t="str">
        <f>SUBSTITUTE(C10,"push","pop")</f>
        <v>pop {r0, r1, r2, r3, lr}</v>
      </c>
    </row>
    <row r="18" spans="1:4">
      <c r="A18" s="2" t="str">
        <f t="shared" si="1"/>
        <v>00101E34</v>
      </c>
      <c r="B18" s="2" t="s">
        <v>36</v>
      </c>
      <c r="C18" s="2" t="s">
        <v>21</v>
      </c>
      <c r="D18" s="2" t="s">
        <v>22</v>
      </c>
    </row>
    <row r="19" spans="1:4">
      <c r="A19" s="2" t="str">
        <f t="shared" si="1"/>
        <v>00101E38</v>
      </c>
      <c r="B19" s="2" t="s">
        <v>30</v>
      </c>
      <c r="C19" s="2" t="str">
        <f>SUBSTITUTE(C17,"lr","pc")</f>
        <v>pop {r0, r1, r2, r3, pc}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Aryeh Baruch</dc:creator>
  <cp:lastModifiedBy>Andrew Baruch</cp:lastModifiedBy>
  <dcterms:created xsi:type="dcterms:W3CDTF">2025-05-13T06:37:01Z</dcterms:created>
  <dcterms:modified xsi:type="dcterms:W3CDTF">2026-05-11T00:24:46Z</dcterms:modified>
</cp:coreProperties>
</file>