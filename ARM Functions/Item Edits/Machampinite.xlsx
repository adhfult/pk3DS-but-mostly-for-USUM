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6A27FA66-5BE7-47FF-B0EC-5A6471035425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33" i="1" l="1"/>
  <c r="A2" i="1" l="1" a="1"/>
  <c r="A2" i="1" s="1"/>
  <c r="A4" i="1"/>
  <c r="A5" i="1" s="1"/>
  <c r="A6" i="1" s="1"/>
  <c r="A7" i="1" s="1"/>
  <c r="B3" i="1"/>
  <c r="C23" i="1" l="1"/>
  <c r="C27" i="1" s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<sst xmlns="http://schemas.openxmlformats.org/spreadsheetml/2006/main" count="67" uniqueCount="65">
  <si>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</si>
  <si>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</si>
  <si>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</si>
  <si>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</si>
  <si>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</si>
  <si>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</si>
  <si>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</si>
  <si>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</si>
  <si>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</si>
  <si>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</si>
  <si>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</si>
  <si>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</si>
  <si>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</si>
  <si>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</si>
  <si>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mov r0, r1</t>
  </si>
  <si>
    <t>mov r1, r2</t>
  </si>
  <si>
    <t>cmp r0, 0x1</t>
  </si>
  <si>
    <t>0100A0E1</t>
  </si>
  <si>
    <t>0210A0E1</t>
  </si>
  <si>
    <t>010050E3</t>
  </si>
  <si>
    <t>bl 0x000D6F98</t>
  </si>
  <si>
    <t>Mega</t>
  </si>
  <si>
    <t>mov r0, 0x12</t>
  </si>
  <si>
    <t xml:space="preserve">bl 0x00087B58 </t>
  </si>
  <si>
    <t>bl 0x000001E8</t>
  </si>
  <si>
    <t>get move id</t>
  </si>
  <si>
    <t>cmp r0, 0x0</t>
  </si>
  <si>
    <t>b 0x000CA9C8</t>
  </si>
  <si>
    <t>Add Steel STAB</t>
  </si>
  <si>
    <t>1200A0E3</t>
  </si>
  <si>
    <t>000050E3</t>
  </si>
  <si>
    <t>0400000A</t>
  </si>
  <si>
    <t>mov r1, 0x3</t>
  </si>
  <si>
    <t>beq 0x001032EC</t>
  </si>
  <si>
    <t>cmp r9, 0x5B</t>
  </si>
  <si>
    <t>5B0059E3</t>
  </si>
  <si>
    <t>Punch Move gains Rock Type-Wise unless they are Fighting 0x4E/0x4F/0x5B</t>
  </si>
  <si>
    <t>push {r1, r2, r4, lr}</t>
  </si>
  <si>
    <t>uxth r4, r0</t>
  </si>
  <si>
    <t>mov r1, 0x7</t>
  </si>
  <si>
    <t>mov r0, r4</t>
  </si>
  <si>
    <t>bl 0x000001D8</t>
  </si>
  <si>
    <t>Get type of move</t>
  </si>
  <si>
    <t>get punch flag</t>
  </si>
  <si>
    <t>if fighting do nothing</t>
  </si>
  <si>
    <t>mov r0, 0x5</t>
  </si>
  <si>
    <t>set Rock</t>
  </si>
  <si>
    <t>001035C4</t>
  </si>
  <si>
    <t>16402DE9</t>
  </si>
  <si>
    <t>303BFEEB</t>
  </si>
  <si>
    <t>6F4EFFEB</t>
  </si>
  <si>
    <t>0F00001A</t>
  </si>
  <si>
    <t>5B11FEEB</t>
  </si>
  <si>
    <t>7040FFE6</t>
  </si>
  <si>
    <t>0710A0E3</t>
  </si>
  <si>
    <t>FCF2FBEB</t>
  </si>
  <si>
    <t>0800000A</t>
  </si>
  <si>
    <t>0400A0E1</t>
  </si>
  <si>
    <t>F4F2FBEB</t>
  </si>
  <si>
    <t>1640BDE8</t>
  </si>
  <si>
    <t>0500A0E3</t>
  </si>
  <si>
    <t>33FFFF0A</t>
  </si>
  <si>
    <t>E91CFFEA</t>
  </si>
  <si>
    <t>1680BDE8</t>
  </si>
  <si>
    <t>000FDE3C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</si>
</sst>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5" borderId="0" xfId="0" quotePrefix="1" applyFont="1" applyFill="1"/>
    <xf numFmtId="0" fontId="2" fillId="6" borderId="0" xfId="0" applyFont="1" applyFill="1"/>
    <xf numFmtId="0" fontId="2" fillId="6" borderId="0" xfId="0" quotePrefix="1" applyFont="1" applyFill="1"/>
    <xf numFmtId="0" fontId="2" fillId="0" borderId="0" xfId="0" applyFont="1" applyFill="1"/>
    <xf numFmtId="0" fontId="2" fillId="7" borderId="0" xfId="0" applyFont="1" applyFill="1"/>
    <xf numFmtId="0" fontId="2" fillId="7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33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.9"/>
  <cols>
    <col min="1" max="1" width="9.140625" style="2"/>
    <col min="2" max="2" width="9.35546875" style="2" bestFit="1" customWidth="1"/>
    <col min="3" max="3" width="28.92578125" style="2" bestFit="1" customWidth="1"/>
    <col min="4" max="4" width="38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Machampinite Call Function</v>
      </c>
      <c r="B2" s="1"/>
      <c r="C2" s="1"/>
      <c r="D2" s="1"/>
    </row>
    <row r="3" spans="1:4">
      <c r="A3" s="3" t="s">
        <v>64</v>
      </c>
      <c r="B3" s="2" t="str">
        <f>_xlfn.CONCAT("0",RIGHT(C3,1),"10A0E3")</f>
        <v>0310A0E3</v>
      </c>
      <c r="C3" s="2" t="s">
        <v>32</v>
      </c>
      <c r="D3" s="1"/>
    </row>
    <row r="4" spans="1:4">
      <c r="A4" s="2" t="str">
        <f t="shared" ref="A4:A6" si="0">DEC2HEX(HEX2DEC(A3)+4,8)</f>
        <v>000FDE40</v>
      </c>
      <c r="B4" s="3" t="s">
        <v>4</v>
      </c>
      <c r="C4" s="2" t="s">
        <v>5</v>
      </c>
      <c r="D4" s="1"/>
    </row>
    <row r="5" spans="1:4">
      <c r="A5" s="2" t="str">
        <f t="shared" si="0"/>
        <v>000FDE44</v>
      </c>
      <c r="B5" s="2" t="s">
        <v>6</v>
      </c>
      <c r="C5" s="2" t="s">
        <v>7</v>
      </c>
      <c r="D5" s="1"/>
    </row>
    <row r="6" spans="1:4">
      <c r="A6" s="2" t="str">
        <f t="shared" si="0"/>
        <v>000FDE48</v>
      </c>
      <c r="B6" s="2" t="s">
        <v>8</v>
      </c>
      <c r="C6" s="2" t="s">
        <v>9</v>
      </c>
      <c r="D6" s="1"/>
    </row>
    <row r="7" spans="1:4">
      <c r="A7" s="2" t="str">
        <f>DEC2HEX(HEX2DEC(A6)+4,8)</f>
        <v>000FDE4C</v>
      </c>
      <c r="B7" s="3" t="s">
        <v>10</v>
      </c>
      <c r="C7" s="2" t="s">
        <v>11</v>
      </c>
      <c r="D7" s="1"/>
    </row>
    <row r="9" spans="1:4">
      <c r="A9" s="1" t="s">
        <v>36</v>
      </c>
    </row>
    <row r="10" spans="1:4">
      <c r="A10" s="3" t="s">
        <v>47</v>
      </c>
      <c r="B10" s="2" t="s">
        <v>48</v>
      </c>
      <c r="C10" s="2" t="s">
        <v>37</v>
      </c>
    </row>
    <row r="11" spans="1:4">
      <c r="A11" s="4" t="str">
        <f t="shared" ref="A11:A33" si="1">DEC2HEX(HEX2DEC(A10)+4,8)</f>
        <v>001035C8</v>
      </c>
      <c r="B11" s="4" t="s">
        <v>17</v>
      </c>
      <c r="C11" s="4" t="s">
        <v>14</v>
      </c>
      <c r="D11" s="4" t="s">
        <v>13</v>
      </c>
    </row>
    <row r="12" spans="1:4">
      <c r="A12" s="4" t="str">
        <f t="shared" si="1"/>
        <v>001035CC</v>
      </c>
      <c r="B12" s="4" t="s">
        <v>18</v>
      </c>
      <c r="C12" s="4" t="s">
        <v>15</v>
      </c>
      <c r="D12" s="4"/>
    </row>
    <row r="13" spans="1:4">
      <c r="A13" s="4" t="str">
        <f t="shared" si="1"/>
        <v>001035D0</v>
      </c>
      <c r="B13" s="5" t="s">
        <v>49</v>
      </c>
      <c r="C13" s="4" t="s">
        <v>12</v>
      </c>
      <c r="D13" s="4"/>
    </row>
    <row r="14" spans="1:4">
      <c r="A14" s="6" t="str">
        <f t="shared" si="1"/>
        <v>001035D4</v>
      </c>
      <c r="B14" s="6" t="s">
        <v>50</v>
      </c>
      <c r="C14" s="6" t="s">
        <v>20</v>
      </c>
      <c r="D14" s="6"/>
    </row>
    <row r="15" spans="1:4">
      <c r="A15" s="6" t="str">
        <f t="shared" si="1"/>
        <v>001035D8</v>
      </c>
      <c r="B15" s="7" t="s">
        <v>19</v>
      </c>
      <c r="C15" s="6" t="s">
        <v>16</v>
      </c>
      <c r="D15" s="6" t="s">
        <v>21</v>
      </c>
    </row>
    <row r="16" spans="1:4">
      <c r="A16" s="6" t="str">
        <f t="shared" si="1"/>
        <v>001035DC</v>
      </c>
      <c r="B16" s="7" t="s">
        <v>51</v>
      </c>
      <c r="C16" s="6" t="str">
        <f>_xlfn.CONCAT("bne 0x",A$33)</f>
        <v>bne 0x00103620</v>
      </c>
      <c r="D16" s="6"/>
    </row>
    <row r="17" spans="1:4">
      <c r="A17" s="10" t="str">
        <f t="shared" si="1"/>
        <v>001035E0</v>
      </c>
      <c r="B17" s="11" t="s">
        <v>29</v>
      </c>
      <c r="C17" s="10" t="s">
        <v>22</v>
      </c>
      <c r="D17" s="10" t="s">
        <v>25</v>
      </c>
    </row>
    <row r="18" spans="1:4">
      <c r="A18" s="10" t="str">
        <f t="shared" si="1"/>
        <v>001035E4</v>
      </c>
      <c r="B18" s="11" t="s">
        <v>52</v>
      </c>
      <c r="C18" s="10" t="s">
        <v>23</v>
      </c>
      <c r="D18" s="10"/>
    </row>
    <row r="19" spans="1:4">
      <c r="A19" s="10" t="str">
        <f t="shared" si="1"/>
        <v>001035E8</v>
      </c>
      <c r="B19" s="11" t="s">
        <v>53</v>
      </c>
      <c r="C19" s="10" t="s">
        <v>38</v>
      </c>
      <c r="D19" s="10"/>
    </row>
    <row r="20" spans="1:4">
      <c r="A20" s="12" t="str">
        <f t="shared" si="1"/>
        <v>001035EC</v>
      </c>
      <c r="B20" s="13" t="s">
        <v>54</v>
      </c>
      <c r="C20" s="12" t="s">
        <v>39</v>
      </c>
      <c r="D20" s="12" t="s">
        <v>43</v>
      </c>
    </row>
    <row r="21" spans="1:4">
      <c r="A21" s="12" t="str">
        <f t="shared" si="1"/>
        <v>001035F0</v>
      </c>
      <c r="B21" s="13" t="s">
        <v>55</v>
      </c>
      <c r="C21" s="12" t="s">
        <v>24</v>
      </c>
      <c r="D21" s="12"/>
    </row>
    <row r="22" spans="1:4">
      <c r="A22" s="12" t="str">
        <f t="shared" si="1"/>
        <v>001035F4</v>
      </c>
      <c r="B22" s="13" t="s">
        <v>30</v>
      </c>
      <c r="C22" s="12" t="s">
        <v>26</v>
      </c>
      <c r="D22" s="12"/>
    </row>
    <row r="23" spans="1:4">
      <c r="A23" s="12" t="str">
        <f t="shared" si="1"/>
        <v>001035F8</v>
      </c>
      <c r="B23" s="13" t="s">
        <v>56</v>
      </c>
      <c r="C23" s="12" t="str">
        <f>_xlfn.CONCAT("beq 0x",A33)</f>
        <v>beq 0x00103620</v>
      </c>
      <c r="D23" s="12"/>
    </row>
    <row r="24" spans="1:4" s="14" customFormat="1">
      <c r="A24" s="15" t="str">
        <f t="shared" si="1"/>
        <v>001035FC</v>
      </c>
      <c r="B24" s="16" t="s">
        <v>57</v>
      </c>
      <c r="C24" s="15" t="s">
        <v>40</v>
      </c>
      <c r="D24" s="15" t="s">
        <v>42</v>
      </c>
    </row>
    <row r="25" spans="1:4" s="14" customFormat="1">
      <c r="A25" s="15" t="str">
        <f t="shared" si="1"/>
        <v>00103600</v>
      </c>
      <c r="B25" s="16" t="s">
        <v>58</v>
      </c>
      <c r="C25" s="15" t="s">
        <v>41</v>
      </c>
      <c r="D25" s="15"/>
    </row>
    <row r="26" spans="1:4" s="14" customFormat="1">
      <c r="A26" s="15" t="str">
        <f t="shared" si="1"/>
        <v>00103604</v>
      </c>
      <c r="B26" s="16" t="s">
        <v>19</v>
      </c>
      <c r="C26" s="15" t="s">
        <v>16</v>
      </c>
      <c r="D26" s="15"/>
    </row>
    <row r="27" spans="1:4" s="14" customFormat="1">
      <c r="A27" s="15" t="str">
        <f t="shared" si="1"/>
        <v>00103608</v>
      </c>
      <c r="B27" s="16" t="s">
        <v>31</v>
      </c>
      <c r="C27" s="15" t="str">
        <f>C23</f>
        <v>beq 0x00103620</v>
      </c>
      <c r="D27" s="15" t="s">
        <v>44</v>
      </c>
    </row>
    <row r="28" spans="1:4">
      <c r="A28" s="8" t="str">
        <f t="shared" si="1"/>
        <v>0010360C</v>
      </c>
      <c r="B28" s="9" t="s">
        <v>35</v>
      </c>
      <c r="C28" s="8" t="s">
        <v>34</v>
      </c>
      <c r="D28" s="8"/>
    </row>
    <row r="29" spans="1:4">
      <c r="A29" s="2" t="str">
        <f t="shared" si="1"/>
        <v>00103610</v>
      </c>
      <c r="B29" s="3" t="s">
        <v>59</v>
      </c>
      <c r="C29" s="2" t="str">
        <f>SUBSTITUTE(C10,"push","pop")</f>
        <v>pop {r1, r2, r4, lr}</v>
      </c>
    </row>
    <row r="30" spans="1:4">
      <c r="A30" s="2" t="str">
        <f t="shared" si="1"/>
        <v>00103614</v>
      </c>
      <c r="B30" s="3" t="s">
        <v>60</v>
      </c>
      <c r="C30" s="2" t="s">
        <v>45</v>
      </c>
      <c r="D30" s="2" t="s">
        <v>46</v>
      </c>
    </row>
    <row r="31" spans="1:4">
      <c r="A31" s="2" t="str">
        <f t="shared" si="1"/>
        <v>00103618</v>
      </c>
      <c r="B31" s="3" t="s">
        <v>61</v>
      </c>
      <c r="C31" s="2" t="s">
        <v>33</v>
      </c>
      <c r="D31" s="2" t="s">
        <v>28</v>
      </c>
    </row>
    <row r="32" spans="1:4">
      <c r="A32" s="2" t="str">
        <f t="shared" si="1"/>
        <v>0010361C</v>
      </c>
      <c r="B32" s="3" t="s">
        <v>62</v>
      </c>
      <c r="C32" s="2" t="s">
        <v>27</v>
      </c>
    </row>
    <row r="33" spans="1:3">
      <c r="A33" s="2" t="str">
        <f t="shared" si="1"/>
        <v>00103620</v>
      </c>
      <c r="B33" s="2" t="s">
        <v>63</v>
      </c>
      <c r="C33" s="2" t="str">
        <f>SUBSTITUTE(C29,"lr","pc")</f>
        <v>pop {r1, r2, r4,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2026-05-21T02:32:39Z</dcterms:modified>
</cp:coreProperties>
</file>