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16D9CB14-9A5D-41BE-9677-350F601754BA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C24" i="1"/>
  <c r="C27" i="1" s="1"/>
  <c r="A24" i="1" l="1"/>
  <c r="A25" i="1" s="1"/>
  <c r="A26" i="1" s="1"/>
  <c r="A27" i="1" s="1"/>
  <c r="A11" i="1"/>
  <c r="A14" i="1" s="1"/>
  <c r="A15" i="1" l="1"/>
  <c r="A16" i="1" s="1"/>
  <c r="A17" i="1" s="1"/>
  <c r="A18" i="1" s="1"/>
  <c r="A19" i="1" s="1"/>
  <c r="C17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<sst xmlns="http://schemas.openxmlformats.org/spreadsheetml/2006/main" count="49" uniqueCount="49">
  <si>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</si>
  <si>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</si>
  <si>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</si>
  <si>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</si>
  <si>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</si>
  <si>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</si>
  <si>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</si>
  <si>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</si>
  <si>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</si>
  <si>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</si>
  <si>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</si>
  <si>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</si>
  <si>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push {r1, r2, lr}</t>
  </si>
  <si>
    <t>06402DE9</t>
  </si>
  <si>
    <t>0640BDE8</t>
  </si>
  <si>
    <t>b 0x00103208</t>
  </si>
  <si>
    <t>mov r0, 0xC</t>
  </si>
  <si>
    <t>Electric</t>
  </si>
  <si>
    <t>mov r0, 0xE</t>
  </si>
  <si>
    <t>Ice</t>
  </si>
  <si>
    <t>bl 0x00103208</t>
  </si>
  <si>
    <t>000FDE28</t>
  </si>
  <si>
    <t>mov r0, 0x9</t>
  </si>
  <si>
    <t>Fire</t>
  </si>
  <si>
    <t>b 0x00102910</t>
  </si>
  <si>
    <t>Immune to Fire if Mega/Ultra/Primal 0x3A</t>
  </si>
  <si>
    <t>Add Ice &amp; Electric if Mega 0x4E/0x4F/0x47/0x6A/0x6D/0xA7</t>
  </si>
  <si>
    <t>000FDB68</t>
  </si>
  <si>
    <t>0900A0E3</t>
  </si>
  <si>
    <t>671300EA</t>
  </si>
  <si>
    <t>0C00A0E3</t>
  </si>
  <si>
    <t>A21500EB</t>
  </si>
  <si>
    <t>0E00A0E3</t>
  </si>
  <si>
    <t>9F1500EA</t>
  </si>
  <si>
    <t>b 0x000DA5B0</t>
  </si>
  <si>
    <t>Immune to Paralysis &amp; Frostbite if Mega/Ultra/Primal 0x7C</t>
  </si>
  <si>
    <t>mov r1, 0x8</t>
  </si>
  <si>
    <t>bl 0x00102820</t>
  </si>
  <si>
    <t>push {r1, r2, r3, lr}</t>
  </si>
  <si>
    <t>mov r0, 0x3</t>
  </si>
  <si>
    <t>paralysis</t>
  </si>
  <si>
    <t>frostbite</t>
  </si>
  <si>
    <t>000D8650</t>
  </si>
  <si>
    <t>0E402DE9</t>
  </si>
  <si>
    <t>71A800EB</t>
  </si>
  <si>
    <t>0E40BDE8</t>
  </si>
  <si>
    <t>0300A0E3</t>
  </si>
  <si>
    <t>D20700EA</t>
  </si>
  <si>
    <t>0E80BDE8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</si>
</sst>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Meganiumite Call Function</v>
      </c>
      <c r="B2" s="1"/>
      <c r="C2" s="1"/>
      <c r="D2" s="1"/>
    </row>
    <row r="3" spans="1:4">
      <c r="A3" s="3" t="s">
        <v>21</v>
      </c>
      <c r="B3" s="2" t="str">
        <f>_xlfn.CONCAT("0",RIGHT(C3,1),"10A0E3")</f>
        <v>0810A0E3</v>
      </c>
      <c r="C3" s="2" t="s">
        <v>36</v>
      </c>
      <c r="D3" s="1"/>
    </row>
    <row r="4" spans="1:4">
      <c r="A4" s="2" t="str">
        <f t="shared" ref="A4:A6" si="0">DEC2HEX(HEX2DEC(A3)+4,8)</f>
        <v>000FDE2C</v>
      </c>
      <c r="B4" s="3" t="s">
        <v>4</v>
      </c>
      <c r="C4" s="2" t="s">
        <v>5</v>
      </c>
      <c r="D4" s="1"/>
    </row>
    <row r="5" spans="1:4">
      <c r="A5" s="2" t="str">
        <f t="shared" si="0"/>
        <v>000FDE30</v>
      </c>
      <c r="B5" s="2" t="s">
        <v>6</v>
      </c>
      <c r="C5" s="2" t="s">
        <v>7</v>
      </c>
      <c r="D5" s="1"/>
    </row>
    <row r="6" spans="1:4">
      <c r="A6" s="2" t="str">
        <f t="shared" si="0"/>
        <v>000FDE34</v>
      </c>
      <c r="B6" s="2" t="s">
        <v>8</v>
      </c>
      <c r="C6" s="2" t="s">
        <v>9</v>
      </c>
      <c r="D6" s="1"/>
    </row>
    <row r="7" spans="1:4">
      <c r="A7" s="2" t="str">
        <f>DEC2HEX(HEX2DEC(A6)+4,8)</f>
        <v>000FDE38</v>
      </c>
      <c r="B7" s="3" t="s">
        <v>10</v>
      </c>
      <c r="C7" s="2" t="s">
        <v>11</v>
      </c>
      <c r="D7" s="1"/>
    </row>
    <row r="9" spans="1:4">
      <c r="A9" s="1" t="s">
        <v>25</v>
      </c>
    </row>
    <row r="10" spans="1:4">
      <c r="A10" s="3" t="s">
        <v>27</v>
      </c>
      <c r="B10" s="3" t="s">
        <v>28</v>
      </c>
      <c r="C10" s="2" t="s">
        <v>22</v>
      </c>
      <c r="D10" s="2" t="s">
        <v>23</v>
      </c>
    </row>
    <row r="11" spans="1:4">
      <c r="A11" s="2" t="str">
        <f t="shared" ref="A11" si="1">DEC2HEX(HEX2DEC(A10)+4,8)</f>
        <v>000FDB6C</v>
      </c>
      <c r="B11" s="3" t="s">
        <v>29</v>
      </c>
      <c r="C11" s="2" t="s">
        <v>24</v>
      </c>
    </row>
    <row r="13" spans="1:4">
      <c r="A13" s="1" t="s">
        <v>26</v>
      </c>
    </row>
    <row r="14" spans="1:4">
      <c r="A14" s="2" t="str">
        <f>DEC2HEX(HEX2DEC(A11)+4,8)</f>
        <v>000FDB70</v>
      </c>
      <c r="B14" s="2" t="s">
        <v>13</v>
      </c>
      <c r="C14" s="2" t="s">
        <v>12</v>
      </c>
    </row>
    <row r="15" spans="1:4">
      <c r="A15" s="2" t="str">
        <f t="shared" ref="A15:A19" si="2">DEC2HEX(HEX2DEC(A14)+4,8)</f>
        <v>000FDB74</v>
      </c>
      <c r="B15" s="2" t="s">
        <v>30</v>
      </c>
      <c r="C15" s="2" t="s">
        <v>16</v>
      </c>
      <c r="D15" s="2" t="s">
        <v>17</v>
      </c>
    </row>
    <row r="16" spans="1:4">
      <c r="A16" s="2" t="str">
        <f t="shared" si="2"/>
        <v>000FDB78</v>
      </c>
      <c r="B16" s="2" t="s">
        <v>31</v>
      </c>
      <c r="C16" s="2" t="s">
        <v>20</v>
      </c>
    </row>
    <row r="17" spans="1:4">
      <c r="A17" s="2" t="str">
        <f t="shared" si="2"/>
        <v>000FDB7C</v>
      </c>
      <c r="B17" s="2" t="s">
        <v>14</v>
      </c>
      <c r="C17" s="2" t="str">
        <f>SUBSTITUTE(C14,"push","pop")</f>
        <v>pop {r1, r2, lr}</v>
      </c>
    </row>
    <row r="18" spans="1:4">
      <c r="A18" s="2" t="str">
        <f t="shared" si="2"/>
        <v>000FDB80</v>
      </c>
      <c r="B18" s="2" t="s">
        <v>32</v>
      </c>
      <c r="C18" s="2" t="s">
        <v>18</v>
      </c>
      <c r="D18" s="2" t="s">
        <v>19</v>
      </c>
    </row>
    <row r="19" spans="1:4">
      <c r="A19" s="2" t="str">
        <f t="shared" si="2"/>
        <v>000FDB84</v>
      </c>
      <c r="B19" s="2" t="s">
        <v>33</v>
      </c>
      <c r="C19" s="2" t="s">
        <v>15</v>
      </c>
    </row>
    <row r="21" spans="1:4">
      <c r="A21" s="1" t="s">
        <v>35</v>
      </c>
    </row>
    <row r="22" spans="1:4">
      <c r="A22" s="2" t="s">
        <v>42</v>
      </c>
      <c r="B22" s="4" t="s">
        <v>43</v>
      </c>
      <c r="C22" s="2" t="s">
        <v>38</v>
      </c>
    </row>
    <row r="23" spans="1:4">
      <c r="A23" s="2" t="str">
        <f t="shared" ref="A23:A27" si="3">DEC2HEX(HEX2DEC(A22)+4,8)</f>
        <v>000D8654</v>
      </c>
      <c r="B23" s="2" t="s">
        <v>44</v>
      </c>
      <c r="C23" s="2" t="s">
        <v>37</v>
      </c>
      <c r="D23" s="2" t="s">
        <v>40</v>
      </c>
    </row>
    <row r="24" spans="1:4">
      <c r="A24" s="2" t="str">
        <f t="shared" si="3"/>
        <v>000D8658</v>
      </c>
      <c r="B24" s="2" t="s">
        <v>45</v>
      </c>
      <c r="C24" s="2" t="str">
        <f>SUBSTITUTE(C22,"push","pop")</f>
        <v>pop {r1, r2, r3, lr}</v>
      </c>
    </row>
    <row r="25" spans="1:4">
      <c r="A25" s="2" t="str">
        <f t="shared" si="3"/>
        <v>000D865C</v>
      </c>
      <c r="B25" s="2" t="s">
        <v>46</v>
      </c>
      <c r="C25" s="2" t="s">
        <v>39</v>
      </c>
      <c r="D25" s="2" t="s">
        <v>41</v>
      </c>
    </row>
    <row r="26" spans="1:4">
      <c r="A26" s="2" t="str">
        <f t="shared" si="3"/>
        <v>000D8660</v>
      </c>
      <c r="B26" s="2" t="s">
        <v>47</v>
      </c>
      <c r="C26" s="2" t="s">
        <v>34</v>
      </c>
    </row>
    <row r="27" spans="1:4">
      <c r="A27" s="2" t="str">
        <f t="shared" si="3"/>
        <v>000D8664</v>
      </c>
      <c r="B27" s="2" t="s">
        <v>48</v>
      </c>
      <c r="C27" s="2" t="str">
        <f>SUBSTITUTE(C24,"lr","pc")</f>
        <v>pop {r1,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2026-05-21T02:17:24Z</dcterms:modified>
</cp:coreProperties>
</file>