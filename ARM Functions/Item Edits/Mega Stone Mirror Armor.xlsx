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FB541B78-9DCB-4FB1-A10D-8E69AEEA6688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7" i="1" s="1"/>
  <c r="A18" i="1" s="1"/>
  <c r="A19" i="1" s="1"/>
  <c r="A20" i="1" s="1"/>
  <c r="A21" i="1" s="1"/>
  <c r="C102" i="1" l="1"/>
  <c r="C20" i="1"/>
  <c r="A25" i="1" l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C49" i="1"/>
  <c r="C17" i="1" l="1"/>
  <c r="C21" i="1" s="1"/>
  <c r="A11" i="1"/>
  <c r="A12" i="1" s="1"/>
  <c r="A13" i="1" s="1"/>
  <c r="A14" i="1" s="1"/>
  <c r="A15" i="1" s="1"/>
  <c r="A2" i="1" a="1"/>
  <c r="A2" i="1" s="1"/>
  <c r="A4" i="1"/>
  <c r="A5" i="1" s="1"/>
  <c r="A6" i="1" s="1"/>
  <c r="A7" i="1" s="1"/>
  <c r="B3" i="1"/>
  <c r="C16" i="1" l="1"/>
  <c r="A53" i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C38" i="1"/>
  <c r="A102" i="1" l="1"/>
  <c r="C60" i="1"/>
  <c r="C19" i="1"/>
  <c r="C34" i="1"/>
  <c r="C30" i="1"/>
  <c r="C97" i="1" l="1"/>
  <c r="C62" i="1"/>
  <c r="C100" i="1"/>
  <c r="C68" i="1" l="1"/>
  <c r="C7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<sst xmlns="http://schemas.openxmlformats.org/spreadsheetml/2006/main" count="217" uniqueCount="204">
  <si>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</si>
  <si>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</si>
  <si>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</si>
  <si>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</si>
  <si>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</si>
  <si>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</si>
  <si>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</si>
  <si>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</si>
  <si>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</si>
  <si>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</si>
  <si>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</si>
  <si>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</si>
  <si>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0x00087B58</t>
  </si>
  <si>
    <t>bl 0x00092298</t>
  </si>
  <si>
    <t>0F402DE9</t>
  </si>
  <si>
    <t>push {r0, r1, r2, r3, lr}</t>
  </si>
  <si>
    <t>0100A0E1</t>
  </si>
  <si>
    <t>mov r0, r1</t>
  </si>
  <si>
    <t>get pointer</t>
  </si>
  <si>
    <t>0210A0E1</t>
  </si>
  <si>
    <t>mov r1, r2</t>
  </si>
  <si>
    <t>get table</t>
  </si>
  <si>
    <t>0020A0E3</t>
  </si>
  <si>
    <t>mov r2, 0x0</t>
  </si>
  <si>
    <t>000050E3</t>
  </si>
  <si>
    <t>cmp r0, 0x0</t>
  </si>
  <si>
    <t>0F40BDE8</t>
  </si>
  <si>
    <t>0F80BDE8</t>
  </si>
  <si>
    <t>mov r4, r2</t>
  </si>
  <si>
    <t>mov r0, 0x3</t>
  </si>
  <si>
    <t>check if self defender</t>
  </si>
  <si>
    <t>cmp r0, r4</t>
  </si>
  <si>
    <t>Bounce non-self-inflicted Stat Changes 0x72</t>
  </si>
  <si>
    <t>mov r0, 0x24</t>
  </si>
  <si>
    <t>get amount of stat change</t>
  </si>
  <si>
    <t>do nothing if non-negative</t>
  </si>
  <si>
    <t>mov r1, 0x1</t>
  </si>
  <si>
    <t>mov r0, 0x46</t>
  </si>
  <si>
    <t>bl 0x00082D44</t>
  </si>
  <si>
    <t>negate change to self</t>
  </si>
  <si>
    <t>mov r5, r1</t>
  </si>
  <si>
    <t>mov r0, 0x23</t>
  </si>
  <si>
    <t>mov r0, 0x4</t>
  </si>
  <si>
    <t>mov r1, r0</t>
  </si>
  <si>
    <t>mov r0, r5</t>
  </si>
  <si>
    <t>mov r4, r0</t>
  </si>
  <si>
    <t>mov r2, r4</t>
  </si>
  <si>
    <t>mov r1, 0xD</t>
  </si>
  <si>
    <t>bl 0x000876F8</t>
  </si>
  <si>
    <t>ldrb r3, [r0, 0x12]</t>
  </si>
  <si>
    <t>Stat to boost</t>
  </si>
  <si>
    <t>strb r2, [r1, 0x4]</t>
  </si>
  <si>
    <t>Write stat to boost</t>
  </si>
  <si>
    <t>strb r0, [r1, 0x11]</t>
  </si>
  <si>
    <t>write size of boost</t>
  </si>
  <si>
    <t>strb r4, [r1, 0xC]</t>
  </si>
  <si>
    <t>strb r0, [r1, 0x10]</t>
  </si>
  <si>
    <t>write number of times to apply boost</t>
  </si>
  <si>
    <t>strb r3, [r1, 0x12]</t>
  </si>
  <si>
    <t>write index of target</t>
  </si>
  <si>
    <t>000DE260</t>
  </si>
  <si>
    <t>0240A0E1</t>
  </si>
  <si>
    <t>0150A0E1</t>
  </si>
  <si>
    <t>0400A0E3</t>
  </si>
  <si>
    <t>040050E1</t>
  </si>
  <si>
    <t>2400A0E3</t>
  </si>
  <si>
    <t>2300A0E3</t>
  </si>
  <si>
    <t>0110A0E3</t>
  </si>
  <si>
    <t>4600A0E3</t>
  </si>
  <si>
    <t>0300A0E3</t>
  </si>
  <si>
    <t>0040A0E1</t>
  </si>
  <si>
    <t>0420A0E1</t>
  </si>
  <si>
    <t>0D10A0E3</t>
  </si>
  <si>
    <t>0500A0E1</t>
  </si>
  <si>
    <t>1230D0E5</t>
  </si>
  <si>
    <t>0010A0E1</t>
  </si>
  <si>
    <t>0420C1E5</t>
  </si>
  <si>
    <t>1100C1E5</t>
  </si>
  <si>
    <t>0C40C1E5</t>
  </si>
  <si>
    <t>1000C1E5</t>
  </si>
  <si>
    <t>1230C1E5</t>
  </si>
  <si>
    <t>001026EC</t>
  </si>
  <si>
    <t>bl 0x0007CCF4</t>
  </si>
  <si>
    <t>0815FEEB</t>
  </si>
  <si>
    <t>mov r5, r3</t>
  </si>
  <si>
    <t>str r0, [r5]</t>
  </si>
  <si>
    <t>push {r4, r5, r6, lr}</t>
  </si>
  <si>
    <t>Table of attempted changes</t>
  </si>
  <si>
    <t>cmp r7, 0x0</t>
  </si>
  <si>
    <t>mov r0, 0x1</t>
  </si>
  <si>
    <t>Get Pointer</t>
  </si>
  <si>
    <t>70402DE9</t>
  </si>
  <si>
    <t>0350A0E1</t>
  </si>
  <si>
    <t>1515FEEB</t>
  </si>
  <si>
    <t>1115FEEB</t>
  </si>
  <si>
    <t>000085E5</t>
  </si>
  <si>
    <t>7080BDE8</t>
  </si>
  <si>
    <t>000057E3</t>
  </si>
  <si>
    <t>0100A0E3</t>
  </si>
  <si>
    <t>001020E0</t>
  </si>
  <si>
    <t>6940FEEB</t>
  </si>
  <si>
    <t>mov r1, 0x2</t>
  </si>
  <si>
    <t>cmp r9, 0x72</t>
  </si>
  <si>
    <t>Bounce non-self-inflicted Stat Changes 0x8F</t>
  </si>
  <si>
    <t>add index to table</t>
  </si>
  <si>
    <t>orr r3, r3, 0x6</t>
  </si>
  <si>
    <t>if 0, next loop</t>
  </si>
  <si>
    <t>add 1 to stat iter</t>
  </si>
  <si>
    <t>go to next</t>
  </si>
  <si>
    <t>ldr r0, [r6]</t>
  </si>
  <si>
    <t>strb r4, [r6, r0]</t>
  </si>
  <si>
    <t>get stat to change</t>
  </si>
  <si>
    <t>0040C6E7</t>
  </si>
  <si>
    <t>000096E5</t>
  </si>
  <si>
    <t>063083E3</t>
  </si>
  <si>
    <t>720059E3</t>
  </si>
  <si>
    <t>cmpeq r1, 0x0</t>
  </si>
  <si>
    <t>sub sp, sp, 0x8</t>
  </si>
  <si>
    <t>ldr r1, [r6, 0x4]</t>
  </si>
  <si>
    <t>check if all 0</t>
  </si>
  <si>
    <t>zero out table</t>
  </si>
  <si>
    <t>str r2, [r6]</t>
  </si>
  <si>
    <t>add sp, sp, 0x8</t>
  </si>
  <si>
    <t>str r0, [sp]</t>
  </si>
  <si>
    <t>store stats to stack</t>
  </si>
  <si>
    <t>ldrsb r7, [sp, r6]</t>
  </si>
  <si>
    <t>push {r4, r5, r6, r7, lr}</t>
  </si>
  <si>
    <t>str r1, [sp, 0x4]</t>
  </si>
  <si>
    <t>load change to stat (Atk, Def, SA, SD, Sp, Acc, Eva)</t>
  </si>
  <si>
    <t>add r6, r6, 0x1</t>
  </si>
  <si>
    <t>F0402DE9</t>
  </si>
  <si>
    <t>08D04DE2</t>
  </si>
  <si>
    <t>041096E5</t>
  </si>
  <si>
    <t>00005103</t>
  </si>
  <si>
    <t>002086E5</t>
  </si>
  <si>
    <t>00008DE5</t>
  </si>
  <si>
    <t>04108DE5</t>
  </si>
  <si>
    <t>D6709DE1</t>
  </si>
  <si>
    <t>016086E2</t>
  </si>
  <si>
    <t>08D08DE2</t>
  </si>
  <si>
    <t>F080BDE8</t>
  </si>
  <si>
    <t>1, 2, 3, 4, 5, 6, 7</t>
  </si>
  <si>
    <t>get second 4</t>
  </si>
  <si>
    <t>get first 4 bytes (first byte is HP)</t>
  </si>
  <si>
    <t>str r2, [r6, 0x4]</t>
  </si>
  <si>
    <t>mov r6, 0x1</t>
  </si>
  <si>
    <t>r6 = index of stat, skip 0 which is HP</t>
  </si>
  <si>
    <t>Get attacker index</t>
  </si>
  <si>
    <t>table offset + attacker index*8 (8 bytes per Pokemon)</t>
  </si>
  <si>
    <t>add r6, r6, r4, lsl #3</t>
  </si>
  <si>
    <t>add r6, r6, r0, lsl #3</t>
  </si>
  <si>
    <t>0C15FEEB</t>
  </si>
  <si>
    <t>806186E0</t>
  </si>
  <si>
    <t>ldrsb r1, [r6, r0]</t>
  </si>
  <si>
    <t>get current value</t>
  </si>
  <si>
    <t>add r4, r4, r1</t>
  </si>
  <si>
    <t>add new change to current change</t>
  </si>
  <si>
    <t>store total change to table + index + stat</t>
  </si>
  <si>
    <t>1100001A</t>
  </si>
  <si>
    <t>0D0000AA</t>
  </si>
  <si>
    <t>28609FE5</t>
  </si>
  <si>
    <t>D01096E1</t>
  </si>
  <si>
    <t>014084E0</t>
  </si>
  <si>
    <t>7D01FEEB</t>
  </si>
  <si>
    <t>042086E5</t>
  </si>
  <si>
    <t>0160A0E3</t>
  </si>
  <si>
    <t>846186E0</t>
  </si>
  <si>
    <t>mov r0, 0x2</t>
  </si>
  <si>
    <t>mov r4, 0x0</t>
  </si>
  <si>
    <t>iterate over all Pokemon</t>
  </si>
  <si>
    <t>if so, next loop</t>
  </si>
  <si>
    <t>add r4, r4, 0x1</t>
  </si>
  <si>
    <t>add 1 to index</t>
  </si>
  <si>
    <t>cmp r4, 0x18</t>
  </si>
  <si>
    <t>cmp r6, 0x8</t>
  </si>
  <si>
    <t>0200A0E3</t>
  </si>
  <si>
    <t>F914FEEB</t>
  </si>
  <si>
    <t>2700001A</t>
  </si>
  <si>
    <t>0040A0E3</t>
  </si>
  <si>
    <t>30601FE5</t>
  </si>
  <si>
    <t>1C00000A</t>
  </si>
  <si>
    <t>1000000A</t>
  </si>
  <si>
    <t>CA13FEEB</t>
  </si>
  <si>
    <t>3CE9FDEB</t>
  </si>
  <si>
    <t>080056E3</t>
  </si>
  <si>
    <t>E8FFFF3A</t>
  </si>
  <si>
    <t>014084E2</t>
  </si>
  <si>
    <t>180054E3</t>
  </si>
  <si>
    <t>D8FFFF3A</t>
  </si>
  <si>
    <t>Mega Stone Mirror Armor 0x72, 0x8F</t>
  </si>
  <si>
    <t>mov r2, r6</t>
  </si>
  <si>
    <t>C700A0E1</t>
  </si>
  <si>
    <t>asr r0, r7, #1</t>
  </si>
  <si>
    <t>Size of boost (it's getting doubled somehow)</t>
  </si>
  <si>
    <t>0620A0E1</t>
  </si>
  <si>
    <t>bl 0x000D6F98</t>
  </si>
  <si>
    <t>is Mega/Ultra</t>
  </si>
  <si>
    <t>010050E3</t>
  </si>
  <si>
    <t>cmp r0, 0x1</t>
  </si>
  <si>
    <t>if not Mega/Ultra</t>
  </si>
  <si>
    <t>A853FFEB</t>
  </si>
  <si>
    <t>0300001A</t>
  </si>
  <si>
    <t>9301001A</t>
  </si>
  <si>
    <t>7701000A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</si>
</sst>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  <xf numFmtId="0" fontId="2" fillId="2" borderId="0" xfId="0" quotePrefix="1" applyFont="1" applyFill="1"/>
    <xf numFmtId="0" fontId="2" fillId="4" borderId="0" xfId="0" applyFont="1" applyFill="1"/>
    <xf numFmtId="0" fontId="2" fillId="0" borderId="0" xfId="0" applyFont="1" applyAlignment="1">
      <alignment shrinkToFit="1"/>
    </xf>
    <xf numFmtId="0" fontId="2" fillId="4" borderId="0" xfId="0" quotePrefix="1" applyFont="1" applyFill="1"/>
    <xf numFmtId="0" fontId="2" fillId="3" borderId="0" xfId="0" quotePrefix="1" applyFont="1" applyFill="1"/>
    <xf numFmtId="0" fontId="2" fillId="5" borderId="0" xfId="0" applyFont="1" applyFill="1"/>
    <xf numFmtId="0" fontId="2" fillId="5" borderId="0" xfId="0" quotePrefix="1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2" borderId="0" xfId="0" quotePrefix="1" applyFont="1" applyFill="1"/>
    <xf numFmtId="0" fontId="2" fillId="7" borderId="0" xfId="0" quotePrefix="1" applyFont="1" applyFill="1"/>
    <xf numFmtId="0" fontId="2" fillId="9" borderId="0" xfId="0" quotePrefix="1" applyFont="1" applyFill="1"/>
    <xf numFmtId="0" fontId="2" fillId="8" borderId="0" xfId="0" quotePrefix="1" applyFont="1" applyFill="1"/>
    <xf numFmtId="0" fontId="2" fillId="13" borderId="0" xfId="0" applyFont="1" applyFill="1"/>
    <xf numFmtId="0" fontId="2" fillId="13" borderId="0" xfId="0" quotePrefix="1" applyFont="1" applyFill="1"/>
    <xf numFmtId="0" fontId="2" fillId="14" borderId="0" xfId="0" applyFont="1" applyFill="1"/>
    <xf numFmtId="0" fontId="2" fillId="14" borderId="0" xfId="0" quotePrefix="1" applyFont="1" applyFill="1"/>
    <xf numFmtId="0" fontId="2" fillId="15" borderId="0" xfId="0" applyFont="1" applyFill="1"/>
    <xf numFmtId="0" fontId="2" fillId="15" borderId="0" xfId="0" quotePrefix="1" applyFont="1" applyFill="1"/>
    <xf numFmtId="0" fontId="2" fillId="16" borderId="0" xfId="0" applyFont="1" applyFill="1"/>
    <xf numFmtId="0" fontId="2" fillId="16" borderId="0" xfId="0" quotePrefix="1" applyFont="1" applyFill="1"/>
    <xf numFmtId="0" fontId="2" fillId="17" borderId="0" xfId="0" applyFont="1" applyFill="1"/>
    <xf numFmtId="0" fontId="2" fillId="17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108"/>
  <sheetViews>
    <sheetView tabSelected="1" zoomScaleNormal="100" workbookViewId="0">
      <pane ySplit="1" topLeftCell="A2" activePane="bottomLeft" state="frozen"/>
      <selection pane="bottomLeft" activeCell="D9" sqref="D9"/>
    </sheetView>
  </sheetViews>
  <sheetFormatPr defaultRowHeight="15.9"/>
  <cols>
    <col min="1" max="1" width="9.140625" style="2"/>
    <col min="2" max="2" width="9.35546875" style="2" bestFit="1" customWidth="1"/>
    <col min="3" max="3" width="28.92578125" style="2" bestFit="1" customWidth="1"/>
    <col min="4" max="4" width="57.2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Mirror Armor Call Function</v>
      </c>
      <c r="B2" s="1"/>
      <c r="C2" s="1"/>
      <c r="D2" s="1"/>
    </row>
    <row r="3" spans="1:4">
      <c r="A3" s="3" t="s">
        <v>60</v>
      </c>
      <c r="B3" s="2" t="str">
        <f>_xlfn.CONCAT("0",RIGHT(C3,1),"10A0E3")</f>
        <v>0210A0E3</v>
      </c>
      <c r="C3" s="2" t="s">
        <v>101</v>
      </c>
      <c r="D3" s="1"/>
    </row>
    <row r="4" spans="1:4">
      <c r="A4" s="2" t="str">
        <f t="shared" ref="A4:A6" si="0">DEC2HEX(HEX2DEC(A3)+4,8)</f>
        <v>000DE264</v>
      </c>
      <c r="B4" s="3" t="s">
        <v>4</v>
      </c>
      <c r="C4" s="2" t="s">
        <v>5</v>
      </c>
      <c r="D4" s="1"/>
    </row>
    <row r="5" spans="1:4">
      <c r="A5" s="2" t="str">
        <f t="shared" si="0"/>
        <v>000DE268</v>
      </c>
      <c r="B5" s="2" t="s">
        <v>6</v>
      </c>
      <c r="C5" s="2" t="s">
        <v>7</v>
      </c>
      <c r="D5" s="1"/>
    </row>
    <row r="6" spans="1:4">
      <c r="A6" s="2" t="str">
        <f t="shared" si="0"/>
        <v>000DE26C</v>
      </c>
      <c r="B6" s="2" t="s">
        <v>8</v>
      </c>
      <c r="C6" s="2" t="s">
        <v>9</v>
      </c>
      <c r="D6" s="1"/>
    </row>
    <row r="7" spans="1:4">
      <c r="A7" s="2" t="str">
        <f>DEC2HEX(HEX2DEC(A6)+4,8)</f>
        <v>000DE270</v>
      </c>
      <c r="B7" s="3" t="s">
        <v>10</v>
      </c>
      <c r="C7" s="2" t="s">
        <v>11</v>
      </c>
      <c r="D7" s="1"/>
    </row>
    <row r="9" spans="1:4">
      <c r="A9" s="1" t="s">
        <v>189</v>
      </c>
    </row>
    <row r="10" spans="1:4">
      <c r="A10" s="3" t="s">
        <v>99</v>
      </c>
      <c r="B10" s="2" t="s">
        <v>14</v>
      </c>
      <c r="C10" s="2" t="s">
        <v>15</v>
      </c>
    </row>
    <row r="11" spans="1:4">
      <c r="A11" s="5" t="str">
        <f>DEC2HEX(HEX2DEC(A10)+4,8)</f>
        <v>001020E4</v>
      </c>
      <c r="B11" s="5" t="s">
        <v>16</v>
      </c>
      <c r="C11" s="5" t="s">
        <v>17</v>
      </c>
      <c r="D11" s="5" t="s">
        <v>18</v>
      </c>
    </row>
    <row r="12" spans="1:4">
      <c r="A12" s="5" t="str">
        <f t="shared" ref="A12:A21" si="1">DEC2HEX(HEX2DEC(A11)+4,8)</f>
        <v>001020E8</v>
      </c>
      <c r="B12" s="5" t="s">
        <v>19</v>
      </c>
      <c r="C12" s="5" t="s">
        <v>20</v>
      </c>
      <c r="D12" s="5"/>
    </row>
    <row r="13" spans="1:4">
      <c r="A13" s="5" t="str">
        <f t="shared" si="1"/>
        <v>001020EC</v>
      </c>
      <c r="B13" s="5" t="s">
        <v>100</v>
      </c>
      <c r="C13" s="5" t="s">
        <v>13</v>
      </c>
      <c r="D13" s="5"/>
    </row>
    <row r="14" spans="1:4">
      <c r="A14" s="4" t="str">
        <f t="shared" si="1"/>
        <v>001020F0</v>
      </c>
      <c r="B14" s="4" t="s">
        <v>200</v>
      </c>
      <c r="C14" s="4" t="s">
        <v>195</v>
      </c>
      <c r="D14" s="4" t="s">
        <v>196</v>
      </c>
    </row>
    <row r="15" spans="1:4">
      <c r="A15" s="2" t="str">
        <f t="shared" si="1"/>
        <v>001020F4</v>
      </c>
      <c r="B15" s="3" t="s">
        <v>197</v>
      </c>
      <c r="C15" s="2" t="s">
        <v>198</v>
      </c>
      <c r="D15" s="2" t="s">
        <v>199</v>
      </c>
    </row>
    <row r="16" spans="1:4">
      <c r="A16" s="2" t="str">
        <f t="shared" si="1"/>
        <v>001020F8</v>
      </c>
      <c r="B16" s="2" t="s">
        <v>201</v>
      </c>
      <c r="C16" s="2" t="str">
        <f>_xlfn.CONCAT("bne 0x",A21)</f>
        <v>bne 0x0010210C</v>
      </c>
    </row>
    <row r="17" spans="1:4">
      <c r="A17" s="2" t="str">
        <f t="shared" si="1"/>
        <v>001020FC</v>
      </c>
      <c r="B17" s="2" t="s">
        <v>26</v>
      </c>
      <c r="C17" s="2" t="str">
        <f>SUBSTITUTE(C10,"push","pop")</f>
        <v>pop {r0, r1, r2, r3, lr}</v>
      </c>
    </row>
    <row r="18" spans="1:4">
      <c r="A18" s="2" t="str">
        <f t="shared" si="1"/>
        <v>00102100</v>
      </c>
      <c r="B18" s="3" t="s">
        <v>115</v>
      </c>
      <c r="C18" s="2" t="s">
        <v>102</v>
      </c>
    </row>
    <row r="19" spans="1:4">
      <c r="A19" s="2" t="str">
        <f t="shared" si="1"/>
        <v>00102104</v>
      </c>
      <c r="B19" s="2" t="s">
        <v>202</v>
      </c>
      <c r="C19" s="2" t="str">
        <f>_xlfn.CONCAT("bne 0x",A53)</f>
        <v>bne 0x00102758</v>
      </c>
    </row>
    <row r="20" spans="1:4">
      <c r="A20" s="2" t="str">
        <f t="shared" si="1"/>
        <v>00102108</v>
      </c>
      <c r="B20" s="2" t="s">
        <v>203</v>
      </c>
      <c r="C20" s="2" t="str">
        <f>_xlfn.CONCAT("beq 0x",A24)</f>
        <v>beq 0x001026EC</v>
      </c>
    </row>
    <row r="21" spans="1:4">
      <c r="A21" s="2" t="str">
        <f t="shared" si="1"/>
        <v>0010210C</v>
      </c>
      <c r="B21" s="2" t="s">
        <v>27</v>
      </c>
      <c r="C21" s="2" t="str">
        <f>SUBSTITUTE(C17,"lr","pc")</f>
        <v>pop {r0, r1, r2, r3, pc}</v>
      </c>
    </row>
    <row r="23" spans="1:4">
      <c r="A23" s="1" t="s">
        <v>32</v>
      </c>
    </row>
    <row r="24" spans="1:4">
      <c r="A24" s="3" t="s">
        <v>81</v>
      </c>
      <c r="B24" s="2" t="s">
        <v>91</v>
      </c>
      <c r="C24" s="2" t="s">
        <v>86</v>
      </c>
    </row>
    <row r="25" spans="1:4">
      <c r="A25" s="2" t="str">
        <f t="shared" ref="A25:A50" si="2">DEC2HEX(HEX2DEC(A24)+4,8)</f>
        <v>001026F0</v>
      </c>
      <c r="B25" s="2" t="s">
        <v>61</v>
      </c>
      <c r="C25" s="2" t="s">
        <v>28</v>
      </c>
    </row>
    <row r="26" spans="1:4">
      <c r="A26" s="2" t="str">
        <f t="shared" si="2"/>
        <v>001026F4</v>
      </c>
      <c r="B26" s="2" t="s">
        <v>92</v>
      </c>
      <c r="C26" s="2" t="s">
        <v>84</v>
      </c>
    </row>
    <row r="27" spans="1:4">
      <c r="A27" s="7" t="str">
        <f t="shared" si="2"/>
        <v>001026F8</v>
      </c>
      <c r="B27" s="7" t="s">
        <v>63</v>
      </c>
      <c r="C27" s="7" t="s">
        <v>42</v>
      </c>
      <c r="D27" s="7" t="s">
        <v>30</v>
      </c>
    </row>
    <row r="28" spans="1:4">
      <c r="A28" s="7" t="str">
        <f t="shared" si="2"/>
        <v>001026FC</v>
      </c>
      <c r="B28" s="7" t="s">
        <v>93</v>
      </c>
      <c r="C28" s="7" t="s">
        <v>12</v>
      </c>
      <c r="D28" s="7"/>
    </row>
    <row r="29" spans="1:4">
      <c r="A29" s="7" t="str">
        <f t="shared" si="2"/>
        <v>00102700</v>
      </c>
      <c r="B29" s="9" t="s">
        <v>64</v>
      </c>
      <c r="C29" s="7" t="s">
        <v>31</v>
      </c>
      <c r="D29" s="7"/>
    </row>
    <row r="30" spans="1:4">
      <c r="A30" s="7" t="str">
        <f t="shared" si="2"/>
        <v>00102704</v>
      </c>
      <c r="B30" s="7" t="s">
        <v>158</v>
      </c>
      <c r="C30" s="7" t="str">
        <f>_xlfn.CONCAT("bne 0x",A49)</f>
        <v>bne 0x00102750</v>
      </c>
      <c r="D30" s="7"/>
    </row>
    <row r="31" spans="1:4">
      <c r="A31" s="5" t="str">
        <f t="shared" si="2"/>
        <v>00102708</v>
      </c>
      <c r="B31" s="5" t="s">
        <v>65</v>
      </c>
      <c r="C31" s="5" t="s">
        <v>33</v>
      </c>
      <c r="D31" s="5" t="s">
        <v>34</v>
      </c>
    </row>
    <row r="32" spans="1:4">
      <c r="A32" s="5" t="str">
        <f t="shared" si="2"/>
        <v>0010270C</v>
      </c>
      <c r="B32" s="5" t="s">
        <v>94</v>
      </c>
      <c r="C32" s="5" t="s">
        <v>12</v>
      </c>
      <c r="D32" s="5"/>
    </row>
    <row r="33" spans="1:4">
      <c r="A33" s="5" t="str">
        <f t="shared" si="2"/>
        <v>00102710</v>
      </c>
      <c r="B33" s="6" t="s">
        <v>24</v>
      </c>
      <c r="C33" s="5" t="s">
        <v>25</v>
      </c>
      <c r="D33" s="5"/>
    </row>
    <row r="34" spans="1:4">
      <c r="A34" s="5" t="str">
        <f t="shared" si="2"/>
        <v>00102714</v>
      </c>
      <c r="B34" s="6" t="s">
        <v>159</v>
      </c>
      <c r="C34" s="5" t="str">
        <f>_xlfn.CONCAT("bge 0x",A49)</f>
        <v>bge 0x00102750</v>
      </c>
      <c r="D34" s="5" t="s">
        <v>35</v>
      </c>
    </row>
    <row r="35" spans="1:4">
      <c r="A35" s="5" t="str">
        <f t="shared" si="2"/>
        <v>00102718</v>
      </c>
      <c r="B35" s="6" t="s">
        <v>70</v>
      </c>
      <c r="C35" s="5" t="s">
        <v>45</v>
      </c>
      <c r="D35" s="5"/>
    </row>
    <row r="36" spans="1:4">
      <c r="A36" s="15" t="str">
        <f t="shared" si="2"/>
        <v>0010271C</v>
      </c>
      <c r="B36" s="23" t="s">
        <v>69</v>
      </c>
      <c r="C36" s="15" t="s">
        <v>29</v>
      </c>
      <c r="D36" s="15" t="s">
        <v>147</v>
      </c>
    </row>
    <row r="37" spans="1:4">
      <c r="A37" s="15" t="str">
        <f t="shared" si="2"/>
        <v>00102720</v>
      </c>
      <c r="B37" s="23" t="s">
        <v>151</v>
      </c>
      <c r="C37" s="15" t="s">
        <v>12</v>
      </c>
      <c r="D37" s="15"/>
    </row>
    <row r="38" spans="1:4">
      <c r="A38" s="28" t="str">
        <f t="shared" si="2"/>
        <v>00102724</v>
      </c>
      <c r="B38" s="29" t="s">
        <v>160</v>
      </c>
      <c r="C38" s="28" t="str">
        <f>_xlfn.CONCAT("ldr r6, [pc, #",HEX2DEC(A$50)-HEX2DEC(A38)-8,"]")</f>
        <v>ldr r6, [pc, #40]</v>
      </c>
      <c r="D38" s="28"/>
    </row>
    <row r="39" spans="1:4">
      <c r="A39" s="28" t="str">
        <f t="shared" si="2"/>
        <v>00102728</v>
      </c>
      <c r="B39" s="29" t="s">
        <v>152</v>
      </c>
      <c r="C39" s="28" t="s">
        <v>150</v>
      </c>
      <c r="D39" s="28" t="s">
        <v>148</v>
      </c>
    </row>
    <row r="40" spans="1:4">
      <c r="A40" s="11" t="str">
        <f t="shared" si="2"/>
        <v>0010272C</v>
      </c>
      <c r="B40" s="12" t="s">
        <v>66</v>
      </c>
      <c r="C40" s="11" t="s">
        <v>41</v>
      </c>
      <c r="D40" s="11" t="s">
        <v>111</v>
      </c>
    </row>
    <row r="41" spans="1:4">
      <c r="A41" s="11" t="str">
        <f t="shared" si="2"/>
        <v>00102730</v>
      </c>
      <c r="B41" s="12" t="s">
        <v>83</v>
      </c>
      <c r="C41" s="11" t="s">
        <v>12</v>
      </c>
      <c r="D41" s="11"/>
    </row>
    <row r="42" spans="1:4">
      <c r="A42" s="11" t="str">
        <f t="shared" si="2"/>
        <v>00102734</v>
      </c>
      <c r="B42" s="12" t="s">
        <v>161</v>
      </c>
      <c r="C42" s="11" t="s">
        <v>153</v>
      </c>
      <c r="D42" s="11" t="s">
        <v>154</v>
      </c>
    </row>
    <row r="43" spans="1:4">
      <c r="A43" s="11" t="str">
        <f t="shared" si="2"/>
        <v>00102738</v>
      </c>
      <c r="B43" s="12" t="s">
        <v>162</v>
      </c>
      <c r="C43" s="11" t="s">
        <v>155</v>
      </c>
      <c r="D43" s="11" t="s">
        <v>156</v>
      </c>
    </row>
    <row r="44" spans="1:4">
      <c r="A44" s="11" t="str">
        <f t="shared" si="2"/>
        <v>0010273C</v>
      </c>
      <c r="B44" s="12" t="s">
        <v>112</v>
      </c>
      <c r="C44" s="11" t="s">
        <v>110</v>
      </c>
      <c r="D44" s="11" t="s">
        <v>157</v>
      </c>
    </row>
    <row r="45" spans="1:4">
      <c r="A45" s="4" t="str">
        <f t="shared" si="2"/>
        <v>00102740</v>
      </c>
      <c r="B45" s="4" t="s">
        <v>67</v>
      </c>
      <c r="C45" s="4" t="s">
        <v>36</v>
      </c>
      <c r="D45" s="4" t="s">
        <v>39</v>
      </c>
    </row>
    <row r="46" spans="1:4">
      <c r="A46" s="4" t="str">
        <f t="shared" si="2"/>
        <v>00102744</v>
      </c>
      <c r="B46" s="4" t="s">
        <v>68</v>
      </c>
      <c r="C46" s="4" t="s">
        <v>37</v>
      </c>
      <c r="D46" s="4"/>
    </row>
    <row r="47" spans="1:4">
      <c r="A47" s="4" t="str">
        <f t="shared" si="2"/>
        <v>00102748</v>
      </c>
      <c r="B47" s="10" t="s">
        <v>163</v>
      </c>
      <c r="C47" s="4" t="s">
        <v>38</v>
      </c>
      <c r="D47" s="4"/>
    </row>
    <row r="48" spans="1:4">
      <c r="A48" s="4" t="str">
        <f t="shared" si="2"/>
        <v>0010274C</v>
      </c>
      <c r="B48" s="10" t="s">
        <v>95</v>
      </c>
      <c r="C48" s="4" t="s">
        <v>85</v>
      </c>
      <c r="D48" s="4"/>
    </row>
    <row r="49" spans="1:4">
      <c r="A49" s="2" t="str">
        <f t="shared" si="2"/>
        <v>00102750</v>
      </c>
      <c r="B49" s="2" t="s">
        <v>96</v>
      </c>
      <c r="C49" s="2" t="str">
        <f>SUBSTITUTE(SUBSTITUTE(C24,"push","pop"),"lr","pc")</f>
        <v>pop {r4, r5, r6, pc}</v>
      </c>
    </row>
    <row r="50" spans="1:4">
      <c r="A50" s="2" t="str">
        <f t="shared" si="2"/>
        <v>00102754</v>
      </c>
      <c r="B50" s="3" t="s">
        <v>10</v>
      </c>
      <c r="C50" s="2" t="s">
        <v>87</v>
      </c>
    </row>
    <row r="52" spans="1:4">
      <c r="A52" s="1" t="s">
        <v>103</v>
      </c>
    </row>
    <row r="53" spans="1:4">
      <c r="A53" s="2" t="str">
        <f>DEC2HEX(HEX2DEC(A50)+4,8)</f>
        <v>00102758</v>
      </c>
      <c r="B53" s="2" t="s">
        <v>130</v>
      </c>
      <c r="C53" s="2" t="s">
        <v>126</v>
      </c>
    </row>
    <row r="54" spans="1:4">
      <c r="A54" s="2" t="str">
        <f t="shared" ref="A54:A102" si="3">DEC2HEX(HEX2DEC(A53)+4,8)</f>
        <v>0010275C</v>
      </c>
      <c r="B54" s="2" t="s">
        <v>131</v>
      </c>
      <c r="C54" s="2" t="s">
        <v>117</v>
      </c>
    </row>
    <row r="55" spans="1:4">
      <c r="A55" s="2" t="str">
        <f t="shared" si="3"/>
        <v>00102760</v>
      </c>
      <c r="B55" s="2" t="s">
        <v>62</v>
      </c>
      <c r="C55" s="2" t="s">
        <v>40</v>
      </c>
    </row>
    <row r="56" spans="1:4">
      <c r="A56" s="2" t="str">
        <f t="shared" si="3"/>
        <v>00102764</v>
      </c>
      <c r="B56" s="2" t="s">
        <v>61</v>
      </c>
      <c r="C56" s="2" t="s">
        <v>28</v>
      </c>
    </row>
    <row r="57" spans="1:4">
      <c r="A57" s="2" t="str">
        <f t="shared" si="3"/>
        <v>00102768</v>
      </c>
      <c r="B57" s="2" t="s">
        <v>175</v>
      </c>
      <c r="C57" s="2" t="s">
        <v>167</v>
      </c>
    </row>
    <row r="58" spans="1:4">
      <c r="A58" s="2" t="str">
        <f t="shared" si="3"/>
        <v>0010276C</v>
      </c>
      <c r="B58" s="2" t="s">
        <v>176</v>
      </c>
      <c r="C58" s="2" t="s">
        <v>12</v>
      </c>
    </row>
    <row r="59" spans="1:4">
      <c r="A59" s="2" t="str">
        <f t="shared" si="3"/>
        <v>00102770</v>
      </c>
      <c r="B59" s="3" t="s">
        <v>64</v>
      </c>
      <c r="C59" s="2" t="s">
        <v>31</v>
      </c>
    </row>
    <row r="60" spans="1:4">
      <c r="A60" s="2" t="str">
        <f t="shared" si="3"/>
        <v>00102774</v>
      </c>
      <c r="B60" s="2" t="s">
        <v>177</v>
      </c>
      <c r="C60" s="2" t="str">
        <f>_xlfn.CONCAT("bne 0x",A101)</f>
        <v>bne 0x00102818</v>
      </c>
    </row>
    <row r="61" spans="1:4">
      <c r="A61" s="2" t="str">
        <f>DEC2HEX(HEX2DEC(A60)+4,8)</f>
        <v>00102778</v>
      </c>
      <c r="B61" s="2" t="s">
        <v>178</v>
      </c>
      <c r="C61" s="2" t="s">
        <v>168</v>
      </c>
      <c r="D61" s="2" t="s">
        <v>169</v>
      </c>
    </row>
    <row r="62" spans="1:4">
      <c r="A62" s="14" t="str">
        <f t="shared" si="3"/>
        <v>0010277C</v>
      </c>
      <c r="B62" s="14" t="s">
        <v>179</v>
      </c>
      <c r="C62" s="14" t="str">
        <f>_xlfn.CONCAT("ldr r6, [pc, #",HEX2DEC(A$50)-HEX2DEC(A62)-8,"]")</f>
        <v>ldr r6, [pc, #-48]</v>
      </c>
      <c r="D62" s="14" t="s">
        <v>21</v>
      </c>
    </row>
    <row r="63" spans="1:4">
      <c r="A63" s="14" t="str">
        <f t="shared" si="3"/>
        <v>00102780</v>
      </c>
      <c r="B63" s="21" t="s">
        <v>166</v>
      </c>
      <c r="C63" s="14" t="s">
        <v>149</v>
      </c>
      <c r="D63" s="14" t="s">
        <v>104</v>
      </c>
    </row>
    <row r="64" spans="1:4">
      <c r="A64" s="24" t="str">
        <f t="shared" si="3"/>
        <v>00102784</v>
      </c>
      <c r="B64" s="25" t="s">
        <v>113</v>
      </c>
      <c r="C64" s="24" t="s">
        <v>109</v>
      </c>
      <c r="D64" s="24" t="s">
        <v>143</v>
      </c>
    </row>
    <row r="65" spans="1:4">
      <c r="A65" s="24" t="str">
        <f t="shared" si="3"/>
        <v>00102788</v>
      </c>
      <c r="B65" s="25" t="s">
        <v>132</v>
      </c>
      <c r="C65" s="24" t="s">
        <v>118</v>
      </c>
      <c r="D65" s="24" t="s">
        <v>142</v>
      </c>
    </row>
    <row r="66" spans="1:4">
      <c r="A66" s="24" t="str">
        <f t="shared" si="3"/>
        <v>0010278C</v>
      </c>
      <c r="B66" s="25" t="s">
        <v>24</v>
      </c>
      <c r="C66" s="24" t="s">
        <v>25</v>
      </c>
      <c r="D66" s="24" t="s">
        <v>119</v>
      </c>
    </row>
    <row r="67" spans="1:4">
      <c r="A67" s="24" t="str">
        <f t="shared" si="3"/>
        <v>00102790</v>
      </c>
      <c r="B67" s="25" t="s">
        <v>133</v>
      </c>
      <c r="C67" s="24" t="s">
        <v>116</v>
      </c>
      <c r="D67" s="24"/>
    </row>
    <row r="68" spans="1:4">
      <c r="A68" s="24" t="str">
        <f t="shared" si="3"/>
        <v>00102794</v>
      </c>
      <c r="B68" s="25" t="s">
        <v>180</v>
      </c>
      <c r="C68" s="24" t="str">
        <f>_xlfn.CONCAT("beq 0x",A98)</f>
        <v>beq 0x0010280C</v>
      </c>
      <c r="D68" s="24" t="s">
        <v>170</v>
      </c>
    </row>
    <row r="69" spans="1:4">
      <c r="A69" s="26" t="str">
        <f t="shared" si="3"/>
        <v>00102798</v>
      </c>
      <c r="B69" s="27" t="s">
        <v>22</v>
      </c>
      <c r="C69" s="26" t="s">
        <v>23</v>
      </c>
      <c r="D69" s="26" t="s">
        <v>120</v>
      </c>
    </row>
    <row r="70" spans="1:4">
      <c r="A70" s="26" t="str">
        <f t="shared" si="3"/>
        <v>0010279C</v>
      </c>
      <c r="B70" s="27" t="s">
        <v>134</v>
      </c>
      <c r="C70" s="26" t="s">
        <v>121</v>
      </c>
      <c r="D70" s="26"/>
    </row>
    <row r="71" spans="1:4">
      <c r="A71" s="26" t="str">
        <f t="shared" si="3"/>
        <v>001027A0</v>
      </c>
      <c r="B71" s="27" t="s">
        <v>164</v>
      </c>
      <c r="C71" s="26" t="s">
        <v>144</v>
      </c>
      <c r="D71" s="26"/>
    </row>
    <row r="72" spans="1:4">
      <c r="A72" s="2" t="str">
        <f t="shared" si="3"/>
        <v>001027A4</v>
      </c>
      <c r="B72" s="3" t="s">
        <v>135</v>
      </c>
      <c r="C72" s="2" t="s">
        <v>123</v>
      </c>
      <c r="D72" s="2" t="s">
        <v>124</v>
      </c>
    </row>
    <row r="73" spans="1:4">
      <c r="A73" s="2" t="str">
        <f t="shared" si="3"/>
        <v>001027A8</v>
      </c>
      <c r="B73" s="3" t="s">
        <v>136</v>
      </c>
      <c r="C73" s="2" t="s">
        <v>127</v>
      </c>
    </row>
    <row r="74" spans="1:4">
      <c r="A74" s="2" t="str">
        <f t="shared" si="3"/>
        <v>001027AC</v>
      </c>
      <c r="B74" s="3" t="s">
        <v>165</v>
      </c>
      <c r="C74" s="2" t="s">
        <v>145</v>
      </c>
      <c r="D74" s="2" t="s">
        <v>146</v>
      </c>
    </row>
    <row r="75" spans="1:4">
      <c r="A75" s="15" t="str">
        <f t="shared" si="3"/>
        <v>001027B0</v>
      </c>
      <c r="B75" s="15" t="s">
        <v>137</v>
      </c>
      <c r="C75" s="15" t="s">
        <v>125</v>
      </c>
      <c r="D75" s="15" t="s">
        <v>128</v>
      </c>
    </row>
    <row r="76" spans="1:4">
      <c r="A76" s="16" t="str">
        <f t="shared" si="3"/>
        <v>001027B4</v>
      </c>
      <c r="B76" s="22" t="s">
        <v>97</v>
      </c>
      <c r="C76" s="16" t="s">
        <v>88</v>
      </c>
      <c r="D76" s="16" t="s">
        <v>106</v>
      </c>
    </row>
    <row r="77" spans="1:4">
      <c r="A77" s="16" t="str">
        <f t="shared" si="3"/>
        <v>001027B8</v>
      </c>
      <c r="B77" s="16" t="s">
        <v>181</v>
      </c>
      <c r="C77" s="16" t="str">
        <f>_xlfn.CONCAT("beq 0x",A95)</f>
        <v>beq 0x00102800</v>
      </c>
      <c r="D77" s="16"/>
    </row>
    <row r="78" spans="1:4">
      <c r="A78" s="18" t="str">
        <f t="shared" si="3"/>
        <v>001027BC</v>
      </c>
      <c r="B78" s="18" t="s">
        <v>71</v>
      </c>
      <c r="C78" s="18" t="s">
        <v>46</v>
      </c>
      <c r="D78" s="18" t="s">
        <v>90</v>
      </c>
    </row>
    <row r="79" spans="1:4">
      <c r="A79" s="18" t="str">
        <f t="shared" si="3"/>
        <v>001027C0</v>
      </c>
      <c r="B79" s="18" t="s">
        <v>72</v>
      </c>
      <c r="C79" s="18" t="s">
        <v>47</v>
      </c>
      <c r="D79" s="18"/>
    </row>
    <row r="80" spans="1:4">
      <c r="A80" s="18" t="str">
        <f t="shared" si="3"/>
        <v>001027C4</v>
      </c>
      <c r="B80" s="18" t="s">
        <v>73</v>
      </c>
      <c r="C80" s="18" t="s">
        <v>44</v>
      </c>
      <c r="D80" s="18"/>
    </row>
    <row r="81" spans="1:4">
      <c r="A81" s="18" t="str">
        <f t="shared" si="3"/>
        <v>001027C8</v>
      </c>
      <c r="B81" s="18" t="s">
        <v>182</v>
      </c>
      <c r="C81" s="18" t="s">
        <v>48</v>
      </c>
      <c r="D81" s="18"/>
    </row>
    <row r="82" spans="1:4">
      <c r="A82" s="13" t="str">
        <f t="shared" si="3"/>
        <v>001027CC</v>
      </c>
      <c r="B82" s="13" t="s">
        <v>74</v>
      </c>
      <c r="C82" s="13" t="s">
        <v>49</v>
      </c>
      <c r="D82" s="13"/>
    </row>
    <row r="83" spans="1:4">
      <c r="A83" s="13" t="str">
        <f t="shared" si="3"/>
        <v>001027D0</v>
      </c>
      <c r="B83" s="13" t="s">
        <v>75</v>
      </c>
      <c r="C83" s="13" t="s">
        <v>43</v>
      </c>
      <c r="D83" s="13"/>
    </row>
    <row r="84" spans="1:4">
      <c r="A84" s="15" t="str">
        <f t="shared" si="3"/>
        <v>001027D4</v>
      </c>
      <c r="B84" s="23" t="s">
        <v>194</v>
      </c>
      <c r="C84" s="15" t="s">
        <v>190</v>
      </c>
      <c r="D84" s="15" t="s">
        <v>50</v>
      </c>
    </row>
    <row r="85" spans="1:4">
      <c r="A85" s="17" t="str">
        <f t="shared" si="3"/>
        <v>001027D8</v>
      </c>
      <c r="B85" s="17" t="s">
        <v>191</v>
      </c>
      <c r="C85" s="17" t="s">
        <v>192</v>
      </c>
      <c r="D85" s="17" t="s">
        <v>193</v>
      </c>
    </row>
    <row r="86" spans="1:4">
      <c r="A86" s="19" t="str">
        <f t="shared" si="3"/>
        <v>001027DC</v>
      </c>
      <c r="B86" s="19" t="s">
        <v>76</v>
      </c>
      <c r="C86" s="19" t="s">
        <v>51</v>
      </c>
      <c r="D86" s="19" t="s">
        <v>52</v>
      </c>
    </row>
    <row r="87" spans="1:4">
      <c r="A87" s="19" t="str">
        <f t="shared" si="3"/>
        <v>001027E0</v>
      </c>
      <c r="B87" s="19" t="s">
        <v>77</v>
      </c>
      <c r="C87" s="19" t="s">
        <v>53</v>
      </c>
      <c r="D87" s="19" t="s">
        <v>54</v>
      </c>
    </row>
    <row r="88" spans="1:4">
      <c r="A88" s="19" t="str">
        <f t="shared" si="3"/>
        <v>001027E4</v>
      </c>
      <c r="B88" s="19" t="s">
        <v>78</v>
      </c>
      <c r="C88" s="19" t="s">
        <v>55</v>
      </c>
      <c r="D88" s="19" t="s">
        <v>59</v>
      </c>
    </row>
    <row r="89" spans="1:4">
      <c r="A89" s="19" t="str">
        <f t="shared" si="3"/>
        <v>001027E8</v>
      </c>
      <c r="B89" s="19" t="s">
        <v>98</v>
      </c>
      <c r="C89" s="19" t="s">
        <v>89</v>
      </c>
      <c r="D89" s="19"/>
    </row>
    <row r="90" spans="1:4">
      <c r="A90" s="19" t="str">
        <f t="shared" si="3"/>
        <v>001027EC</v>
      </c>
      <c r="B90" s="19" t="s">
        <v>79</v>
      </c>
      <c r="C90" s="19" t="s">
        <v>56</v>
      </c>
      <c r="D90" s="19" t="s">
        <v>57</v>
      </c>
    </row>
    <row r="91" spans="1:4">
      <c r="A91" s="19" t="str">
        <f t="shared" si="3"/>
        <v>001027F0</v>
      </c>
      <c r="B91" s="20" t="s">
        <v>114</v>
      </c>
      <c r="C91" s="19" t="s">
        <v>105</v>
      </c>
      <c r="D91" s="19"/>
    </row>
    <row r="92" spans="1:4">
      <c r="A92" s="19" t="str">
        <f t="shared" si="3"/>
        <v>001027F4</v>
      </c>
      <c r="B92" s="19" t="s">
        <v>73</v>
      </c>
      <c r="C92" s="19" t="s">
        <v>44</v>
      </c>
      <c r="D92" s="19"/>
    </row>
    <row r="93" spans="1:4">
      <c r="A93" s="19" t="str">
        <f t="shared" si="3"/>
        <v>001027F8</v>
      </c>
      <c r="B93" s="19" t="s">
        <v>80</v>
      </c>
      <c r="C93" s="19" t="s">
        <v>58</v>
      </c>
      <c r="D93" s="19"/>
    </row>
    <row r="94" spans="1:4">
      <c r="A94" s="19" t="str">
        <f t="shared" si="3"/>
        <v>001027FC</v>
      </c>
      <c r="B94" s="19" t="s">
        <v>183</v>
      </c>
      <c r="C94" s="19" t="s">
        <v>82</v>
      </c>
      <c r="D94" s="19"/>
    </row>
    <row r="95" spans="1:4">
      <c r="A95" s="30" t="str">
        <f t="shared" si="3"/>
        <v>00102800</v>
      </c>
      <c r="B95" s="31" t="s">
        <v>138</v>
      </c>
      <c r="C95" s="30" t="s">
        <v>129</v>
      </c>
      <c r="D95" s="30" t="s">
        <v>107</v>
      </c>
    </row>
    <row r="96" spans="1:4">
      <c r="A96" s="30" t="str">
        <f t="shared" si="3"/>
        <v>00102804</v>
      </c>
      <c r="B96" s="31" t="s">
        <v>184</v>
      </c>
      <c r="C96" s="30" t="s">
        <v>174</v>
      </c>
      <c r="D96" s="30" t="s">
        <v>141</v>
      </c>
    </row>
    <row r="97" spans="1:4">
      <c r="A97" s="30" t="str">
        <f t="shared" si="3"/>
        <v>00102808</v>
      </c>
      <c r="B97" s="30" t="s">
        <v>185</v>
      </c>
      <c r="C97" s="30" t="str">
        <f>_xlfn.CONCAT("blo 0x",A75)</f>
        <v>blo 0x001027B0</v>
      </c>
      <c r="D97" s="30" t="s">
        <v>108</v>
      </c>
    </row>
    <row r="98" spans="1:4">
      <c r="A98" s="32" t="str">
        <f t="shared" si="3"/>
        <v>0010280C</v>
      </c>
      <c r="B98" s="33" t="s">
        <v>186</v>
      </c>
      <c r="C98" s="32" t="s">
        <v>171</v>
      </c>
      <c r="D98" s="32" t="s">
        <v>172</v>
      </c>
    </row>
    <row r="99" spans="1:4">
      <c r="A99" s="32" t="str">
        <f t="shared" si="3"/>
        <v>00102810</v>
      </c>
      <c r="B99" s="33" t="s">
        <v>187</v>
      </c>
      <c r="C99" s="32" t="s">
        <v>173</v>
      </c>
      <c r="D99" s="32"/>
    </row>
    <row r="100" spans="1:4">
      <c r="A100" s="32" t="str">
        <f t="shared" si="3"/>
        <v>00102814</v>
      </c>
      <c r="B100" s="32" t="s">
        <v>188</v>
      </c>
      <c r="C100" s="32" t="str">
        <f>_xlfn.CONCAT("blo 0x",A62)</f>
        <v>blo 0x0010277C</v>
      </c>
      <c r="D100" s="32"/>
    </row>
    <row r="101" spans="1:4">
      <c r="A101" s="2" t="str">
        <f t="shared" si="3"/>
        <v>00102818</v>
      </c>
      <c r="B101" s="2" t="s">
        <v>139</v>
      </c>
      <c r="C101" s="2" t="s">
        <v>122</v>
      </c>
    </row>
    <row r="102" spans="1:4">
      <c r="A102" s="2" t="str">
        <f t="shared" si="3"/>
        <v>0010281C</v>
      </c>
      <c r="B102" s="2" t="s">
        <v>140</v>
      </c>
      <c r="C102" s="2" t="str">
        <f>SUBSTITUTE(SUBSTITUTE(C53,"push","pop"),"lr","pc")</f>
        <v>pop {r4, r5, r6, r7, pc}</v>
      </c>
    </row>
    <row r="104" spans="1:4">
      <c r="A104" s="1"/>
    </row>
    <row r="106" spans="1:4">
      <c r="C106" s="8"/>
    </row>
    <row r="107" spans="1:4">
      <c r="C107" s="8"/>
    </row>
    <row r="108" spans="1:4">
      <c r="C10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2026-05-10T20:40:33Z</dcterms:modified>
</cp:coreProperties>
</file>