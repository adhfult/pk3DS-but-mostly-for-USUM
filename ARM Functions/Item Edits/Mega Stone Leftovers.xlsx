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C2CB4AAE-F134-4583-9F77-FF769F9B6C7E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C17" i="1" l="1"/>
  <c r="C21" i="1" s="1"/>
  <c r="A11" i="1"/>
  <c r="A12" i="1" s="1"/>
  <c r="A13" i="1" s="1"/>
  <c r="A14" i="1" s="1"/>
  <c r="A15" i="1" s="1"/>
  <c r="A16" i="1" s="1"/>
  <c r="C16" i="1" l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<sst xmlns="http://schemas.openxmlformats.org/spreadsheetml/2006/main" count="40" uniqueCount="40">
  <si>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</si>
  <si>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</si>
  <si>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</si>
  <si>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</si>
  <si>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</si>
  <si>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</si>
  <si>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</si>
  <si>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</si>
  <si>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</si>
  <si>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</si>
  <si>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</si>
  <si>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</si>
  <si>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</si>
  <si>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</si>
  <si>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</si>
  <si>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</si>
  <si>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</si>
  <si>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</si>
  <si>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</si>
  <si>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</si>
  <si>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get species</t>
  </si>
  <si>
    <t>get table</t>
  </si>
  <si>
    <t>0F40BDE8</t>
  </si>
  <si>
    <t>0F80BDE8</t>
  </si>
  <si>
    <t>cmp r9, 0x8A</t>
  </si>
  <si>
    <t>beq 0x000BBDB8</t>
  </si>
  <si>
    <t>bne 0x000BE2B4</t>
  </si>
  <si>
    <t>Mega Stone Leftovers 0x8E/0x8A</t>
  </si>
  <si>
    <t>00101E5C</t>
  </si>
  <si>
    <t>0A41FEEB</t>
  </si>
  <si>
    <t>8A0059E3</t>
  </si>
  <si>
    <t>000D4BE4</t>
  </si>
  <si>
    <t>mov r1, 0x2</t>
  </si>
  <si>
    <t>bl 0x000D6F98</t>
  </si>
  <si>
    <t>cmp r0, 0x1</t>
  </si>
  <si>
    <t>4954FFEB</t>
  </si>
  <si>
    <t>010050E3</t>
  </si>
  <si>
    <t>0300001A</t>
  </si>
  <si>
    <t>CCE7FE0A</t>
  </si>
  <si>
    <t>0AF1FE1A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</si>
</sst>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1"/>
  <sheetViews>
    <sheetView tabSelected="1" workbookViewId="0">
      <pane ySplit="1" topLeftCell="A2" activePane="bottomLeft" state="frozen"/>
      <selection pane="bottomLeft" activeCell="B10" sqref="B10:B21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Leftovers Call Function</v>
      </c>
      <c r="B2" s="1"/>
      <c r="C2" s="1"/>
      <c r="D2" s="1"/>
    </row>
    <row r="3" spans="1:4">
      <c r="A3" s="3" t="s">
        <v>31</v>
      </c>
      <c r="B3" s="2" t="str">
        <f>_xlfn.CONCAT("0",RIGHT(C3,1),"10A0E3")</f>
        <v>0210A0E3</v>
      </c>
      <c r="C3" s="2" t="s">
        <v>32</v>
      </c>
      <c r="D3" s="1"/>
    </row>
    <row r="4" spans="1:4">
      <c r="A4" s="2" t="str">
        <f t="shared" ref="A4:A6" si="0">DEC2HEX(HEX2DEC(A3)+4,8)</f>
        <v>000D4BE8</v>
      </c>
      <c r="B4" s="3" t="s">
        <v>4</v>
      </c>
      <c r="C4" s="2" t="s">
        <v>5</v>
      </c>
      <c r="D4" s="1"/>
    </row>
    <row r="5" spans="1:4">
      <c r="A5" s="2" t="str">
        <f t="shared" si="0"/>
        <v>000D4BEC</v>
      </c>
      <c r="B5" s="2" t="s">
        <v>6</v>
      </c>
      <c r="C5" s="2" t="s">
        <v>7</v>
      </c>
      <c r="D5" s="1"/>
    </row>
    <row r="6" spans="1:4">
      <c r="A6" s="2" t="str">
        <f t="shared" si="0"/>
        <v>000D4BF0</v>
      </c>
      <c r="B6" s="2" t="s">
        <v>8</v>
      </c>
      <c r="C6" s="2" t="s">
        <v>9</v>
      </c>
      <c r="D6" s="1"/>
    </row>
    <row r="7" spans="1:4">
      <c r="A7" s="2" t="str">
        <f>DEC2HEX(HEX2DEC(A6)+4,8)</f>
        <v>000D4BF4</v>
      </c>
      <c r="B7" s="3" t="s">
        <v>10</v>
      </c>
      <c r="C7" s="2" t="s">
        <v>11</v>
      </c>
      <c r="D7" s="1"/>
    </row>
    <row r="9" spans="1:4">
      <c r="A9" s="1" t="s">
        <v>27</v>
      </c>
    </row>
    <row r="10" spans="1:4">
      <c r="A10" s="2" t="s">
        <v>28</v>
      </c>
      <c r="B10" s="2" t="s">
        <v>13</v>
      </c>
      <c r="C10" s="2" t="s">
        <v>14</v>
      </c>
    </row>
    <row r="11" spans="1:4">
      <c r="A11" s="5" t="str">
        <f>DEC2HEX(HEX2DEC(A10)+4,8)</f>
        <v>00101E60</v>
      </c>
      <c r="B11" s="5" t="s">
        <v>15</v>
      </c>
      <c r="C11" s="5" t="s">
        <v>16</v>
      </c>
      <c r="D11" s="5" t="s">
        <v>17</v>
      </c>
    </row>
    <row r="12" spans="1:4">
      <c r="A12" s="5" t="str">
        <f t="shared" ref="A12:A21" si="1">DEC2HEX(HEX2DEC(A11)+4,8)</f>
        <v>00101E64</v>
      </c>
      <c r="B12" s="5" t="s">
        <v>18</v>
      </c>
      <c r="C12" s="5" t="s">
        <v>19</v>
      </c>
      <c r="D12" s="5"/>
    </row>
    <row r="13" spans="1:4">
      <c r="A13" s="5" t="str">
        <f t="shared" si="1"/>
        <v>00101E68</v>
      </c>
      <c r="B13" s="5" t="s">
        <v>29</v>
      </c>
      <c r="C13" s="5" t="s">
        <v>12</v>
      </c>
      <c r="D13" s="5"/>
    </row>
    <row r="14" spans="1:4">
      <c r="A14" s="4" t="str">
        <f t="shared" si="1"/>
        <v>00101E6C</v>
      </c>
      <c r="B14" s="4" t="s">
        <v>35</v>
      </c>
      <c r="C14" s="4" t="s">
        <v>33</v>
      </c>
      <c r="D14" s="4" t="s">
        <v>20</v>
      </c>
    </row>
    <row r="15" spans="1:4">
      <c r="A15" s="2" t="str">
        <f t="shared" si="1"/>
        <v>00101E70</v>
      </c>
      <c r="B15" s="3" t="s">
        <v>36</v>
      </c>
      <c r="C15" s="2" t="s">
        <v>34</v>
      </c>
      <c r="D15" s="2" t="s">
        <v>21</v>
      </c>
    </row>
    <row r="16" spans="1:4">
      <c r="A16" s="2" t="str">
        <f t="shared" si="1"/>
        <v>00101E74</v>
      </c>
      <c r="B16" s="2" t="s">
        <v>37</v>
      </c>
      <c r="C16" s="2" t="str">
        <f>_xlfn.CONCAT("bne 0x",A21)</f>
        <v>bne 0x00101E88</v>
      </c>
    </row>
    <row r="17" spans="1:3">
      <c r="A17" s="2" t="str">
        <f t="shared" si="1"/>
        <v>00101E78</v>
      </c>
      <c r="B17" s="2" t="s">
        <v>22</v>
      </c>
      <c r="C17" s="2" t="str">
        <f>SUBSTITUTE(C10,"push","pop")</f>
        <v>pop {r0, r1, r2, r3, lr}</v>
      </c>
    </row>
    <row r="18" spans="1:3">
      <c r="A18" s="2" t="str">
        <f t="shared" si="1"/>
        <v>00101E7C</v>
      </c>
      <c r="B18" s="2" t="s">
        <v>30</v>
      </c>
      <c r="C18" s="2" t="s">
        <v>24</v>
      </c>
    </row>
    <row r="19" spans="1:3">
      <c r="A19" s="2" t="str">
        <f t="shared" si="1"/>
        <v>00101E80</v>
      </c>
      <c r="B19" s="2" t="s">
        <v>38</v>
      </c>
      <c r="C19" s="2" t="s">
        <v>25</v>
      </c>
    </row>
    <row r="20" spans="1:3">
      <c r="A20" s="2" t="str">
        <f t="shared" si="1"/>
        <v>00101E84</v>
      </c>
      <c r="B20" s="2" t="s">
        <v>39</v>
      </c>
      <c r="C20" s="2" t="s">
        <v>26</v>
      </c>
    </row>
    <row r="21" spans="1:3">
      <c r="A21" s="2" t="str">
        <f t="shared" si="1"/>
        <v>00101E88</v>
      </c>
      <c r="B21" s="2" t="s">
        <v>23</v>
      </c>
      <c r="C21" s="2" t="str">
        <f>SUBSTITUTE(C17,"lr","pc")</f>
        <v>pop {r0, r1, r2, r3,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2026-05-11T00:22:56Z</dcterms:modified>
</cp:coreProperties>
</file>