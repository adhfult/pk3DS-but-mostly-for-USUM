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B58F0138-0885-43E7-82CA-F224271996F4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C41" i="1" l="1"/>
  <c r="C43" i="1" l="1"/>
  <c r="C26" i="1" l="1"/>
  <c r="A2" i="1" a="1"/>
  <c r="A2" i="1" s="1"/>
  <c r="A4" i="1"/>
  <c r="A5" i="1" s="1"/>
  <c r="A6" i="1" s="1"/>
  <c r="A7" i="1" s="1"/>
  <c r="B3" i="1"/>
  <c r="C35" i="1" l="1"/>
  <c r="C1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<sst xmlns="http://schemas.openxmlformats.org/spreadsheetml/2006/main" count="91" uniqueCount="89">
  <si>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</si>
  <si>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</si>
  <si>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</si>
  <si>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</si>
  <si>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</si>
  <si>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</si>
  <si>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</si>
  <si>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</si>
  <si>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</si>
  <si>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</si>
  <si>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</si>
  <si>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</si>
  <si>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</si>
  <si>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Get pointer to self</t>
  </si>
  <si>
    <t>mov r0, r1</t>
  </si>
  <si>
    <t>mov r1, r2</t>
  </si>
  <si>
    <t>0100A0E1</t>
  </si>
  <si>
    <t>0210A0E1</t>
  </si>
  <si>
    <t>bl 0x000D6F98</t>
  </si>
  <si>
    <t xml:space="preserve">bl 0x00087B58 </t>
  </si>
  <si>
    <t>cmp r0, 0x0</t>
  </si>
  <si>
    <t>000050E3</t>
  </si>
  <si>
    <t>push {r4, r5, r6, lr}</t>
  </si>
  <si>
    <t>mov r4, r2</t>
  </si>
  <si>
    <t>mov r0, 0x3</t>
  </si>
  <si>
    <t>1.5x Damage to Poisoned Pokemon, 2/3 damage from poisoned Pokemon 0x5B</t>
  </si>
  <si>
    <t>get attacker</t>
  </si>
  <si>
    <t>mov r6, r0</t>
  </si>
  <si>
    <t>mov r0, 0x4</t>
  </si>
  <si>
    <t>get defender</t>
  </si>
  <si>
    <t>check if self defender</t>
  </si>
  <si>
    <t>cmp r4, r6</t>
  </si>
  <si>
    <t>check if self attacker</t>
  </si>
  <si>
    <t>cmp r4, r0</t>
  </si>
  <si>
    <t>0 means attacking</t>
  </si>
  <si>
    <t>mov r5, r1</t>
  </si>
  <si>
    <t>cmp r1, 0x1</t>
  </si>
  <si>
    <t>Check if Mega</t>
  </si>
  <si>
    <t>1 means defending</t>
  </si>
  <si>
    <t>get pointer to not-self</t>
  </si>
  <si>
    <t>mov r1, r0</t>
  </si>
  <si>
    <t>mov r0, r5</t>
  </si>
  <si>
    <t>mov r1, 0x5</t>
  </si>
  <si>
    <t>bl 0x00092A60</t>
  </si>
  <si>
    <t>Check if is poisoned</t>
  </si>
  <si>
    <t>moveq r6, 0x0</t>
  </si>
  <si>
    <t>moveq r6, 0x1</t>
  </si>
  <si>
    <t>cmp r6, 0x0</t>
  </si>
  <si>
    <t>moveq r1, 0x1800</t>
  </si>
  <si>
    <t>1.5x</t>
  </si>
  <si>
    <t>2/3x</t>
  </si>
  <si>
    <t>orrne r1, r1, 0xAA</t>
  </si>
  <si>
    <t>b 0x00083108</t>
  </si>
  <si>
    <t>mov r0, 0x39</t>
  </si>
  <si>
    <t>000FDE00</t>
  </si>
  <si>
    <t>mov r1, 0x1</t>
  </si>
  <si>
    <t>00102FD4</t>
  </si>
  <si>
    <t>movne r1, 0xA00</t>
  </si>
  <si>
    <t>70402DE9</t>
  </si>
  <si>
    <t>0240A0E1</t>
  </si>
  <si>
    <t>0150A0E1</t>
  </si>
  <si>
    <t>AA3CFEEB</t>
  </si>
  <si>
    <t>E94FFFEB</t>
  </si>
  <si>
    <t>010051E3</t>
  </si>
  <si>
    <t>1700001A</t>
  </si>
  <si>
    <t>0300A0E3</t>
  </si>
  <si>
    <t>D512FEEB</t>
  </si>
  <si>
    <t>0060A0E1</t>
  </si>
  <si>
    <t>0400A0E3</t>
  </si>
  <si>
    <t>D212FEEB</t>
  </si>
  <si>
    <t>060054E1</t>
  </si>
  <si>
    <t>0060A003</t>
  </si>
  <si>
    <t>0100000A</t>
  </si>
  <si>
    <t>000054E1</t>
  </si>
  <si>
    <t>0160A003</t>
  </si>
  <si>
    <t>0010A0E1</t>
  </si>
  <si>
    <t>0500A0E1</t>
  </si>
  <si>
    <t>9A3CFEEB</t>
  </si>
  <si>
    <t>0510A0E3</t>
  </si>
  <si>
    <t>8A3EFEEB</t>
  </si>
  <si>
    <t>0600000A</t>
  </si>
  <si>
    <t>000056E3</t>
  </si>
  <si>
    <t>061BA003</t>
  </si>
  <si>
    <t>0A1CA013</t>
  </si>
  <si>
    <t>AA108113</t>
  </si>
  <si>
    <t>3900A0E3</t>
  </si>
  <si>
    <t>7040BDE8</t>
  </si>
  <si>
    <t>2B00FEEA</t>
  </si>
  <si>
    <t>7080BDE8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</si>
</sst>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5" borderId="0" xfId="0" quotePrefix="1" applyFont="1" applyFill="1"/>
    <xf numFmtId="0" fontId="2" fillId="6" borderId="0" xfId="0" quotePrefix="1" applyFont="1" applyFill="1"/>
    <xf numFmtId="0" fontId="2" fillId="6" borderId="0" xfId="0" applyFont="1" applyFill="1"/>
    <xf numFmtId="0" fontId="2" fillId="7" borderId="0" xfId="0" quotePrefix="1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9" borderId="0" xfId="0" quotePrefix="1" applyFont="1" applyFill="1"/>
    <xf numFmtId="0" fontId="2" fillId="8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54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.9"/>
  <cols>
    <col min="1" max="1" width="9.140625" style="2"/>
    <col min="2" max="2" width="9.35546875" style="2" bestFit="1" customWidth="1"/>
    <col min="3" max="3" width="31.140625" style="2" bestFit="1" customWidth="1"/>
    <col min="4" max="4" width="54.07031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Garbadorite Call Function</v>
      </c>
      <c r="B2" s="1"/>
      <c r="C2" s="1"/>
      <c r="D2" s="1"/>
    </row>
    <row r="3" spans="1:4">
      <c r="A3" s="3" t="s">
        <v>54</v>
      </c>
      <c r="B3" s="2" t="str">
        <f>_xlfn.CONCAT("0",RIGHT(C3,1),"10A0E3")</f>
        <v>0110A0E3</v>
      </c>
      <c r="C3" s="2" t="s">
        <v>55</v>
      </c>
      <c r="D3" s="1"/>
    </row>
    <row r="4" spans="1:4">
      <c r="A4" s="2" t="str">
        <f t="shared" ref="A4:A6" si="0">DEC2HEX(HEX2DEC(A3)+4,8)</f>
        <v>000FDE04</v>
      </c>
      <c r="B4" s="3" t="s">
        <v>4</v>
      </c>
      <c r="C4" s="2" t="s">
        <v>5</v>
      </c>
      <c r="D4" s="1"/>
    </row>
    <row r="5" spans="1:4">
      <c r="A5" s="2" t="str">
        <f t="shared" si="0"/>
        <v>000FDE08</v>
      </c>
      <c r="B5" s="2" t="s">
        <v>6</v>
      </c>
      <c r="C5" s="2" t="s">
        <v>7</v>
      </c>
      <c r="D5" s="1"/>
    </row>
    <row r="6" spans="1:4">
      <c r="A6" s="2" t="str">
        <f t="shared" si="0"/>
        <v>000FDE0C</v>
      </c>
      <c r="B6" s="2" t="s">
        <v>8</v>
      </c>
      <c r="C6" s="2" t="s">
        <v>9</v>
      </c>
      <c r="D6" s="1"/>
    </row>
    <row r="7" spans="1:4">
      <c r="A7" s="2" t="str">
        <f>DEC2HEX(HEX2DEC(A6)+4,8)</f>
        <v>000FDE10</v>
      </c>
      <c r="B7" s="3" t="s">
        <v>10</v>
      </c>
      <c r="C7" s="2" t="s">
        <v>11</v>
      </c>
      <c r="D7" s="1"/>
    </row>
    <row r="9" spans="1:4">
      <c r="A9" s="1" t="s">
        <v>25</v>
      </c>
    </row>
    <row r="10" spans="1:4">
      <c r="A10" s="3" t="s">
        <v>56</v>
      </c>
      <c r="B10" s="2" t="s">
        <v>58</v>
      </c>
      <c r="C10" s="2" t="s">
        <v>22</v>
      </c>
    </row>
    <row r="11" spans="1:4">
      <c r="A11" s="3" t="str">
        <f t="shared" ref="A11:A43" si="1">DEC2HEX(HEX2DEC(A10)+4,8)</f>
        <v>00102FD8</v>
      </c>
      <c r="B11" s="2" t="s">
        <v>59</v>
      </c>
      <c r="C11" s="2" t="s">
        <v>23</v>
      </c>
    </row>
    <row r="12" spans="1:4">
      <c r="A12" s="3" t="str">
        <f t="shared" si="1"/>
        <v>00102FDC</v>
      </c>
      <c r="B12" s="2" t="s">
        <v>60</v>
      </c>
      <c r="C12" s="2" t="s">
        <v>35</v>
      </c>
    </row>
    <row r="13" spans="1:4">
      <c r="A13" s="12" t="str">
        <f t="shared" si="1"/>
        <v>00102FE0</v>
      </c>
      <c r="B13" s="13" t="s">
        <v>16</v>
      </c>
      <c r="C13" s="13" t="s">
        <v>14</v>
      </c>
      <c r="D13" s="13" t="s">
        <v>13</v>
      </c>
    </row>
    <row r="14" spans="1:4">
      <c r="A14" s="12" t="str">
        <f t="shared" si="1"/>
        <v>00102FE4</v>
      </c>
      <c r="B14" s="13" t="s">
        <v>17</v>
      </c>
      <c r="C14" s="13" t="s">
        <v>15</v>
      </c>
      <c r="D14" s="13"/>
    </row>
    <row r="15" spans="1:4">
      <c r="A15" s="12" t="str">
        <f t="shared" si="1"/>
        <v>00102FE8</v>
      </c>
      <c r="B15" s="13" t="s">
        <v>61</v>
      </c>
      <c r="C15" s="13" t="s">
        <v>12</v>
      </c>
      <c r="D15" s="13"/>
    </row>
    <row r="16" spans="1:4">
      <c r="A16" s="14" t="str">
        <f t="shared" si="1"/>
        <v>00102FEC</v>
      </c>
      <c r="B16" s="15" t="s">
        <v>62</v>
      </c>
      <c r="C16" s="15" t="s">
        <v>18</v>
      </c>
      <c r="D16" s="15" t="s">
        <v>37</v>
      </c>
    </row>
    <row r="17" spans="1:4">
      <c r="A17" s="14" t="str">
        <f t="shared" si="1"/>
        <v>00102FF0</v>
      </c>
      <c r="B17" s="14" t="s">
        <v>63</v>
      </c>
      <c r="C17" s="15" t="s">
        <v>36</v>
      </c>
      <c r="D17" s="15"/>
    </row>
    <row r="18" spans="1:4">
      <c r="A18" s="14" t="str">
        <f t="shared" si="1"/>
        <v>00102FF4</v>
      </c>
      <c r="B18" s="15" t="s">
        <v>64</v>
      </c>
      <c r="C18" s="15" t="str">
        <f>_xlfn.CONCAT("bne 0x",A43)</f>
        <v>bne 0x00103058</v>
      </c>
      <c r="D18" s="15"/>
    </row>
    <row r="19" spans="1:4">
      <c r="A19" s="4" t="str">
        <f t="shared" si="1"/>
        <v>00102FF8</v>
      </c>
      <c r="B19" s="5" t="s">
        <v>65</v>
      </c>
      <c r="C19" s="4" t="s">
        <v>24</v>
      </c>
      <c r="D19" s="4" t="s">
        <v>26</v>
      </c>
    </row>
    <row r="20" spans="1:4">
      <c r="A20" s="4" t="str">
        <f t="shared" si="1"/>
        <v>00102FFC</v>
      </c>
      <c r="B20" s="5" t="s">
        <v>66</v>
      </c>
      <c r="C20" s="4" t="s">
        <v>19</v>
      </c>
      <c r="D20" s="4"/>
    </row>
    <row r="21" spans="1:4">
      <c r="A21" s="4" t="str">
        <f t="shared" si="1"/>
        <v>00103000</v>
      </c>
      <c r="B21" s="5" t="s">
        <v>67</v>
      </c>
      <c r="C21" s="4" t="s">
        <v>27</v>
      </c>
      <c r="D21" s="4"/>
    </row>
    <row r="22" spans="1:4">
      <c r="A22" s="6" t="str">
        <f t="shared" si="1"/>
        <v>00103004</v>
      </c>
      <c r="B22" s="7" t="s">
        <v>68</v>
      </c>
      <c r="C22" s="6" t="s">
        <v>28</v>
      </c>
      <c r="D22" s="6" t="s">
        <v>29</v>
      </c>
    </row>
    <row r="23" spans="1:4">
      <c r="A23" s="6" t="str">
        <f t="shared" si="1"/>
        <v>00103008</v>
      </c>
      <c r="B23" s="7" t="s">
        <v>69</v>
      </c>
      <c r="C23" s="6" t="s">
        <v>19</v>
      </c>
      <c r="D23" s="6"/>
    </row>
    <row r="24" spans="1:4">
      <c r="A24" s="10" t="str">
        <f t="shared" si="1"/>
        <v>0010300C</v>
      </c>
      <c r="B24" s="11" t="s">
        <v>70</v>
      </c>
      <c r="C24" s="10" t="s">
        <v>31</v>
      </c>
      <c r="D24" s="10" t="s">
        <v>32</v>
      </c>
    </row>
    <row r="25" spans="1:4">
      <c r="A25" s="10" t="str">
        <f t="shared" si="1"/>
        <v>00103010</v>
      </c>
      <c r="B25" s="11" t="s">
        <v>71</v>
      </c>
      <c r="C25" s="10" t="s">
        <v>45</v>
      </c>
      <c r="D25" s="10" t="s">
        <v>34</v>
      </c>
    </row>
    <row r="26" spans="1:4">
      <c r="A26" s="10" t="str">
        <f t="shared" si="1"/>
        <v>00103014</v>
      </c>
      <c r="B26" s="11" t="s">
        <v>72</v>
      </c>
      <c r="C26" s="10" t="str">
        <f>_xlfn.CONCAT("beq 0x",A29)</f>
        <v>beq 0x00103020</v>
      </c>
      <c r="D26" s="10"/>
    </row>
    <row r="27" spans="1:4">
      <c r="A27" s="8" t="str">
        <f t="shared" si="1"/>
        <v>00103018</v>
      </c>
      <c r="B27" s="9" t="s">
        <v>73</v>
      </c>
      <c r="C27" s="8" t="s">
        <v>33</v>
      </c>
      <c r="D27" s="8" t="s">
        <v>30</v>
      </c>
    </row>
    <row r="28" spans="1:4">
      <c r="A28" s="8" t="str">
        <f t="shared" si="1"/>
        <v>0010301C</v>
      </c>
      <c r="B28" s="9" t="s">
        <v>74</v>
      </c>
      <c r="C28" s="8" t="s">
        <v>46</v>
      </c>
      <c r="D28" s="8" t="s">
        <v>38</v>
      </c>
    </row>
    <row r="29" spans="1:4">
      <c r="A29" s="17" t="str">
        <f t="shared" si="1"/>
        <v>00103020</v>
      </c>
      <c r="B29" s="18" t="s">
        <v>75</v>
      </c>
      <c r="C29" s="17" t="s">
        <v>40</v>
      </c>
      <c r="D29" s="17" t="s">
        <v>39</v>
      </c>
    </row>
    <row r="30" spans="1:4">
      <c r="A30" s="17" t="str">
        <f t="shared" si="1"/>
        <v>00103024</v>
      </c>
      <c r="B30" s="18" t="s">
        <v>76</v>
      </c>
      <c r="C30" s="17" t="s">
        <v>41</v>
      </c>
      <c r="D30" s="17"/>
    </row>
    <row r="31" spans="1:4">
      <c r="A31" s="17" t="str">
        <f t="shared" si="1"/>
        <v>00103028</v>
      </c>
      <c r="B31" s="17" t="s">
        <v>77</v>
      </c>
      <c r="C31" s="17" t="s">
        <v>12</v>
      </c>
      <c r="D31" s="17"/>
    </row>
    <row r="32" spans="1:4">
      <c r="A32" s="16" t="str">
        <f t="shared" si="1"/>
        <v>0010302C</v>
      </c>
      <c r="B32" s="16" t="s">
        <v>78</v>
      </c>
      <c r="C32" s="16" t="s">
        <v>42</v>
      </c>
      <c r="D32" s="16" t="s">
        <v>44</v>
      </c>
    </row>
    <row r="33" spans="1:4">
      <c r="A33" s="16" t="str">
        <f t="shared" si="1"/>
        <v>00103030</v>
      </c>
      <c r="B33" s="16" t="s">
        <v>79</v>
      </c>
      <c r="C33" s="16" t="s">
        <v>43</v>
      </c>
      <c r="D33" s="16"/>
    </row>
    <row r="34" spans="1:4">
      <c r="A34" s="16" t="str">
        <f t="shared" si="1"/>
        <v>00103034</v>
      </c>
      <c r="B34" s="19" t="s">
        <v>21</v>
      </c>
      <c r="C34" s="16" t="s">
        <v>20</v>
      </c>
      <c r="D34" s="16"/>
    </row>
    <row r="35" spans="1:4">
      <c r="A35" s="16" t="str">
        <f t="shared" si="1"/>
        <v>00103038</v>
      </c>
      <c r="B35" s="16" t="s">
        <v>80</v>
      </c>
      <c r="C35" s="16" t="str">
        <f>_xlfn.CONCAT("beq 0x",A43)</f>
        <v>beq 0x00103058</v>
      </c>
      <c r="D35" s="16"/>
    </row>
    <row r="36" spans="1:4">
      <c r="A36" s="2" t="str">
        <f t="shared" si="1"/>
        <v>0010303C</v>
      </c>
      <c r="B36" s="3" t="s">
        <v>81</v>
      </c>
      <c r="C36" s="2" t="s">
        <v>47</v>
      </c>
    </row>
    <row r="37" spans="1:4">
      <c r="A37" s="2" t="str">
        <f t="shared" si="1"/>
        <v>00103040</v>
      </c>
      <c r="B37" s="2" t="s">
        <v>82</v>
      </c>
      <c r="C37" s="2" t="s">
        <v>48</v>
      </c>
      <c r="D37" s="2" t="s">
        <v>49</v>
      </c>
    </row>
    <row r="38" spans="1:4">
      <c r="A38" s="2" t="str">
        <f t="shared" si="1"/>
        <v>00103044</v>
      </c>
      <c r="B38" s="2" t="s">
        <v>83</v>
      </c>
      <c r="C38" s="2" t="s">
        <v>57</v>
      </c>
      <c r="D38" s="2" t="s">
        <v>50</v>
      </c>
    </row>
    <row r="39" spans="1:4">
      <c r="A39" s="2" t="str">
        <f t="shared" si="1"/>
        <v>00103048</v>
      </c>
      <c r="B39" s="2" t="s">
        <v>84</v>
      </c>
      <c r="C39" s="2" t="s">
        <v>51</v>
      </c>
    </row>
    <row r="40" spans="1:4">
      <c r="A40" s="2" t="str">
        <f t="shared" si="1"/>
        <v>0010304C</v>
      </c>
      <c r="B40" s="2" t="s">
        <v>85</v>
      </c>
      <c r="C40" s="2" t="s">
        <v>53</v>
      </c>
    </row>
    <row r="41" spans="1:4">
      <c r="A41" s="2" t="str">
        <f t="shared" si="1"/>
        <v>00103050</v>
      </c>
      <c r="B41" s="3" t="s">
        <v>86</v>
      </c>
      <c r="C41" s="2" t="str">
        <f>SUBSTITUTE(C10,"push","pop")</f>
        <v>pop {r4, r5, r6, lr}</v>
      </c>
    </row>
    <row r="42" spans="1:4">
      <c r="A42" s="2" t="str">
        <f t="shared" si="1"/>
        <v>00103054</v>
      </c>
      <c r="B42" s="3" t="s">
        <v>87</v>
      </c>
      <c r="C42" s="2" t="s">
        <v>52</v>
      </c>
    </row>
    <row r="43" spans="1:4">
      <c r="A43" s="2" t="str">
        <f t="shared" si="1"/>
        <v>00103058</v>
      </c>
      <c r="B43" s="2" t="s">
        <v>88</v>
      </c>
      <c r="C43" s="2" t="str">
        <f>SUBSTITUTE(C41,"lr","pc")</f>
        <v>pop {r4, r5, r6, pc}</v>
      </c>
    </row>
    <row r="54" ht="13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2026-05-12T03:50:47Z</dcterms:modified>
</cp:coreProperties>
</file>