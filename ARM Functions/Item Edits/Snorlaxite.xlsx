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6D09F68E-09E0-41E9-A3F6-73B32298D39D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Code" sheetId="1" r:id="rId1"/>
  </sheets>
  <calcPr calcId="191029" iterate="1" iterateCount="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" l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C75" i="1" l="1"/>
  <c r="C78" i="1" s="1"/>
  <c r="C51" i="1" l="1"/>
  <c r="C55" i="1" s="1"/>
  <c r="C28" i="1"/>
  <c r="C32" i="1" s="1"/>
  <c r="A2" i="1" l="1" a="1"/>
  <c r="A2" i="1" s="1"/>
  <c r="A4" i="1"/>
  <c r="A5" i="1" s="1"/>
  <c r="A6" i="1" s="1"/>
  <c r="A7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3" i="1"/>
  <c r="A22" i="1" l="1"/>
  <c r="A23" i="1" s="1"/>
  <c r="A24" i="1" s="1"/>
  <c r="A25" i="1" l="1"/>
  <c r="A26" i="1" s="1"/>
  <c r="A27" i="1" s="1"/>
  <c r="A28" i="1" s="1"/>
  <c r="A29" i="1" s="1"/>
  <c r="A30" i="1" s="1"/>
  <c r="A31" i="1" s="1"/>
  <c r="A32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8" i="1" l="1"/>
  <c r="A59" i="1" s="1"/>
  <c r="C41" i="1"/>
  <c r="C50" i="1"/>
  <c r="C16" i="1"/>
  <c r="C23" i="1"/>
  <c r="C27" i="1"/>
  <c r="C64" i="1" l="1"/>
  <c r="C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<sst xmlns="http://schemas.openxmlformats.org/spreadsheetml/2006/main" count="152" uniqueCount="97">
  <si>
    <t>7080BDE8</t>
  </si>
  <si>
    <t>mov r0, r5</t>
  </si>
  <si>
    <t>0500A0E1</t>
  </si>
  <si>
    <t>mov r1, r4</t>
  </si>
  <si>
    <t>0410A0E1</t>
  </si>
  <si>
    <t>cmp r0, r4</t>
  </si>
  <si>
    <t>040050E1</t>
  </si>
  <si>
    <t>mov r4, r2</t>
  </si>
  <si>
    <t>0240A0E1</t>
  </si>
  <si>
    <t>mov r5, r1</t>
  </si>
  <si>
    <t>0150A0E1</t>
  </si>
  <si>
    <t>push {r4, r5, r6, lr}</t>
  </si>
  <si>
    <t>70402DE9</t>
  </si>
  <si>
    <t>notes</t>
  </si>
  <si>
    <t>instruction</t>
  </si>
  <si>
    <t>Hex</t>
  </si>
  <si>
    <t>Address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</si>
  <si>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</si>
  <si>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</si>
  <si>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</si>
  <si>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</si>
  <si>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</si>
  <si>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</si>
  <si>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</si>
  <si>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</si>
  <si>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0300A0E3</t>
  </si>
  <si>
    <t>mov r0, 0x3</t>
  </si>
  <si>
    <t>Check self attacker</t>
  </si>
  <si>
    <t>bl 0x00087B58</t>
  </si>
  <si>
    <t>Get pointer to r6</t>
  </si>
  <si>
    <t>bl 0x00092298</t>
  </si>
  <si>
    <t>mov r6, r0</t>
  </si>
  <si>
    <t>ldrh r0, [r0, 0xC]</t>
  </si>
  <si>
    <t>check species</t>
  </si>
  <si>
    <t>0060A0E1</t>
  </si>
  <si>
    <t>BC00D0E1</t>
  </si>
  <si>
    <t>mov r0, 0x2</t>
  </si>
  <si>
    <t>Check self</t>
  </si>
  <si>
    <t>b 0x00082D44</t>
  </si>
  <si>
    <t>0200A0E3</t>
  </si>
  <si>
    <t>0E00001A</t>
  </si>
  <si>
    <t>0300001A</t>
  </si>
  <si>
    <t>Half damage while asleep 0x5B</t>
  </si>
  <si>
    <t>mov r0, 0x4</t>
  </si>
  <si>
    <t>cmp r0, 0x8F</t>
  </si>
  <si>
    <t>mov r0, r6</t>
  </si>
  <si>
    <t>get major status</t>
  </si>
  <si>
    <t>cmp r0, 0x2</t>
  </si>
  <si>
    <t>check if asleep</t>
  </si>
  <si>
    <t>mov r1, 0x800</t>
  </si>
  <si>
    <t>half damage</t>
  </si>
  <si>
    <t>mov r0, 0x39</t>
  </si>
  <si>
    <t>mov r1, 0x1</t>
  </si>
  <si>
    <t>Check self defender</t>
  </si>
  <si>
    <t>b 0x00083108</t>
  </si>
  <si>
    <t>Body Slam buffed when Mega 0x46</t>
  </si>
  <si>
    <t>ldrh r1, [r0, 0xC]</t>
  </si>
  <si>
    <t>ldrbeq r1, [r0, 0x239]</t>
  </si>
  <si>
    <t>check Forme</t>
  </si>
  <si>
    <t>cmp r1, 0x8F</t>
  </si>
  <si>
    <t>cmpeq r1, 0x1</t>
  </si>
  <si>
    <t>not Mega Snorlax, do nothing</t>
  </si>
  <si>
    <t>set BP to 100</t>
  </si>
  <si>
    <t>mov r1, 0x64</t>
  </si>
  <si>
    <t>mov r0, 0x34</t>
  </si>
  <si>
    <t>Body Slam Pulverizing Pancake Animation when Mega 0x2D</t>
  </si>
  <si>
    <t>Set Pulverizing Pancake Animation</t>
  </si>
  <si>
    <t>b 0x00060734</t>
  </si>
  <si>
    <t>mov r1, 0x3</t>
  </si>
  <si>
    <t>00102464</t>
  </si>
  <si>
    <t>0400A0E3</t>
  </si>
  <si>
    <t>B215FEEB</t>
  </si>
  <si>
    <t>7D3FFEEB</t>
  </si>
  <si>
    <t>8F0050E3</t>
  </si>
  <si>
    <t>0700001A</t>
  </si>
  <si>
    <t>0600A0E1</t>
  </si>
  <si>
    <t>020050E3</t>
  </si>
  <si>
    <t>7040BDE8</t>
  </si>
  <si>
    <t>021BA0E3</t>
  </si>
  <si>
    <t>3900A0E3</t>
  </si>
  <si>
    <t>0D03FEEA</t>
  </si>
  <si>
    <t>9B15FEEB</t>
  </si>
  <si>
    <t>0C00001A</t>
  </si>
  <si>
    <t>663FFEEB</t>
  </si>
  <si>
    <t>BC10D0E1</t>
  </si>
  <si>
    <t>8F0051E3</t>
  </si>
  <si>
    <t>3912D005</t>
  </si>
  <si>
    <t>01005103</t>
  </si>
  <si>
    <t>6410A0E3</t>
  </si>
  <si>
    <t>3400A0E3</t>
  </si>
  <si>
    <t>0702FEEA</t>
  </si>
  <si>
    <t>8615FEEB</t>
  </si>
  <si>
    <t>513FFEEB</t>
  </si>
  <si>
    <t>0110A0E3</t>
  </si>
  <si>
    <t>6E78FDEA</t>
  </si>
  <si>
    <t>bl 0x0008205C</t>
  </si>
  <si>
    <t>E8FEFDEB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</si>
</sst>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4" borderId="0" xfId="0" applyFont="1" applyFill="1"/>
    <xf numFmtId="0" fontId="2" fillId="4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2" borderId="0" xfId="0" quotePrefix="1" applyFont="1" applyFill="1"/>
    <xf numFmtId="0" fontId="2" fillId="5" borderId="0" xfId="0" applyFont="1" applyFill="1"/>
    <xf numFmtId="0" fontId="2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D78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5.9"/>
  <cols>
    <col min="1" max="1" width="9.140625" style="2"/>
    <col min="2" max="2" width="9.35546875" style="2" bestFit="1" customWidth="1"/>
    <col min="3" max="3" width="24.5703125" style="2" bestFit="1" customWidth="1"/>
    <col min="4" max="4" width="36.570312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16</v>
      </c>
      <c r="B1" s="1" t="s">
        <v>15</v>
      </c>
      <c r="C1" s="1" t="s">
        <v>14</v>
      </c>
      <c r="D1" s="1" t="s">
        <v>13</v>
      </c>
    </row>
    <row r="2" spans="1:4">
      <c r="A2" s="1" t="str" cm="1">
        <f t="array" aca="1" ref="A2" ca="1">SUBSTITUTE(MID(CELL("filename"),SEARCH("[",CELL("filename"))+1,SEARCH("]",CELL("filename"))-SEARCH("[",CELL("filename"))-1),".xlsx","")&amp;" Call Function"</f>
        <v>Snorlaxite Call Function</v>
      </c>
      <c r="B2" s="1"/>
      <c r="C2" s="1"/>
      <c r="D2" s="1"/>
    </row>
    <row r="3" spans="1:4">
      <c r="A3" s="3" t="s">
        <v>69</v>
      </c>
      <c r="B3" s="2" t="str">
        <f>_xlfn.CONCAT("0",RIGHT(C3,1),"10A0E3")</f>
        <v>0310A0E3</v>
      </c>
      <c r="C3" s="2" t="s">
        <v>68</v>
      </c>
      <c r="D3" s="1"/>
    </row>
    <row r="4" spans="1:4">
      <c r="A4" s="2" t="str">
        <f t="shared" ref="A4:A6" si="0">DEC2HEX(HEX2DEC(A3)+4,8)</f>
        <v>00102468</v>
      </c>
      <c r="B4" s="3" t="s">
        <v>17</v>
      </c>
      <c r="C4" s="2" t="s">
        <v>18</v>
      </c>
      <c r="D4" s="1"/>
    </row>
    <row r="5" spans="1:4">
      <c r="A5" s="2" t="str">
        <f t="shared" si="0"/>
        <v>0010246C</v>
      </c>
      <c r="B5" s="2" t="s">
        <v>19</v>
      </c>
      <c r="C5" s="2" t="s">
        <v>20</v>
      </c>
      <c r="D5" s="1"/>
    </row>
    <row r="6" spans="1:4">
      <c r="A6" s="2" t="str">
        <f t="shared" si="0"/>
        <v>00102470</v>
      </c>
      <c r="B6" s="2" t="s">
        <v>21</v>
      </c>
      <c r="C6" s="2" t="s">
        <v>22</v>
      </c>
      <c r="D6" s="1"/>
    </row>
    <row r="7" spans="1:4">
      <c r="A7" s="2" t="str">
        <f>DEC2HEX(HEX2DEC(A6)+4,8)</f>
        <v>00102474</v>
      </c>
      <c r="B7" s="3" t="s">
        <v>23</v>
      </c>
      <c r="C7" s="2" t="s">
        <v>24</v>
      </c>
      <c r="D7" s="1"/>
    </row>
    <row r="9" spans="1:4">
      <c r="A9" s="1" t="s">
        <v>42</v>
      </c>
    </row>
    <row r="10" spans="1:4">
      <c r="A10" s="2" t="str">
        <f>DEC2HEX(HEX2DEC(A7)+4,8)</f>
        <v>00102478</v>
      </c>
      <c r="B10" s="2" t="s">
        <v>12</v>
      </c>
      <c r="C10" s="2" t="s">
        <v>11</v>
      </c>
    </row>
    <row r="11" spans="1:4">
      <c r="A11" s="2" t="str">
        <f t="shared" ref="A11:A31" si="1">DEC2HEX(HEX2DEC(A10)+4,8)</f>
        <v>0010247C</v>
      </c>
      <c r="B11" s="2" t="s">
        <v>10</v>
      </c>
      <c r="C11" s="2" t="s">
        <v>9</v>
      </c>
    </row>
    <row r="12" spans="1:4">
      <c r="A12" s="2" t="str">
        <f t="shared" si="1"/>
        <v>00102480</v>
      </c>
      <c r="B12" s="2" t="s">
        <v>8</v>
      </c>
      <c r="C12" s="2" t="s">
        <v>7</v>
      </c>
    </row>
    <row r="13" spans="1:4">
      <c r="A13" s="4" t="str">
        <f t="shared" si="1"/>
        <v>00102484</v>
      </c>
      <c r="B13" s="4" t="s">
        <v>70</v>
      </c>
      <c r="C13" s="4" t="s">
        <v>43</v>
      </c>
      <c r="D13" s="4" t="s">
        <v>53</v>
      </c>
    </row>
    <row r="14" spans="1:4">
      <c r="A14" s="4" t="str">
        <f t="shared" si="1"/>
        <v>00102488</v>
      </c>
      <c r="B14" s="4" t="s">
        <v>71</v>
      </c>
      <c r="C14" s="4" t="s">
        <v>28</v>
      </c>
      <c r="D14" s="4"/>
    </row>
    <row r="15" spans="1:4">
      <c r="A15" s="4" t="str">
        <f t="shared" si="1"/>
        <v>0010248C</v>
      </c>
      <c r="B15" s="5" t="s">
        <v>6</v>
      </c>
      <c r="C15" s="4" t="s">
        <v>5</v>
      </c>
      <c r="D15" s="4"/>
    </row>
    <row r="16" spans="1:4">
      <c r="A16" s="4" t="str">
        <f t="shared" si="1"/>
        <v>00102490</v>
      </c>
      <c r="B16" s="4" t="s">
        <v>40</v>
      </c>
      <c r="C16" s="4" t="str">
        <f>_xlfn.CONCAT("bne 0x",A32)</f>
        <v>bne 0x001024D0</v>
      </c>
      <c r="D16" s="4"/>
    </row>
    <row r="17" spans="1:4">
      <c r="A17" s="8" t="str">
        <f t="shared" si="1"/>
        <v>00102494</v>
      </c>
      <c r="B17" s="8" t="s">
        <v>2</v>
      </c>
      <c r="C17" s="8" t="s">
        <v>1</v>
      </c>
      <c r="D17" s="8" t="s">
        <v>29</v>
      </c>
    </row>
    <row r="18" spans="1:4">
      <c r="A18" s="8" t="str">
        <f t="shared" si="1"/>
        <v>00102498</v>
      </c>
      <c r="B18" s="8" t="s">
        <v>4</v>
      </c>
      <c r="C18" s="8" t="s">
        <v>3</v>
      </c>
      <c r="D18" s="8"/>
    </row>
    <row r="19" spans="1:4">
      <c r="A19" s="8" t="str">
        <f t="shared" si="1"/>
        <v>0010249C</v>
      </c>
      <c r="B19" s="9" t="s">
        <v>72</v>
      </c>
      <c r="C19" s="8" t="s">
        <v>30</v>
      </c>
      <c r="D19" s="8"/>
    </row>
    <row r="20" spans="1:4">
      <c r="A20" s="8" t="str">
        <f t="shared" si="1"/>
        <v>001024A0</v>
      </c>
      <c r="B20" s="8" t="s">
        <v>34</v>
      </c>
      <c r="C20" s="8" t="s">
        <v>31</v>
      </c>
      <c r="D20" s="8"/>
    </row>
    <row r="21" spans="1:4">
      <c r="A21" s="6" t="str">
        <f t="shared" si="1"/>
        <v>001024A4</v>
      </c>
      <c r="B21" s="6" t="s">
        <v>35</v>
      </c>
      <c r="C21" s="6" t="s">
        <v>32</v>
      </c>
      <c r="D21" s="6" t="s">
        <v>33</v>
      </c>
    </row>
    <row r="22" spans="1:4">
      <c r="A22" s="6" t="str">
        <f t="shared" si="1"/>
        <v>001024A8</v>
      </c>
      <c r="B22" s="7" t="s">
        <v>73</v>
      </c>
      <c r="C22" s="6" t="s">
        <v>44</v>
      </c>
      <c r="D22" s="6"/>
    </row>
    <row r="23" spans="1:4">
      <c r="A23" s="6" t="str">
        <f t="shared" si="1"/>
        <v>001024AC</v>
      </c>
      <c r="B23" s="7" t="s">
        <v>74</v>
      </c>
      <c r="C23" s="6" t="str">
        <f>_xlfn.CONCAT("bne 0x",A$32)</f>
        <v>bne 0x001024D0</v>
      </c>
      <c r="D23" s="6"/>
    </row>
    <row r="24" spans="1:4">
      <c r="A24" s="6" t="str">
        <f t="shared" si="1"/>
        <v>001024B0</v>
      </c>
      <c r="B24" s="7" t="s">
        <v>75</v>
      </c>
      <c r="C24" s="6" t="s">
        <v>45</v>
      </c>
      <c r="D24" s="6" t="s">
        <v>46</v>
      </c>
    </row>
    <row r="25" spans="1:4">
      <c r="A25" s="10" t="str">
        <f t="shared" si="1"/>
        <v>001024B4</v>
      </c>
      <c r="B25" s="11" t="s">
        <v>96</v>
      </c>
      <c r="C25" s="10" t="s">
        <v>95</v>
      </c>
      <c r="D25" s="10"/>
    </row>
    <row r="26" spans="1:4">
      <c r="A26" s="10" t="str">
        <f t="shared" si="1"/>
        <v>001024B8</v>
      </c>
      <c r="B26" s="11" t="s">
        <v>76</v>
      </c>
      <c r="C26" s="10" t="s">
        <v>47</v>
      </c>
      <c r="D26" s="10" t="s">
        <v>48</v>
      </c>
    </row>
    <row r="27" spans="1:4">
      <c r="A27" s="10" t="str">
        <f t="shared" si="1"/>
        <v>001024BC</v>
      </c>
      <c r="B27" s="11" t="s">
        <v>41</v>
      </c>
      <c r="C27" s="10" t="str">
        <f>_xlfn.CONCAT("bne 0x",A$32)</f>
        <v>bne 0x001024D0</v>
      </c>
      <c r="D27" s="10"/>
    </row>
    <row r="28" spans="1:4">
      <c r="A28" s="2" t="str">
        <f t="shared" si="1"/>
        <v>001024C0</v>
      </c>
      <c r="B28" s="3" t="s">
        <v>77</v>
      </c>
      <c r="C28" s="2" t="str">
        <f>SUBSTITUTE(C10,"push","pop")</f>
        <v>pop {r4, r5, r6, lr}</v>
      </c>
    </row>
    <row r="29" spans="1:4">
      <c r="A29" s="2" t="str">
        <f t="shared" si="1"/>
        <v>001024C4</v>
      </c>
      <c r="B29" s="2" t="s">
        <v>78</v>
      </c>
      <c r="C29" s="2" t="s">
        <v>49</v>
      </c>
      <c r="D29" s="2" t="s">
        <v>50</v>
      </c>
    </row>
    <row r="30" spans="1:4">
      <c r="A30" s="2" t="str">
        <f t="shared" si="1"/>
        <v>001024C8</v>
      </c>
      <c r="B30" s="2" t="s">
        <v>79</v>
      </c>
      <c r="C30" s="2" t="s">
        <v>51</v>
      </c>
    </row>
    <row r="31" spans="1:4">
      <c r="A31" s="2" t="str">
        <f t="shared" si="1"/>
        <v>001024CC</v>
      </c>
      <c r="B31" s="2" t="s">
        <v>80</v>
      </c>
      <c r="C31" s="2" t="s">
        <v>54</v>
      </c>
    </row>
    <row r="32" spans="1:4">
      <c r="A32" s="2" t="str">
        <f>DEC2HEX(HEX2DEC(A31)+4,8)</f>
        <v>001024D0</v>
      </c>
      <c r="B32" s="2" t="s">
        <v>0</v>
      </c>
      <c r="C32" s="2" t="str">
        <f>SUBSTITUTE(C28,"lr","pc")</f>
        <v>pop {r4, r5, r6, pc}</v>
      </c>
    </row>
    <row r="34" spans="1:4">
      <c r="A34" s="1" t="s">
        <v>55</v>
      </c>
    </row>
    <row r="35" spans="1:4">
      <c r="A35" s="2" t="str">
        <f>DEC2HEX(HEX2DEC(A32)+4,8)</f>
        <v>001024D4</v>
      </c>
      <c r="B35" s="2" t="s">
        <v>12</v>
      </c>
      <c r="C35" s="2" t="s">
        <v>11</v>
      </c>
    </row>
    <row r="36" spans="1:4">
      <c r="A36" s="2" t="str">
        <f t="shared" ref="A36:A55" si="2">DEC2HEX(HEX2DEC(A35)+4,8)</f>
        <v>001024D8</v>
      </c>
      <c r="B36" s="2" t="s">
        <v>10</v>
      </c>
      <c r="C36" s="2" t="s">
        <v>9</v>
      </c>
    </row>
    <row r="37" spans="1:4">
      <c r="A37" s="2" t="str">
        <f t="shared" si="2"/>
        <v>001024DC</v>
      </c>
      <c r="B37" s="2" t="s">
        <v>8</v>
      </c>
      <c r="C37" s="2" t="s">
        <v>7</v>
      </c>
    </row>
    <row r="38" spans="1:4">
      <c r="A38" s="4" t="str">
        <f t="shared" si="2"/>
        <v>001024E0</v>
      </c>
      <c r="B38" s="4" t="s">
        <v>25</v>
      </c>
      <c r="C38" s="4" t="s">
        <v>26</v>
      </c>
      <c r="D38" s="4" t="s">
        <v>27</v>
      </c>
    </row>
    <row r="39" spans="1:4">
      <c r="A39" s="4" t="str">
        <f t="shared" si="2"/>
        <v>001024E4</v>
      </c>
      <c r="B39" s="4" t="s">
        <v>81</v>
      </c>
      <c r="C39" s="4" t="s">
        <v>28</v>
      </c>
      <c r="D39" s="4"/>
    </row>
    <row r="40" spans="1:4">
      <c r="A40" s="4" t="str">
        <f t="shared" si="2"/>
        <v>001024E8</v>
      </c>
      <c r="B40" s="5" t="s">
        <v>6</v>
      </c>
      <c r="C40" s="4" t="s">
        <v>5</v>
      </c>
      <c r="D40" s="4"/>
    </row>
    <row r="41" spans="1:4">
      <c r="A41" s="4" t="str">
        <f t="shared" si="2"/>
        <v>001024EC</v>
      </c>
      <c r="B41" s="4" t="s">
        <v>82</v>
      </c>
      <c r="C41" s="4" t="str">
        <f>_xlfn.CONCAT("bne 0x",A$55)</f>
        <v>bne 0x00102524</v>
      </c>
      <c r="D41" s="4"/>
    </row>
    <row r="42" spans="1:4">
      <c r="A42" s="8" t="str">
        <f t="shared" si="2"/>
        <v>001024F0</v>
      </c>
      <c r="B42" s="8" t="s">
        <v>2</v>
      </c>
      <c r="C42" s="8" t="s">
        <v>1</v>
      </c>
      <c r="D42" s="8" t="s">
        <v>29</v>
      </c>
    </row>
    <row r="43" spans="1:4">
      <c r="A43" s="8" t="str">
        <f t="shared" si="2"/>
        <v>001024F4</v>
      </c>
      <c r="B43" s="8" t="s">
        <v>4</v>
      </c>
      <c r="C43" s="8" t="s">
        <v>3</v>
      </c>
      <c r="D43" s="8"/>
    </row>
    <row r="44" spans="1:4">
      <c r="A44" s="8" t="str">
        <f t="shared" si="2"/>
        <v>001024F8</v>
      </c>
      <c r="B44" s="9" t="s">
        <v>83</v>
      </c>
      <c r="C44" s="8" t="s">
        <v>30</v>
      </c>
      <c r="D44" s="8"/>
    </row>
    <row r="45" spans="1:4">
      <c r="A45" s="8" t="str">
        <f t="shared" si="2"/>
        <v>001024FC</v>
      </c>
      <c r="B45" s="8" t="s">
        <v>34</v>
      </c>
      <c r="C45" s="8" t="s">
        <v>31</v>
      </c>
      <c r="D45" s="8"/>
    </row>
    <row r="46" spans="1:4">
      <c r="A46" s="6" t="str">
        <f t="shared" si="2"/>
        <v>00102500</v>
      </c>
      <c r="B46" s="6" t="s">
        <v>84</v>
      </c>
      <c r="C46" s="6" t="s">
        <v>56</v>
      </c>
      <c r="D46" s="6" t="s">
        <v>33</v>
      </c>
    </row>
    <row r="47" spans="1:4">
      <c r="A47" s="6" t="str">
        <f t="shared" si="2"/>
        <v>00102504</v>
      </c>
      <c r="B47" s="7" t="s">
        <v>85</v>
      </c>
      <c r="C47" s="6" t="s">
        <v>59</v>
      </c>
      <c r="D47" s="6"/>
    </row>
    <row r="48" spans="1:4">
      <c r="A48" s="6" t="str">
        <f t="shared" si="2"/>
        <v>00102508</v>
      </c>
      <c r="B48" s="7" t="s">
        <v>86</v>
      </c>
      <c r="C48" s="6" t="s">
        <v>57</v>
      </c>
      <c r="D48" s="6" t="s">
        <v>58</v>
      </c>
    </row>
    <row r="49" spans="1:4">
      <c r="A49" s="6" t="str">
        <f t="shared" si="2"/>
        <v>0010250C</v>
      </c>
      <c r="B49" s="7" t="s">
        <v>87</v>
      </c>
      <c r="C49" s="6" t="s">
        <v>60</v>
      </c>
      <c r="D49" s="6"/>
    </row>
    <row r="50" spans="1:4">
      <c r="A50" s="6" t="str">
        <f t="shared" si="2"/>
        <v>00102510</v>
      </c>
      <c r="B50" s="7" t="s">
        <v>41</v>
      </c>
      <c r="C50" s="6" t="str">
        <f>_xlfn.CONCAT("bne 0x",A$55)</f>
        <v>bne 0x00102524</v>
      </c>
      <c r="D50" s="6" t="s">
        <v>61</v>
      </c>
    </row>
    <row r="51" spans="1:4">
      <c r="A51" s="2" t="str">
        <f t="shared" si="2"/>
        <v>00102514</v>
      </c>
      <c r="B51" s="3" t="s">
        <v>77</v>
      </c>
      <c r="C51" s="2" t="str">
        <f>SUBSTITUTE(C35,"push","pop")</f>
        <v>pop {r4, r5, r6, lr}</v>
      </c>
    </row>
    <row r="52" spans="1:4">
      <c r="A52" s="2" t="str">
        <f t="shared" si="2"/>
        <v>00102518</v>
      </c>
      <c r="B52" s="2" t="s">
        <v>88</v>
      </c>
      <c r="C52" s="2" t="s">
        <v>63</v>
      </c>
      <c r="D52" s="2" t="s">
        <v>62</v>
      </c>
    </row>
    <row r="53" spans="1:4">
      <c r="A53" s="2" t="str">
        <f t="shared" si="2"/>
        <v>0010251C</v>
      </c>
      <c r="B53" s="2" t="s">
        <v>89</v>
      </c>
      <c r="C53" s="2" t="s">
        <v>64</v>
      </c>
    </row>
    <row r="54" spans="1:4">
      <c r="A54" s="2" t="str">
        <f t="shared" si="2"/>
        <v>00102520</v>
      </c>
      <c r="B54" s="2" t="s">
        <v>90</v>
      </c>
      <c r="C54" s="2" t="s">
        <v>38</v>
      </c>
    </row>
    <row r="55" spans="1:4">
      <c r="A55" s="2" t="str">
        <f t="shared" si="2"/>
        <v>00102524</v>
      </c>
      <c r="B55" s="2" t="s">
        <v>0</v>
      </c>
      <c r="C55" s="2" t="str">
        <f>SUBSTITUTE(C51,"lr","pc")</f>
        <v>pop {r4, r5, r6, pc}</v>
      </c>
    </row>
    <row r="57" spans="1:4">
      <c r="A57" s="1" t="s">
        <v>65</v>
      </c>
    </row>
    <row r="58" spans="1:4">
      <c r="A58" s="2" t="str">
        <f>DEC2HEX(HEX2DEC(A55)+4,8)</f>
        <v>00102528</v>
      </c>
      <c r="B58" s="2" t="s">
        <v>12</v>
      </c>
      <c r="C58" s="2" t="s">
        <v>11</v>
      </c>
    </row>
    <row r="59" spans="1:4">
      <c r="A59" s="2" t="str">
        <f t="shared" ref="A59:A78" si="3">DEC2HEX(HEX2DEC(A58)+4,8)</f>
        <v>0010252C</v>
      </c>
      <c r="B59" s="2" t="s">
        <v>10</v>
      </c>
      <c r="C59" s="2" t="s">
        <v>9</v>
      </c>
    </row>
    <row r="60" spans="1:4">
      <c r="A60" s="2" t="str">
        <f t="shared" si="3"/>
        <v>00102530</v>
      </c>
      <c r="B60" s="2" t="s">
        <v>8</v>
      </c>
      <c r="C60" s="2" t="s">
        <v>7</v>
      </c>
    </row>
    <row r="61" spans="1:4">
      <c r="A61" s="4" t="str">
        <f t="shared" si="3"/>
        <v>00102534</v>
      </c>
      <c r="B61" s="4" t="s">
        <v>39</v>
      </c>
      <c r="C61" s="4" t="s">
        <v>36</v>
      </c>
      <c r="D61" s="4" t="s">
        <v>37</v>
      </c>
    </row>
    <row r="62" spans="1:4">
      <c r="A62" s="4" t="str">
        <f t="shared" si="3"/>
        <v>00102538</v>
      </c>
      <c r="B62" s="4" t="s">
        <v>91</v>
      </c>
      <c r="C62" s="4" t="s">
        <v>28</v>
      </c>
      <c r="D62" s="4"/>
    </row>
    <row r="63" spans="1:4">
      <c r="A63" s="4" t="str">
        <f t="shared" si="3"/>
        <v>0010253C</v>
      </c>
      <c r="B63" s="5" t="s">
        <v>6</v>
      </c>
      <c r="C63" s="4" t="s">
        <v>5</v>
      </c>
      <c r="D63" s="4"/>
    </row>
    <row r="64" spans="1:4">
      <c r="A64" s="4" t="str">
        <f t="shared" si="3"/>
        <v>00102540</v>
      </c>
      <c r="B64" s="4" t="s">
        <v>82</v>
      </c>
      <c r="C64" s="4" t="str">
        <f>_xlfn.CONCAT("bne 0x",A$78)</f>
        <v>bne 0x00102578</v>
      </c>
      <c r="D64" s="4"/>
    </row>
    <row r="65" spans="1:4">
      <c r="A65" s="8" t="str">
        <f t="shared" si="3"/>
        <v>00102544</v>
      </c>
      <c r="B65" s="8" t="s">
        <v>2</v>
      </c>
      <c r="C65" s="8" t="s">
        <v>1</v>
      </c>
      <c r="D65" s="8" t="s">
        <v>29</v>
      </c>
    </row>
    <row r="66" spans="1:4">
      <c r="A66" s="8" t="str">
        <f t="shared" si="3"/>
        <v>00102548</v>
      </c>
      <c r="B66" s="8" t="s">
        <v>4</v>
      </c>
      <c r="C66" s="8" t="s">
        <v>3</v>
      </c>
      <c r="D66" s="8"/>
    </row>
    <row r="67" spans="1:4">
      <c r="A67" s="8" t="str">
        <f t="shared" si="3"/>
        <v>0010254C</v>
      </c>
      <c r="B67" s="9" t="s">
        <v>92</v>
      </c>
      <c r="C67" s="8" t="s">
        <v>30</v>
      </c>
      <c r="D67" s="8"/>
    </row>
    <row r="68" spans="1:4">
      <c r="A68" s="8" t="str">
        <f t="shared" si="3"/>
        <v>00102550</v>
      </c>
      <c r="B68" s="8" t="s">
        <v>34</v>
      </c>
      <c r="C68" s="8" t="s">
        <v>31</v>
      </c>
      <c r="D68" s="8"/>
    </row>
    <row r="69" spans="1:4">
      <c r="A69" s="6" t="str">
        <f t="shared" si="3"/>
        <v>00102554</v>
      </c>
      <c r="B69" s="6" t="s">
        <v>84</v>
      </c>
      <c r="C69" s="6" t="s">
        <v>56</v>
      </c>
      <c r="D69" s="6" t="s">
        <v>33</v>
      </c>
    </row>
    <row r="70" spans="1:4">
      <c r="A70" s="6" t="str">
        <f t="shared" si="3"/>
        <v>00102558</v>
      </c>
      <c r="B70" s="7" t="s">
        <v>85</v>
      </c>
      <c r="C70" s="6" t="s">
        <v>59</v>
      </c>
      <c r="D70" s="6"/>
    </row>
    <row r="71" spans="1:4">
      <c r="A71" s="6" t="str">
        <f t="shared" si="3"/>
        <v>0010255C</v>
      </c>
      <c r="B71" s="7" t="s">
        <v>86</v>
      </c>
      <c r="C71" s="6" t="s">
        <v>57</v>
      </c>
      <c r="D71" s="6" t="s">
        <v>58</v>
      </c>
    </row>
    <row r="72" spans="1:4">
      <c r="A72" s="6" t="str">
        <f t="shared" si="3"/>
        <v>00102560</v>
      </c>
      <c r="B72" s="7" t="s">
        <v>87</v>
      </c>
      <c r="C72" s="6" t="s">
        <v>60</v>
      </c>
      <c r="D72" s="6"/>
    </row>
    <row r="73" spans="1:4">
      <c r="A73" s="6" t="str">
        <f t="shared" si="3"/>
        <v>00102564</v>
      </c>
      <c r="B73" s="7" t="s">
        <v>41</v>
      </c>
      <c r="C73" s="6" t="str">
        <f>_xlfn.CONCAT("bne 0x",A$78)</f>
        <v>bne 0x00102578</v>
      </c>
      <c r="D73" s="6" t="s">
        <v>61</v>
      </c>
    </row>
    <row r="74" spans="1:4">
      <c r="A74" s="2" t="str">
        <f t="shared" si="3"/>
        <v>00102568</v>
      </c>
      <c r="B74" s="2" t="s">
        <v>2</v>
      </c>
      <c r="C74" s="2" t="s">
        <v>1</v>
      </c>
    </row>
    <row r="75" spans="1:4">
      <c r="A75" s="2" t="str">
        <f t="shared" si="3"/>
        <v>0010256C</v>
      </c>
      <c r="B75" s="3" t="s">
        <v>77</v>
      </c>
      <c r="C75" s="2" t="str">
        <f>SUBSTITUTE(C58,"push","pop")</f>
        <v>pop {r4, r5, r6, lr}</v>
      </c>
    </row>
    <row r="76" spans="1:4">
      <c r="A76" s="2" t="str">
        <f t="shared" si="3"/>
        <v>00102570</v>
      </c>
      <c r="B76" s="2" t="s">
        <v>93</v>
      </c>
      <c r="C76" s="2" t="s">
        <v>52</v>
      </c>
      <c r="D76" s="2" t="s">
        <v>66</v>
      </c>
    </row>
    <row r="77" spans="1:4">
      <c r="A77" s="2" t="str">
        <f t="shared" si="3"/>
        <v>00102574</v>
      </c>
      <c r="B77" s="2" t="s">
        <v>94</v>
      </c>
      <c r="C77" s="2" t="s">
        <v>67</v>
      </c>
    </row>
    <row r="78" spans="1:4">
      <c r="A78" s="2" t="str">
        <f t="shared" si="3"/>
        <v>00102578</v>
      </c>
      <c r="B78" s="2" t="s">
        <v>0</v>
      </c>
      <c r="C78" s="2" t="str">
        <f>SUBSTITUTE(C75,"lr","pc")</f>
        <v>pop {r4, r5, r6, pc}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2026-05-06T06:44:13Z</dcterms:modified>
</cp:coreProperties>
</file>