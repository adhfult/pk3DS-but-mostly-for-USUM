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11948E17-69C8-4CD1-9F42-38B5193ED0FE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A30" i="1"/>
  <c r="A31" i="1" s="1"/>
  <c r="A32" i="1" s="1"/>
  <c r="A33" i="1" s="1"/>
  <c r="A34" i="1" s="1"/>
  <c r="A35" i="1" s="1"/>
  <c r="A36" i="1" s="1"/>
  <c r="A37" i="1" s="1"/>
  <c r="C44" i="1"/>
  <c r="C46" i="1" s="1"/>
  <c r="C17" i="1"/>
  <c r="C26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4" i="1"/>
  <c r="A5" i="1" s="1"/>
  <c r="A6" i="1" s="1"/>
  <c r="A7" i="1" s="1"/>
  <c r="B3" i="1"/>
  <c r="A2" i="1" a="1"/>
  <c r="A2" i="1" s="1"/>
  <c r="A38" i="1" l="1"/>
  <c r="A39" i="1" s="1"/>
  <c r="A40" i="1" s="1"/>
  <c r="A41" i="1" s="1"/>
  <c r="A42" i="1" s="1"/>
  <c r="A43" i="1" s="1"/>
  <c r="A44" i="1" s="1"/>
  <c r="A45" i="1" s="1"/>
  <c r="A46" i="1" s="1"/>
  <c r="C34" i="1" s="1"/>
  <c r="C41" i="1" s="1"/>
  <c r="C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<sst xmlns="http://schemas.openxmlformats.org/spreadsheetml/2006/main" count="90" uniqueCount="89">
  <si>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</si>
  <si>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</si>
  <si>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</si>
  <si>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</si>
  <si>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</si>
  <si>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</si>
  <si>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</si>
  <si>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</si>
  <si>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</si>
  <si>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</si>
  <si>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</si>
  <si>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</si>
  <si>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</si>
  <si>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0F402DE9</t>
  </si>
  <si>
    <t>push {r0, r1, r2, r3, lr}</t>
  </si>
  <si>
    <t>0100A0E1</t>
  </si>
  <si>
    <t>mov r0, r1</t>
  </si>
  <si>
    <t>get pointer</t>
  </si>
  <si>
    <t>0210A0E1</t>
  </si>
  <si>
    <t>mov r1, r2</t>
  </si>
  <si>
    <t>0F40BDE8</t>
  </si>
  <si>
    <t>0F80BDE8</t>
  </si>
  <si>
    <t>bl 0x000D6F98</t>
  </si>
  <si>
    <t>cmp r1, 0x1</t>
  </si>
  <si>
    <t>010051E3</t>
  </si>
  <si>
    <t>Immune to Light moves 0x38</t>
  </si>
  <si>
    <t>Boost Light moves 50% 0x47</t>
  </si>
  <si>
    <t>beq 0x00100288</t>
  </si>
  <si>
    <t>bne 0x00100338</t>
  </si>
  <si>
    <t>0300001A</t>
  </si>
  <si>
    <t>cmp r9, 0x72</t>
  </si>
  <si>
    <t>beq 0x0010002C</t>
  </si>
  <si>
    <t>Mega Stone Oblivious 0x02/0x3A/0x72/0xA7</t>
  </si>
  <si>
    <t>Mega Stone Oblivious immune to specific moves 0x3A</t>
  </si>
  <si>
    <t>mov r0, 0x4</t>
  </si>
  <si>
    <t>bl 0x00087B58</t>
  </si>
  <si>
    <t>cmp r0, r4</t>
  </si>
  <si>
    <t>mov r4, r2</t>
  </si>
  <si>
    <t>mov r0, 0x12</t>
  </si>
  <si>
    <t>uxth r0, r0</t>
  </si>
  <si>
    <t>sub r1, 0x100</t>
  </si>
  <si>
    <t>cmp r1, 0xBD</t>
  </si>
  <si>
    <t>Captivate</t>
  </si>
  <si>
    <t>cmpne r1, 0xD</t>
  </si>
  <si>
    <t>Taunt</t>
  </si>
  <si>
    <t>mov r1, 0x1</t>
  </si>
  <si>
    <t>mov r0, 0x45</t>
  </si>
  <si>
    <t>b 0x00082D44</t>
  </si>
  <si>
    <t>push {r4, lr}</t>
  </si>
  <si>
    <t>cmp r9, 0x3A</t>
  </si>
  <si>
    <t>blo 0x000D8EA0</t>
  </si>
  <si>
    <t>check self defender</t>
  </si>
  <si>
    <t>bhi 0x000D4168</t>
  </si>
  <si>
    <t>Immune to Intimidate</t>
  </si>
  <si>
    <t>Immune to Attract status</t>
  </si>
  <si>
    <t>immune to Taunt and Captivate</t>
  </si>
  <si>
    <t>Cure Attract if have it</t>
  </si>
  <si>
    <t>00101CEC</t>
  </si>
  <si>
    <t>10402DE9</t>
  </si>
  <si>
    <t>0240A0E1</t>
  </si>
  <si>
    <t>0400A0E3</t>
  </si>
  <si>
    <t>9617FEEB</t>
  </si>
  <si>
    <t>040050E1</t>
  </si>
  <si>
    <t>0A00001A</t>
  </si>
  <si>
    <t>1200A0E3</t>
  </si>
  <si>
    <t>9217FEEB</t>
  </si>
  <si>
    <t>7000FFE6</t>
  </si>
  <si>
    <t>011C41E2</t>
  </si>
  <si>
    <t>BD0051E3</t>
  </si>
  <si>
    <t>0D005113</t>
  </si>
  <si>
    <t>0110A0E3</t>
  </si>
  <si>
    <t>4500A0E3</t>
  </si>
  <si>
    <t>1040BDE8</t>
  </si>
  <si>
    <t>0404FEEA</t>
  </si>
  <si>
    <t>1080BDE8</t>
  </si>
  <si>
    <t>001036F4</t>
  </si>
  <si>
    <t>E43AFEEB</t>
  </si>
  <si>
    <t>234EFFEB</t>
  </si>
  <si>
    <t>0800001A</t>
  </si>
  <si>
    <t>3A0059E3</t>
  </si>
  <si>
    <t>E055FF3A</t>
  </si>
  <si>
    <t>72F9FF0A</t>
  </si>
  <si>
    <t>720059E3</t>
  </si>
  <si>
    <t>40F2FF0A</t>
  </si>
  <si>
    <t>8E42FF8A</t>
  </si>
  <si>
    <t>D5F2FF0A</t>
  </si>
  <si>
    <t>00F3FF1A</t>
  </si>
  <si>
    <t>000DE848</t>
  </si>
  <si>
    <t>mov r1, 0x4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</si>
</sst>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2" borderId="0" xfId="0" applyFont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46"/>
  <sheetViews>
    <sheetView tabSelected="1" workbookViewId="0">
      <pane ySplit="1" topLeftCell="A2" activePane="bottomLeft" state="frozen"/>
      <selection pane="bottomLeft" activeCell="C22" sqref="C22"/>
    </sheetView>
  </sheetViews>
  <sheetFormatPr defaultRowHeight="15.9"/>
  <cols>
    <col min="1" max="1" width="9.140625" style="2"/>
    <col min="2" max="2" width="9.35546875" style="2" bestFit="1" customWidth="1"/>
    <col min="3" max="3" width="27.85546875" style="2" bestFit="1" customWidth="1"/>
    <col min="4" max="4" width="32.21093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 Stone Oblivious Call Function</v>
      </c>
      <c r="B2" s="1"/>
      <c r="C2" s="1"/>
      <c r="D2" s="1"/>
    </row>
    <row r="3" spans="1:4">
      <c r="A3" s="3" t="s">
        <v>87</v>
      </c>
      <c r="B3" s="2" t="str">
        <f>_xlfn.CONCAT("0",RIGHT(C3,1),"10A0E3")</f>
        <v>0410A0E3</v>
      </c>
      <c r="C3" s="2" t="s">
        <v>88</v>
      </c>
      <c r="D3" s="1"/>
    </row>
    <row r="4" spans="1:4">
      <c r="A4" s="2" t="str">
        <f t="shared" ref="A4:A6" si="0">DEC2HEX(HEX2DEC(A3)+4,8)</f>
        <v>000DE84C</v>
      </c>
      <c r="B4" s="3" t="s">
        <v>4</v>
      </c>
      <c r="C4" s="2" t="s">
        <v>5</v>
      </c>
      <c r="D4" s="1"/>
    </row>
    <row r="5" spans="1:4">
      <c r="A5" s="2" t="str">
        <f t="shared" si="0"/>
        <v>000DE850</v>
      </c>
      <c r="B5" s="2" t="s">
        <v>6</v>
      </c>
      <c r="C5" s="2" t="s">
        <v>7</v>
      </c>
      <c r="D5" s="1"/>
    </row>
    <row r="6" spans="1:4">
      <c r="A6" s="2" t="str">
        <f t="shared" si="0"/>
        <v>000DE854</v>
      </c>
      <c r="B6" s="2" t="s">
        <v>8</v>
      </c>
      <c r="C6" s="2" t="s">
        <v>9</v>
      </c>
      <c r="D6" s="1"/>
    </row>
    <row r="7" spans="1:4">
      <c r="A7" s="2" t="str">
        <f>DEC2HEX(HEX2DEC(A6)+4,8)</f>
        <v>000DE858</v>
      </c>
      <c r="B7" s="3" t="s">
        <v>10</v>
      </c>
      <c r="C7" s="2" t="s">
        <v>11</v>
      </c>
      <c r="D7" s="1"/>
    </row>
    <row r="9" spans="1:4">
      <c r="A9" s="1" t="s">
        <v>32</v>
      </c>
    </row>
    <row r="10" spans="1:4">
      <c r="A10" s="2" t="s">
        <v>75</v>
      </c>
      <c r="B10" s="2" t="s">
        <v>13</v>
      </c>
      <c r="C10" s="2" t="s">
        <v>14</v>
      </c>
    </row>
    <row r="11" spans="1:4">
      <c r="A11" s="5" t="str">
        <f>DEC2HEX(HEX2DEC(A10)+4,8)</f>
        <v>001036F8</v>
      </c>
      <c r="B11" s="5" t="s">
        <v>15</v>
      </c>
      <c r="C11" s="5" t="s">
        <v>16</v>
      </c>
      <c r="D11" s="5" t="s">
        <v>17</v>
      </c>
    </row>
    <row r="12" spans="1:4">
      <c r="A12" s="5" t="str">
        <f t="shared" ref="A12:A26" si="1">DEC2HEX(HEX2DEC(A11)+4,8)</f>
        <v>001036FC</v>
      </c>
      <c r="B12" s="5" t="s">
        <v>18</v>
      </c>
      <c r="C12" s="5" t="s">
        <v>19</v>
      </c>
      <c r="D12" s="5"/>
    </row>
    <row r="13" spans="1:4">
      <c r="A13" s="5" t="str">
        <f t="shared" si="1"/>
        <v>00103700</v>
      </c>
      <c r="B13" s="5" t="s">
        <v>76</v>
      </c>
      <c r="C13" s="5" t="s">
        <v>12</v>
      </c>
      <c r="D13" s="5"/>
    </row>
    <row r="14" spans="1:4">
      <c r="A14" s="4" t="str">
        <f t="shared" si="1"/>
        <v>00103704</v>
      </c>
      <c r="B14" s="4" t="s">
        <v>77</v>
      </c>
      <c r="C14" s="4" t="s">
        <v>22</v>
      </c>
      <c r="D14" s="4"/>
    </row>
    <row r="15" spans="1:4">
      <c r="A15" s="2" t="str">
        <f t="shared" si="1"/>
        <v>00103708</v>
      </c>
      <c r="B15" s="3" t="s">
        <v>24</v>
      </c>
      <c r="C15" s="2" t="s">
        <v>23</v>
      </c>
    </row>
    <row r="16" spans="1:4">
      <c r="A16" s="2" t="str">
        <f t="shared" si="1"/>
        <v>0010370C</v>
      </c>
      <c r="B16" s="2" t="s">
        <v>78</v>
      </c>
      <c r="C16" s="2" t="str">
        <f>_xlfn.CONCAT("bne 0x",A26)</f>
        <v>bne 0x00103734</v>
      </c>
    </row>
    <row r="17" spans="1:4">
      <c r="A17" s="2" t="str">
        <f t="shared" si="1"/>
        <v>00103710</v>
      </c>
      <c r="B17" s="2" t="s">
        <v>20</v>
      </c>
      <c r="C17" s="2" t="str">
        <f>SUBSTITUTE(C10,"push","pop")</f>
        <v>pop {r0, r1, r2, r3, lr}</v>
      </c>
    </row>
    <row r="18" spans="1:4">
      <c r="A18" s="2" t="str">
        <f t="shared" si="1"/>
        <v>00103714</v>
      </c>
      <c r="B18" s="2" t="s">
        <v>79</v>
      </c>
      <c r="C18" s="2" t="s">
        <v>49</v>
      </c>
    </row>
    <row r="19" spans="1:4">
      <c r="A19" s="2" t="str">
        <f t="shared" si="1"/>
        <v>00103718</v>
      </c>
      <c r="B19" s="2" t="s">
        <v>80</v>
      </c>
      <c r="C19" s="2" t="s">
        <v>50</v>
      </c>
      <c r="D19" s="2" t="s">
        <v>56</v>
      </c>
    </row>
    <row r="20" spans="1:4">
      <c r="A20" s="2" t="str">
        <f t="shared" si="1"/>
        <v>0010371C</v>
      </c>
      <c r="B20" s="2" t="s">
        <v>81</v>
      </c>
      <c r="C20" s="2" t="str">
        <f>_xlfn.CONCAT("beq 0x",A29)</f>
        <v>beq 0x00101CEC</v>
      </c>
      <c r="D20" s="2" t="s">
        <v>55</v>
      </c>
    </row>
    <row r="21" spans="1:4">
      <c r="A21" s="2" t="str">
        <f t="shared" si="1"/>
        <v>00103720</v>
      </c>
      <c r="B21" s="3" t="s">
        <v>82</v>
      </c>
      <c r="C21" s="2" t="s">
        <v>30</v>
      </c>
    </row>
    <row r="22" spans="1:4">
      <c r="A22" s="2" t="str">
        <f t="shared" si="1"/>
        <v>00103724</v>
      </c>
      <c r="B22" s="2" t="s">
        <v>83</v>
      </c>
      <c r="C22" s="2" t="s">
        <v>31</v>
      </c>
      <c r="D22" s="2" t="s">
        <v>53</v>
      </c>
    </row>
    <row r="23" spans="1:4">
      <c r="A23" s="2" t="str">
        <f t="shared" si="1"/>
        <v>00103728</v>
      </c>
      <c r="B23" s="2" t="s">
        <v>84</v>
      </c>
      <c r="C23" s="2" t="s">
        <v>52</v>
      </c>
      <c r="D23" s="2" t="s">
        <v>54</v>
      </c>
    </row>
    <row r="24" spans="1:4">
      <c r="A24" s="2" t="str">
        <f t="shared" si="1"/>
        <v>0010372C</v>
      </c>
      <c r="B24" s="2" t="s">
        <v>85</v>
      </c>
      <c r="C24" s="2" t="s">
        <v>27</v>
      </c>
      <c r="D24" s="2" t="s">
        <v>25</v>
      </c>
    </row>
    <row r="25" spans="1:4">
      <c r="A25" s="2" t="str">
        <f t="shared" si="1"/>
        <v>00103730</v>
      </c>
      <c r="B25" s="2" t="s">
        <v>86</v>
      </c>
      <c r="C25" s="2" t="s">
        <v>28</v>
      </c>
      <c r="D25" s="2" t="s">
        <v>26</v>
      </c>
    </row>
    <row r="26" spans="1:4">
      <c r="A26" s="2" t="str">
        <f t="shared" si="1"/>
        <v>00103734</v>
      </c>
      <c r="B26" s="2" t="s">
        <v>21</v>
      </c>
      <c r="C26" s="2" t="str">
        <f>SUBSTITUTE(C17,"lr","pc")</f>
        <v>pop {r0, r1, r2, r3, pc}</v>
      </c>
    </row>
    <row r="28" spans="1:4">
      <c r="A28" s="1" t="s">
        <v>33</v>
      </c>
    </row>
    <row r="29" spans="1:4">
      <c r="A29" s="2" t="s">
        <v>57</v>
      </c>
      <c r="B29" s="2" t="s">
        <v>58</v>
      </c>
      <c r="C29" s="2" t="s">
        <v>48</v>
      </c>
    </row>
    <row r="30" spans="1:4">
      <c r="A30" s="2" t="str">
        <f t="shared" ref="A30:A46" si="2">DEC2HEX(HEX2DEC(A29)+4,8)</f>
        <v>00101CF0</v>
      </c>
      <c r="B30" s="2" t="s">
        <v>59</v>
      </c>
      <c r="C30" s="2" t="s">
        <v>37</v>
      </c>
    </row>
    <row r="31" spans="1:4">
      <c r="A31" s="5" t="str">
        <f t="shared" si="2"/>
        <v>00101CF4</v>
      </c>
      <c r="B31" s="5" t="s">
        <v>60</v>
      </c>
      <c r="C31" s="5" t="s">
        <v>34</v>
      </c>
      <c r="D31" s="5" t="s">
        <v>51</v>
      </c>
    </row>
    <row r="32" spans="1:4">
      <c r="A32" s="5" t="str">
        <f t="shared" si="2"/>
        <v>00101CF8</v>
      </c>
      <c r="B32" s="5" t="s">
        <v>61</v>
      </c>
      <c r="C32" s="5" t="s">
        <v>35</v>
      </c>
      <c r="D32" s="5"/>
    </row>
    <row r="33" spans="1:4">
      <c r="A33" s="5" t="str">
        <f t="shared" si="2"/>
        <v>00101CFC</v>
      </c>
      <c r="B33" s="6" t="s">
        <v>62</v>
      </c>
      <c r="C33" s="5" t="s">
        <v>36</v>
      </c>
      <c r="D33" s="5"/>
    </row>
    <row r="34" spans="1:4">
      <c r="A34" s="5" t="str">
        <f t="shared" si="2"/>
        <v>00101D00</v>
      </c>
      <c r="B34" s="5" t="s">
        <v>63</v>
      </c>
      <c r="C34" s="5" t="str">
        <f>_xlfn.CONCAT("bne 0x",A46)</f>
        <v>bne 0x00101D30</v>
      </c>
      <c r="D34" s="5"/>
    </row>
    <row r="35" spans="1:4">
      <c r="A35" s="2" t="str">
        <f t="shared" si="2"/>
        <v>00101D04</v>
      </c>
      <c r="B35" s="3" t="s">
        <v>64</v>
      </c>
      <c r="C35" s="2" t="s">
        <v>38</v>
      </c>
    </row>
    <row r="36" spans="1:4">
      <c r="A36" s="2" t="str">
        <f t="shared" si="2"/>
        <v>00101D08</v>
      </c>
      <c r="B36" s="2" t="s">
        <v>65</v>
      </c>
      <c r="C36" s="2" t="s">
        <v>35</v>
      </c>
    </row>
    <row r="37" spans="1:4">
      <c r="A37" s="2" t="str">
        <f t="shared" si="2"/>
        <v>00101D0C</v>
      </c>
      <c r="B37" s="2" t="s">
        <v>66</v>
      </c>
      <c r="C37" s="2" t="s">
        <v>39</v>
      </c>
    </row>
    <row r="38" spans="1:4">
      <c r="A38" s="2" t="str">
        <f t="shared" si="2"/>
        <v>00101D10</v>
      </c>
      <c r="B38" s="2" t="s">
        <v>67</v>
      </c>
      <c r="C38" s="2" t="s">
        <v>40</v>
      </c>
    </row>
    <row r="39" spans="1:4">
      <c r="A39" s="2" t="str">
        <f t="shared" si="2"/>
        <v>00101D14</v>
      </c>
      <c r="B39" s="2" t="s">
        <v>68</v>
      </c>
      <c r="C39" s="2" t="s">
        <v>41</v>
      </c>
      <c r="D39" s="2" t="s">
        <v>42</v>
      </c>
    </row>
    <row r="40" spans="1:4">
      <c r="A40" s="2" t="str">
        <f t="shared" si="2"/>
        <v>00101D18</v>
      </c>
      <c r="B40" s="2" t="s">
        <v>69</v>
      </c>
      <c r="C40" s="2" t="s">
        <v>43</v>
      </c>
      <c r="D40" s="2" t="s">
        <v>44</v>
      </c>
    </row>
    <row r="41" spans="1:4">
      <c r="A41" s="2" t="str">
        <f t="shared" si="2"/>
        <v>00101D1C</v>
      </c>
      <c r="B41" s="2" t="s">
        <v>29</v>
      </c>
      <c r="C41" s="2" t="str">
        <f>C34</f>
        <v>bne 0x00101D30</v>
      </c>
    </row>
    <row r="42" spans="1:4">
      <c r="A42" s="2" t="str">
        <f t="shared" si="2"/>
        <v>00101D20</v>
      </c>
      <c r="B42" s="2" t="s">
        <v>70</v>
      </c>
      <c r="C42" s="2" t="s">
        <v>45</v>
      </c>
    </row>
    <row r="43" spans="1:4">
      <c r="A43" s="2" t="str">
        <f t="shared" si="2"/>
        <v>00101D24</v>
      </c>
      <c r="B43" s="2" t="s">
        <v>71</v>
      </c>
      <c r="C43" s="2" t="s">
        <v>46</v>
      </c>
    </row>
    <row r="44" spans="1:4">
      <c r="A44" s="2" t="str">
        <f t="shared" si="2"/>
        <v>00101D28</v>
      </c>
      <c r="B44" s="2" t="s">
        <v>72</v>
      </c>
      <c r="C44" s="2" t="str">
        <f>SUBSTITUTE(C29,"push","pop")</f>
        <v>pop {r4, lr}</v>
      </c>
    </row>
    <row r="45" spans="1:4">
      <c r="A45" s="2" t="str">
        <f t="shared" si="2"/>
        <v>00101D2C</v>
      </c>
      <c r="B45" s="2" t="s">
        <v>73</v>
      </c>
      <c r="C45" s="2" t="s">
        <v>47</v>
      </c>
    </row>
    <row r="46" spans="1:4">
      <c r="A46" s="2" t="str">
        <f t="shared" si="2"/>
        <v>00101D30</v>
      </c>
      <c r="B46" s="2" t="s">
        <v>74</v>
      </c>
      <c r="C46" s="2" t="str">
        <f>SUBSTITUTE(C44,"lr","pc")</f>
        <v>pop {r4,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2026-05-25T20:06:17Z</dcterms:modified>
</cp:coreProperties>
</file>