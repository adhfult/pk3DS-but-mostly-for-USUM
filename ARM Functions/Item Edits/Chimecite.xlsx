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67B47ED7-6A36-406E-9E81-D1C1025AAE56}" xr6:coauthVersionLast="47" xr6:coauthVersionMax="47" xr10:uidLastSave="{00000000-0000-0000-0000-000000000000}"/>
  <bookViews>
    <workbookView xWindow="-103" yWindow="-103" windowWidth="33120" windowHeight="18120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A11" i="1"/>
  <c r="A12" i="1" s="1"/>
  <c r="A13" i="1" s="1"/>
  <c r="A14" i="1" s="1"/>
  <c r="A15" i="1" s="1"/>
  <c r="A16" i="1" s="1"/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C29" i="1"/>
  <c r="A2" i="1" l="1" a="1"/>
  <c r="A2" i="1" s="1"/>
  <c r="A4" i="1"/>
  <c r="A5" i="1" s="1"/>
  <c r="A6" i="1" s="1"/>
  <c r="A7" i="1" s="1"/>
  <c r="B3" i="1"/>
  <c r="C23" i="1" l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<sst xmlns="http://schemas.openxmlformats.org/spreadsheetml/2006/main" count="59" uniqueCount="59">
  <si>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</si>
  <si>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</si>
  <si>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</si>
  <si>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</si>
  <si>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</si>
  <si>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</si>
  <si>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</si>
  <si>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</si>
  <si>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</si>
  <si>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</si>
  <si>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</si>
  <si>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</si>
  <si>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</si>
  <si>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</si>
  <si>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mov r0, r1</t>
  </si>
  <si>
    <t>mov r1, r2</t>
  </si>
  <si>
    <t>cmp r0, 0x1</t>
  </si>
  <si>
    <t>0100A0E1</t>
  </si>
  <si>
    <t>0210A0E1</t>
  </si>
  <si>
    <t>010050E3</t>
  </si>
  <si>
    <t>bl 0x000D6F98</t>
  </si>
  <si>
    <t>Mega</t>
  </si>
  <si>
    <t>push {r2, r4, r5, r6, lr}</t>
  </si>
  <si>
    <t>mov r0, 0x12</t>
  </si>
  <si>
    <t xml:space="preserve">bl 0x00087B58 </t>
  </si>
  <si>
    <t>uxth r0, r0</t>
  </si>
  <si>
    <t>mov r1, 0x8</t>
  </si>
  <si>
    <t>bl 0x000001E8</t>
  </si>
  <si>
    <t>get move id</t>
  </si>
  <si>
    <t>get sound flag</t>
  </si>
  <si>
    <t>cmp r0, 0x0</t>
  </si>
  <si>
    <t>b 0x000CA9C8</t>
  </si>
  <si>
    <t>Add Steel STAB</t>
  </si>
  <si>
    <t>mov r0, 0x8</t>
  </si>
  <si>
    <t>000FC9F4</t>
  </si>
  <si>
    <t>74402DE9</t>
  </si>
  <si>
    <t>2456FEEB</t>
  </si>
  <si>
    <t>6369FFEB</t>
  </si>
  <si>
    <t>0B00001A</t>
  </si>
  <si>
    <t>1200A0E3</t>
  </si>
  <si>
    <t>4F2CFEEB</t>
  </si>
  <si>
    <t>7000FFE6</t>
  </si>
  <si>
    <t>0810A0E3</t>
  </si>
  <si>
    <t>F00DFCEB</t>
  </si>
  <si>
    <t>000050E3</t>
  </si>
  <si>
    <t>0400000A</t>
  </si>
  <si>
    <t>7440BDE8</t>
  </si>
  <si>
    <t>0800A0E3</t>
  </si>
  <si>
    <t>E137FFEA</t>
  </si>
  <si>
    <t>7480BDE8</t>
  </si>
  <si>
    <t>000FDDEC</t>
  </si>
  <si>
    <t>mov r1, 0x3</t>
  </si>
  <si>
    <t>Sound Move gains Steel Type-Wise 0x4E/0x4F/0x5B</t>
  </si>
  <si>
    <t>beq 0x001032EC</t>
  </si>
  <si>
    <t>cmp r9, 0x5B</t>
  </si>
  <si>
    <t>5B0059E3</t>
  </si>
  <si>
    <t>set Steel</t>
  </si>
  <si>
    <t>set Type effectiveness</t>
  </si>
  <si>
    <t>2B1A000A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</si>
</sst>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9"/>
  <sheetViews>
    <sheetView tabSelected="1" workbookViewId="0">
      <pane ySplit="1" topLeftCell="A2" activePane="bottomLeft" state="frozen"/>
      <selection pane="bottomLeft" activeCell="B26" sqref="B26:B27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Chimecite Call Function</v>
      </c>
      <c r="B2" s="1"/>
      <c r="C2" s="1"/>
      <c r="D2" s="1"/>
    </row>
    <row r="3" spans="1:4">
      <c r="A3" s="3" t="s">
        <v>50</v>
      </c>
      <c r="B3" s="2" t="str">
        <f>_xlfn.CONCAT("0",RIGHT(C3,1),"10A0E3")</f>
        <v>0310A0E3</v>
      </c>
      <c r="C3" s="2" t="s">
        <v>51</v>
      </c>
      <c r="D3" s="1"/>
    </row>
    <row r="4" spans="1:4">
      <c r="A4" s="2" t="str">
        <f t="shared" ref="A4:A6" si="0">DEC2HEX(HEX2DEC(A3)+4,8)</f>
        <v>000FDDF0</v>
      </c>
      <c r="B4" s="3" t="s">
        <v>4</v>
      </c>
      <c r="C4" s="2" t="s">
        <v>5</v>
      </c>
      <c r="D4" s="1"/>
    </row>
    <row r="5" spans="1:4">
      <c r="A5" s="2" t="str">
        <f t="shared" si="0"/>
        <v>000FDDF4</v>
      </c>
      <c r="B5" s="2" t="s">
        <v>6</v>
      </c>
      <c r="C5" s="2" t="s">
        <v>7</v>
      </c>
      <c r="D5" s="1"/>
    </row>
    <row r="6" spans="1:4">
      <c r="A6" s="2" t="str">
        <f t="shared" si="0"/>
        <v>000FDDF8</v>
      </c>
      <c r="B6" s="2" t="s">
        <v>8</v>
      </c>
      <c r="C6" s="2" t="s">
        <v>9</v>
      </c>
      <c r="D6" s="1"/>
    </row>
    <row r="7" spans="1:4">
      <c r="A7" s="2" t="str">
        <f>DEC2HEX(HEX2DEC(A6)+4,8)</f>
        <v>000FDDFC</v>
      </c>
      <c r="B7" s="3" t="s">
        <v>10</v>
      </c>
      <c r="C7" s="2" t="s">
        <v>11</v>
      </c>
      <c r="D7" s="1"/>
    </row>
    <row r="9" spans="1:4">
      <c r="A9" s="1" t="s">
        <v>52</v>
      </c>
    </row>
    <row r="10" spans="1:4">
      <c r="A10" s="3" t="s">
        <v>34</v>
      </c>
      <c r="B10" s="2" t="s">
        <v>35</v>
      </c>
      <c r="C10" s="2" t="s">
        <v>22</v>
      </c>
    </row>
    <row r="11" spans="1:4">
      <c r="A11" s="4" t="str">
        <f t="shared" ref="A11:A29" si="1">DEC2HEX(HEX2DEC(A10)+4,8)</f>
        <v>000FC9F8</v>
      </c>
      <c r="B11" s="4" t="s">
        <v>17</v>
      </c>
      <c r="C11" s="4" t="s">
        <v>14</v>
      </c>
      <c r="D11" s="4" t="s">
        <v>13</v>
      </c>
    </row>
    <row r="12" spans="1:4">
      <c r="A12" s="4" t="str">
        <f t="shared" si="1"/>
        <v>000FC9FC</v>
      </c>
      <c r="B12" s="4" t="s">
        <v>18</v>
      </c>
      <c r="C12" s="4" t="s">
        <v>15</v>
      </c>
      <c r="D12" s="4"/>
    </row>
    <row r="13" spans="1:4">
      <c r="A13" s="4" t="str">
        <f t="shared" si="1"/>
        <v>000FCA00</v>
      </c>
      <c r="B13" s="5" t="s">
        <v>36</v>
      </c>
      <c r="C13" s="4" t="s">
        <v>12</v>
      </c>
      <c r="D13" s="4"/>
    </row>
    <row r="14" spans="1:4">
      <c r="A14" s="6" t="str">
        <f t="shared" si="1"/>
        <v>000FCA04</v>
      </c>
      <c r="B14" s="6" t="s">
        <v>37</v>
      </c>
      <c r="C14" s="6" t="s">
        <v>20</v>
      </c>
      <c r="D14" s="6"/>
    </row>
    <row r="15" spans="1:4">
      <c r="A15" s="6" t="str">
        <f t="shared" si="1"/>
        <v>000FCA08</v>
      </c>
      <c r="B15" s="7" t="s">
        <v>19</v>
      </c>
      <c r="C15" s="6" t="s">
        <v>16</v>
      </c>
      <c r="D15" s="6" t="s">
        <v>21</v>
      </c>
    </row>
    <row r="16" spans="1:4">
      <c r="A16" s="6" t="str">
        <f t="shared" si="1"/>
        <v>000FCA0C</v>
      </c>
      <c r="B16" s="7" t="s">
        <v>38</v>
      </c>
      <c r="C16" s="6" t="str">
        <f>_xlfn.CONCAT("bne 0x",A$29)</f>
        <v>bne 0x000FCA40</v>
      </c>
      <c r="D16" s="6"/>
    </row>
    <row r="17" spans="1:4">
      <c r="A17" s="8" t="str">
        <f t="shared" si="1"/>
        <v>000FCA10</v>
      </c>
      <c r="B17" s="9" t="s">
        <v>39</v>
      </c>
      <c r="C17" s="8" t="s">
        <v>23</v>
      </c>
      <c r="D17" s="8" t="s">
        <v>28</v>
      </c>
    </row>
    <row r="18" spans="1:4">
      <c r="A18" s="8" t="str">
        <f t="shared" si="1"/>
        <v>000FCA14</v>
      </c>
      <c r="B18" s="9" t="s">
        <v>40</v>
      </c>
      <c r="C18" s="8" t="s">
        <v>24</v>
      </c>
      <c r="D18" s="8"/>
    </row>
    <row r="19" spans="1:4">
      <c r="A19" s="8" t="str">
        <f t="shared" si="1"/>
        <v>000FCA18</v>
      </c>
      <c r="B19" s="9" t="s">
        <v>41</v>
      </c>
      <c r="C19" s="8" t="s">
        <v>25</v>
      </c>
      <c r="D19" s="8"/>
    </row>
    <row r="20" spans="1:4">
      <c r="A20" s="8" t="str">
        <f t="shared" si="1"/>
        <v>000FCA1C</v>
      </c>
      <c r="B20" s="9" t="s">
        <v>42</v>
      </c>
      <c r="C20" s="8" t="s">
        <v>26</v>
      </c>
      <c r="D20" s="8" t="s">
        <v>29</v>
      </c>
    </row>
    <row r="21" spans="1:4">
      <c r="A21" s="8" t="str">
        <f t="shared" si="1"/>
        <v>000FCA20</v>
      </c>
      <c r="B21" s="9" t="s">
        <v>43</v>
      </c>
      <c r="C21" s="8" t="s">
        <v>27</v>
      </c>
      <c r="D21" s="8"/>
    </row>
    <row r="22" spans="1:4">
      <c r="A22" s="8" t="str">
        <f t="shared" si="1"/>
        <v>000FCA24</v>
      </c>
      <c r="B22" s="9" t="s">
        <v>44</v>
      </c>
      <c r="C22" s="8" t="s">
        <v>30</v>
      </c>
      <c r="D22" s="8"/>
    </row>
    <row r="23" spans="1:4">
      <c r="A23" s="8" t="str">
        <f t="shared" si="1"/>
        <v>000FCA28</v>
      </c>
      <c r="B23" s="9" t="s">
        <v>45</v>
      </c>
      <c r="C23" s="8" t="str">
        <f>_xlfn.CONCAT("beq 0x",A29)</f>
        <v>beq 0x000FCA40</v>
      </c>
      <c r="D23" s="8"/>
    </row>
    <row r="24" spans="1:4">
      <c r="A24" s="8" t="str">
        <f t="shared" si="1"/>
        <v>000FCA2C</v>
      </c>
      <c r="B24" s="9" t="s">
        <v>55</v>
      </c>
      <c r="C24" s="8" t="s">
        <v>54</v>
      </c>
      <c r="D24" s="8"/>
    </row>
    <row r="25" spans="1:4">
      <c r="A25" s="2" t="str">
        <f>DEC2HEX(HEX2DEC(A24)+4,8)</f>
        <v>000FCA30</v>
      </c>
      <c r="B25" s="3" t="s">
        <v>46</v>
      </c>
      <c r="C25" s="2" t="str">
        <f>SUBSTITUTE(C10,"push","pop")</f>
        <v>pop {r2, r4, r5, r6, lr}</v>
      </c>
    </row>
    <row r="26" spans="1:4">
      <c r="A26" s="2" t="str">
        <f t="shared" si="1"/>
        <v>000FCA34</v>
      </c>
      <c r="B26" s="3" t="s">
        <v>47</v>
      </c>
      <c r="C26" s="2" t="s">
        <v>33</v>
      </c>
      <c r="D26" s="2" t="s">
        <v>56</v>
      </c>
    </row>
    <row r="27" spans="1:4">
      <c r="A27" s="2" t="str">
        <f t="shared" si="1"/>
        <v>000FCA38</v>
      </c>
      <c r="B27" s="3" t="s">
        <v>58</v>
      </c>
      <c r="C27" s="2" t="s">
        <v>53</v>
      </c>
      <c r="D27" s="2" t="s">
        <v>32</v>
      </c>
    </row>
    <row r="28" spans="1:4">
      <c r="A28" s="2" t="str">
        <f t="shared" si="1"/>
        <v>000FCA3C</v>
      </c>
      <c r="B28" s="3" t="s">
        <v>48</v>
      </c>
      <c r="C28" s="2" t="s">
        <v>31</v>
      </c>
      <c r="D28" s="2" t="s">
        <v>57</v>
      </c>
    </row>
    <row r="29" spans="1:4">
      <c r="A29" s="2" t="str">
        <f t="shared" si="1"/>
        <v>000FCA40</v>
      </c>
      <c r="B29" s="2" t="s">
        <v>49</v>
      </c>
      <c r="C29" s="2" t="str">
        <f>SUBSTITUTE(C25,"lr","pc")</f>
        <v>pop {r2, r4, r5, r6,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2026-05-21T02:28:09Z</dcterms:modified>
</cp:coreProperties>
</file>