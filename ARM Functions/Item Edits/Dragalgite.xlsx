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E68E1A2E-5637-4587-A629-DC9ECF203AAD}" xr6:coauthVersionLast="47" xr6:coauthVersionMax="47" xr10:uidLastSave="{00000000-0000-0000-0000-000000000000}"/>
  <bookViews>
    <workbookView xWindow="0" yWindow="0" windowWidth="16466" windowHeight="17914" xr2:uid="{6B563214-6527-4E5F-B5EA-E821D6DED3A7}"/>
  </bookViews>
  <sheets>
    <sheet name="Code" sheetId="1" r:id="rId1"/>
    <sheet name="original Shell Be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C66" i="1" l="1"/>
  <c r="C68" i="1" s="1"/>
  <c r="C18" i="2"/>
  <c r="C14" i="2"/>
  <c r="C10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4" i="2"/>
  <c r="A5" i="2" s="1"/>
  <c r="A6" i="2" s="1"/>
  <c r="A7" i="2" s="1"/>
  <c r="A2" i="1" l="1" a="1"/>
  <c r="A2" i="1" s="1"/>
  <c r="A4" i="1"/>
  <c r="A5" i="1" s="1"/>
  <c r="A6" i="1" s="1"/>
  <c r="A7" i="1" s="1"/>
  <c r="B3" i="1"/>
  <c r="C57" i="1" l="1"/>
  <c r="C24" i="1"/>
  <c r="C35" i="1"/>
  <c r="C17" i="1"/>
  <c r="C2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<sst xmlns="http://schemas.openxmlformats.org/spreadsheetml/2006/main" count="256" uniqueCount="165">
  <si>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</si>
  <si>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</si>
  <si>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</si>
  <si>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</si>
  <si>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</si>
  <si>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</si>
  <si>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</si>
  <si>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</si>
  <si>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</si>
  <si>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</si>
  <si>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</si>
  <si>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</si>
  <si>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bl 0x00092298</t>
  </si>
  <si>
    <t>Get pointer to self</t>
  </si>
  <si>
    <t>bl 0x000D6F98</t>
  </si>
  <si>
    <t>cmp r0, 0x1</t>
  </si>
  <si>
    <t>Check Mega</t>
  </si>
  <si>
    <t>010050E3</t>
  </si>
  <si>
    <t>Original Shell Bell</t>
  </si>
  <si>
    <t>000BB14C</t>
  </si>
  <si>
    <t>push {r4, r5, r6, r7, r8, lr}</t>
  </si>
  <si>
    <t>mov r6, r2</t>
  </si>
  <si>
    <t>mov r7, r0</t>
  </si>
  <si>
    <t>mov r8, r1</t>
  </si>
  <si>
    <t>cmp r0, r6</t>
  </si>
  <si>
    <t>movs r4, r0</t>
  </si>
  <si>
    <t>mov r0, r7</t>
  </si>
  <si>
    <t>mov r1, r5</t>
  </si>
  <si>
    <t>mov r1, r0</t>
  </si>
  <si>
    <t>mov r0, r4</t>
  </si>
  <si>
    <t>movs r5, r0</t>
  </si>
  <si>
    <t>mov r2, r6</t>
  </si>
  <si>
    <t>mov r0, r8</t>
  </si>
  <si>
    <t>mov r4, r0</t>
  </si>
  <si>
    <t>mov r1, r6</t>
  </si>
  <si>
    <t>mov r1, r4</t>
  </si>
  <si>
    <t>pop {r4, r5, r6, r7, r8, lr}</t>
  </si>
  <si>
    <t>pop {r4, r5, r6, r7, r8, pc}</t>
  </si>
  <si>
    <t>F0412DE9</t>
  </si>
  <si>
    <t>0260A0E1</t>
  </si>
  <si>
    <t>0070A0E1</t>
  </si>
  <si>
    <t>0180A0E1</t>
  </si>
  <si>
    <t>0300A0E3</t>
  </si>
  <si>
    <t>7C32FFEB</t>
  </si>
  <si>
    <t>060050E1</t>
  </si>
  <si>
    <t>2800001A</t>
  </si>
  <si>
    <t>5200A0E3</t>
  </si>
  <si>
    <t>7832FFEB</t>
  </si>
  <si>
    <t>000050E3</t>
  </si>
  <si>
    <t>2400001A</t>
  </si>
  <si>
    <t>3600A0E3</t>
  </si>
  <si>
    <t>7432FFEB</t>
  </si>
  <si>
    <t>0040B0E1</t>
  </si>
  <si>
    <t>2000000A</t>
  </si>
  <si>
    <t>0700A0E1</t>
  </si>
  <si>
    <t>0350A0E3</t>
  </si>
  <si>
    <t>B803D0E1</t>
  </si>
  <si>
    <t>0510A0E1</t>
  </si>
  <si>
    <t>6761FFEB</t>
  </si>
  <si>
    <t>0010A0E1</t>
  </si>
  <si>
    <t>0400A0E1</t>
  </si>
  <si>
    <t>FE13FDEB</t>
  </si>
  <si>
    <t>0050B0E1</t>
  </si>
  <si>
    <t>0150A003</t>
  </si>
  <si>
    <t>0620A0E1</t>
  </si>
  <si>
    <t>0410A0E3</t>
  </si>
  <si>
    <t>0800A0E1</t>
  </si>
  <si>
    <t>4C31FFEB</t>
  </si>
  <si>
    <t>0660C0E5</t>
  </si>
  <si>
    <t>0040A0E1</t>
  </si>
  <si>
    <t>B450C0E1</t>
  </si>
  <si>
    <t>4D2EA0E3</t>
  </si>
  <si>
    <t>0210A0E3</t>
  </si>
  <si>
    <t>080080E2</t>
  </si>
  <si>
    <t>A23AFFEB</t>
  </si>
  <si>
    <t>0610A0E1</t>
  </si>
  <si>
    <t>080084E2</t>
  </si>
  <si>
    <t>8511FFEB</t>
  </si>
  <si>
    <t>8011FFEB</t>
  </si>
  <si>
    <t>0410A0E1</t>
  </si>
  <si>
    <t>F041BDE8</t>
  </si>
  <si>
    <t>B806FFEA</t>
  </si>
  <si>
    <t>F081BDE8</t>
  </si>
  <si>
    <t>mov r0, 0x52</t>
  </si>
  <si>
    <t>mov r0, 0x36</t>
  </si>
  <si>
    <t>ldrh r0, [r0, 0x38]</t>
  </si>
  <si>
    <t>mov r0, 0x3</t>
  </si>
  <si>
    <t>cmp r0, 0x0</t>
  </si>
  <si>
    <t>mov r5, 0x3</t>
  </si>
  <si>
    <t>moveq r5, 0x1</t>
  </si>
  <si>
    <t>mov r1, 0x4</t>
  </si>
  <si>
    <t>strb r6, [r0, 0x6]</t>
  </si>
  <si>
    <t>strh r5, [r0, 0x4]</t>
  </si>
  <si>
    <t>mov r1, 0x2</t>
  </si>
  <si>
    <t>add r0, r0, 0x8</t>
  </si>
  <si>
    <t>add r0, r4, 0x8</t>
  </si>
  <si>
    <t>bl 0x00087B58</t>
  </si>
  <si>
    <t>Check self attacker</t>
  </si>
  <si>
    <t>Get damage done</t>
  </si>
  <si>
    <t>Get item parameter</t>
  </si>
  <si>
    <t>Damage/parameter</t>
  </si>
  <si>
    <t>bl 0x00093740</t>
  </si>
  <si>
    <t>bl 0x1A8</t>
  </si>
  <si>
    <t>bl 0x000876F8</t>
  </si>
  <si>
    <t>Get anitext pointer</t>
  </si>
  <si>
    <t>store values for HP heal</t>
  </si>
  <si>
    <t>bl 0x00089C6C</t>
  </si>
  <si>
    <t>Set text to print</t>
  </si>
  <si>
    <t>mov r2, 0x4D0</t>
  </si>
  <si>
    <t>bl 0x0007F804</t>
  </si>
  <si>
    <t>Write self variable</t>
  </si>
  <si>
    <t>Write item variable</t>
  </si>
  <si>
    <t>b 0x0007CCF4</t>
  </si>
  <si>
    <t>Write text</t>
  </si>
  <si>
    <t>Get item parameter X</t>
  </si>
  <si>
    <t>mov r0, 0x12</t>
  </si>
  <si>
    <t>bl 0x000001D8</t>
  </si>
  <si>
    <t>get Type of move</t>
  </si>
  <si>
    <t>get move index</t>
  </si>
  <si>
    <t>uxth r9, r0</t>
  </si>
  <si>
    <t>cmp r0, 0x3</t>
  </si>
  <si>
    <t>cmpne r9, 0xBE</t>
  </si>
  <si>
    <t>check Poison</t>
  </si>
  <si>
    <t>or Octazooka</t>
  </si>
  <si>
    <t>if not exit</t>
  </si>
  <si>
    <t>mov r10, r0</t>
  </si>
  <si>
    <t>push {r4, r5, r6, r7, r8, r9, r10, lr}</t>
  </si>
  <si>
    <t>Get Max HP</t>
  </si>
  <si>
    <t>mov r0, r10</t>
  </si>
  <si>
    <t>mov r1, 0xE</t>
  </si>
  <si>
    <t>bl 0x00092628</t>
  </si>
  <si>
    <t>mov r1, 0x8</t>
  </si>
  <si>
    <t>mov r1, 0x1</t>
  </si>
  <si>
    <t>Heal 1/&lt;defined in held item argument&gt; own HP every time a Poison Move is used 0xA0</t>
  </si>
  <si>
    <t>F0472DE9</t>
  </si>
  <si>
    <t>3100001A</t>
  </si>
  <si>
    <t>00A0A0E1</t>
  </si>
  <si>
    <t>2A00001A</t>
  </si>
  <si>
    <t>2600001A</t>
  </si>
  <si>
    <t>1200A0E3</t>
  </si>
  <si>
    <t>7090FFE6</t>
  </si>
  <si>
    <t>030050E3</t>
  </si>
  <si>
    <t>BE005913</t>
  </si>
  <si>
    <t>1F00001A</t>
  </si>
  <si>
    <t>0A00A0E1</t>
  </si>
  <si>
    <t>0E10A0E3</t>
  </si>
  <si>
    <t>0810A0E3</t>
  </si>
  <si>
    <t>B822DFE1</t>
  </si>
  <si>
    <t>F047BDE8</t>
  </si>
  <si>
    <t>F087BDE8</t>
  </si>
  <si>
    <t>00101428</t>
  </si>
  <si>
    <t>C519FEEB</t>
  </si>
  <si>
    <t>9043FEEB</t>
  </si>
  <si>
    <t>CE56FFEB</t>
  </si>
  <si>
    <t>BA19FEEB</t>
  </si>
  <si>
    <t>B619FEEB</t>
  </si>
  <si>
    <t>54FBFBEB</t>
  </si>
  <si>
    <t>6244FEEB</t>
  </si>
  <si>
    <t>A248FEEB</t>
  </si>
  <si>
    <t>39FBFBEB</t>
  </si>
  <si>
    <t>8718FEEB</t>
  </si>
  <si>
    <t>DD21FEEB</t>
  </si>
  <si>
    <t>C0F8FDEB</t>
  </si>
  <si>
    <t>F8EDFDEA</t>
  </si>
  <si>
    <t>001031E0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</si>
</sst>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0" borderId="0" xfId="0" quotePrefix="1" applyFont="1" applyFill="1"/>
    <xf numFmtId="0" fontId="2" fillId="11" borderId="0" xfId="0" applyFont="1" applyFill="1"/>
    <xf numFmtId="0" fontId="2" fillId="11" borderId="0" xfId="0" quotePrefix="1" applyFont="1" applyFill="1"/>
    <xf numFmtId="0" fontId="2" fillId="12" borderId="0" xfId="0" applyFont="1" applyFill="1"/>
    <xf numFmtId="0" fontId="2" fillId="12" borderId="0" xfId="0" quotePrefix="1" applyFont="1" applyFill="1"/>
    <xf numFmtId="0" fontId="2" fillId="13" borderId="0" xfId="0" applyFont="1" applyFill="1"/>
    <xf numFmtId="0" fontId="2" fillId="14" borderId="0" xfId="0" applyFont="1" applyFill="1"/>
    <xf numFmtId="0" fontId="2" fillId="14" borderId="0" xfId="0" quotePrefix="1" applyFont="1" applyFill="1"/>
    <xf numFmtId="0" fontId="2" fillId="15" borderId="0" xfId="0" applyFont="1" applyFill="1"/>
    <xf numFmtId="0" fontId="2" fillId="16" borderId="0" xfId="0" applyFont="1" applyFill="1"/>
    <xf numFmtId="0" fontId="2" fillId="1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69"/>
  <sheetViews>
    <sheetView tabSelected="1" workbookViewId="0">
      <pane ySplit="1" topLeftCell="A2" activePane="bottomLeft" state="frozen"/>
      <selection pane="bottomLeft" activeCell="A10" sqref="A10"/>
    </sheetView>
  </sheetViews>
  <sheetFormatPr defaultRowHeight="15.9"/>
  <cols>
    <col min="1" max="1" width="9.140625" style="2"/>
    <col min="2" max="2" width="9.35546875" style="2" bestFit="1" customWidth="1"/>
    <col min="3" max="3" width="42.0703125" style="2" bestFit="1" customWidth="1"/>
    <col min="4" max="4" width="26.785156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Dragalgite Call Function</v>
      </c>
      <c r="B2" s="1"/>
      <c r="C2" s="1"/>
      <c r="D2" s="1"/>
    </row>
    <row r="3" spans="1:4">
      <c r="A3" s="3" t="s">
        <v>164</v>
      </c>
      <c r="B3" s="2" t="str">
        <f>_xlfn.CONCAT("0",RIGHT(C3,1),"10A0E3")</f>
        <v>0110A0E3</v>
      </c>
      <c r="C3" s="2" t="s">
        <v>132</v>
      </c>
      <c r="D3" s="1"/>
    </row>
    <row r="4" spans="1:4">
      <c r="A4" s="2" t="str">
        <f t="shared" ref="A4:A6" si="0">DEC2HEX(HEX2DEC(A3)+4,8)</f>
        <v>001031E4</v>
      </c>
      <c r="B4" s="3" t="s">
        <v>4</v>
      </c>
      <c r="C4" s="2" t="s">
        <v>5</v>
      </c>
      <c r="D4" s="1"/>
    </row>
    <row r="5" spans="1:4">
      <c r="A5" s="2" t="str">
        <f t="shared" si="0"/>
        <v>001031E8</v>
      </c>
      <c r="B5" s="2" t="s">
        <v>6</v>
      </c>
      <c r="C5" s="2" t="s">
        <v>7</v>
      </c>
      <c r="D5" s="1"/>
    </row>
    <row r="6" spans="1:4">
      <c r="A6" s="2" t="str">
        <f t="shared" si="0"/>
        <v>001031EC</v>
      </c>
      <c r="B6" s="2" t="s">
        <v>8</v>
      </c>
      <c r="C6" s="2" t="s">
        <v>9</v>
      </c>
      <c r="D6" s="1"/>
    </row>
    <row r="7" spans="1:4">
      <c r="A7" s="2" t="str">
        <f>DEC2HEX(HEX2DEC(A6)+4,8)</f>
        <v>001031F0</v>
      </c>
      <c r="B7" s="3" t="s">
        <v>10</v>
      </c>
      <c r="C7" s="2" t="s">
        <v>11</v>
      </c>
      <c r="D7" s="1"/>
    </row>
    <row r="9" spans="1:4">
      <c r="A9" s="1" t="s">
        <v>133</v>
      </c>
    </row>
    <row r="10" spans="1:4">
      <c r="A10" s="3" t="s">
        <v>150</v>
      </c>
      <c r="B10" s="2" t="s">
        <v>134</v>
      </c>
      <c r="C10" s="2" t="s">
        <v>126</v>
      </c>
    </row>
    <row r="11" spans="1:4">
      <c r="A11" s="2" t="str">
        <f>DEC2HEX(HEX2DEC(A10)+4,8)</f>
        <v>0010142C</v>
      </c>
      <c r="B11" s="3" t="s">
        <v>39</v>
      </c>
      <c r="C11" s="2" t="s">
        <v>21</v>
      </c>
    </row>
    <row r="12" spans="1:4">
      <c r="A12" s="2" t="str">
        <f t="shared" ref="A12:A69" si="1">DEC2HEX(HEX2DEC(A11)+4,8)</f>
        <v>00101430</v>
      </c>
      <c r="B12" s="2" t="s">
        <v>40</v>
      </c>
      <c r="C12" s="2" t="s">
        <v>22</v>
      </c>
    </row>
    <row r="13" spans="1:4">
      <c r="A13" s="2" t="str">
        <f t="shared" si="1"/>
        <v>00101434</v>
      </c>
      <c r="B13" s="2" t="s">
        <v>41</v>
      </c>
      <c r="C13" s="2" t="s">
        <v>23</v>
      </c>
    </row>
    <row r="14" spans="1:4">
      <c r="A14" s="4" t="str">
        <f t="shared" si="1"/>
        <v>00101438</v>
      </c>
      <c r="B14" s="5" t="s">
        <v>42</v>
      </c>
      <c r="C14" s="4" t="s">
        <v>86</v>
      </c>
      <c r="D14" s="4" t="s">
        <v>97</v>
      </c>
    </row>
    <row r="15" spans="1:4">
      <c r="A15" s="4" t="str">
        <f t="shared" si="1"/>
        <v>0010143C</v>
      </c>
      <c r="B15" s="4" t="s">
        <v>151</v>
      </c>
      <c r="C15" s="4" t="s">
        <v>96</v>
      </c>
      <c r="D15" s="4"/>
    </row>
    <row r="16" spans="1:4">
      <c r="A16" s="4" t="str">
        <f t="shared" si="1"/>
        <v>00101440</v>
      </c>
      <c r="B16" s="5" t="s">
        <v>44</v>
      </c>
      <c r="C16" s="4" t="s">
        <v>24</v>
      </c>
      <c r="D16" s="4"/>
    </row>
    <row r="17" spans="1:4">
      <c r="A17" s="4" t="str">
        <f t="shared" si="1"/>
        <v>00101444</v>
      </c>
      <c r="B17" s="4" t="s">
        <v>135</v>
      </c>
      <c r="C17" s="4" t="str">
        <f>_xlfn.CONCAT("bne 0x",A68)</f>
        <v>bne 0x00101510</v>
      </c>
      <c r="D17" s="4"/>
    </row>
    <row r="18" spans="1:4">
      <c r="A18" s="22" t="str">
        <f t="shared" si="1"/>
        <v>00101448</v>
      </c>
      <c r="B18" s="22" t="s">
        <v>66</v>
      </c>
      <c r="C18" s="22" t="s">
        <v>32</v>
      </c>
      <c r="D18" s="22" t="s">
        <v>13</v>
      </c>
    </row>
    <row r="19" spans="1:4">
      <c r="A19" s="22" t="str">
        <f t="shared" si="1"/>
        <v>0010144C</v>
      </c>
      <c r="B19" s="22" t="s">
        <v>75</v>
      </c>
      <c r="C19" s="22" t="s">
        <v>34</v>
      </c>
      <c r="D19" s="22"/>
    </row>
    <row r="20" spans="1:4">
      <c r="A20" s="22" t="str">
        <f t="shared" si="1"/>
        <v>00101450</v>
      </c>
      <c r="B20" s="23" t="s">
        <v>152</v>
      </c>
      <c r="C20" s="22" t="s">
        <v>12</v>
      </c>
      <c r="D20" s="22"/>
    </row>
    <row r="21" spans="1:4">
      <c r="A21" s="22" t="str">
        <f t="shared" si="1"/>
        <v>00101454</v>
      </c>
      <c r="B21" s="23" t="s">
        <v>136</v>
      </c>
      <c r="C21" s="22" t="s">
        <v>125</v>
      </c>
      <c r="D21" s="22"/>
    </row>
    <row r="22" spans="1:4">
      <c r="A22" s="6" t="str">
        <f t="shared" si="1"/>
        <v>00101458</v>
      </c>
      <c r="B22" s="7" t="s">
        <v>153</v>
      </c>
      <c r="C22" s="6" t="s">
        <v>14</v>
      </c>
      <c r="D22" s="6" t="s">
        <v>16</v>
      </c>
    </row>
    <row r="23" spans="1:4">
      <c r="A23" s="6" t="str">
        <f t="shared" si="1"/>
        <v>0010145C</v>
      </c>
      <c r="B23" s="7" t="s">
        <v>17</v>
      </c>
      <c r="C23" s="6" t="s">
        <v>15</v>
      </c>
      <c r="D23" s="6"/>
    </row>
    <row r="24" spans="1:4">
      <c r="A24" s="6" t="str">
        <f t="shared" si="1"/>
        <v>00101460</v>
      </c>
      <c r="B24" s="6" t="s">
        <v>137</v>
      </c>
      <c r="C24" s="6" t="str">
        <f>_xlfn.CONCAT("bne 0x",A68)</f>
        <v>bne 0x00101510</v>
      </c>
      <c r="D24" s="6"/>
    </row>
    <row r="25" spans="1:4">
      <c r="A25" s="8" t="str">
        <f t="shared" si="1"/>
        <v>00101464</v>
      </c>
      <c r="B25" s="8" t="s">
        <v>46</v>
      </c>
      <c r="C25" s="8" t="s">
        <v>83</v>
      </c>
      <c r="D25" s="8"/>
    </row>
    <row r="26" spans="1:4">
      <c r="A26" s="8" t="str">
        <f t="shared" si="1"/>
        <v>00101468</v>
      </c>
      <c r="B26" s="8" t="s">
        <v>154</v>
      </c>
      <c r="C26" s="8" t="s">
        <v>96</v>
      </c>
      <c r="D26" s="8"/>
    </row>
    <row r="27" spans="1:4">
      <c r="A27" s="8" t="str">
        <f t="shared" si="1"/>
        <v>0010146C</v>
      </c>
      <c r="B27" s="9" t="s">
        <v>48</v>
      </c>
      <c r="C27" s="8" t="s">
        <v>87</v>
      </c>
      <c r="D27" s="8"/>
    </row>
    <row r="28" spans="1:4">
      <c r="A28" s="8" t="str">
        <f t="shared" si="1"/>
        <v>00101470</v>
      </c>
      <c r="B28" s="8" t="s">
        <v>138</v>
      </c>
      <c r="C28" s="8" t="str">
        <f>_xlfn.CONCAT("bne 0x",A68)</f>
        <v>bne 0x00101510</v>
      </c>
      <c r="D28" s="8"/>
    </row>
    <row r="29" spans="1:4">
      <c r="A29" s="24" t="str">
        <f t="shared" si="1"/>
        <v>00101474</v>
      </c>
      <c r="B29" s="24" t="s">
        <v>139</v>
      </c>
      <c r="C29" s="24" t="s">
        <v>115</v>
      </c>
      <c r="D29" s="24" t="s">
        <v>118</v>
      </c>
    </row>
    <row r="30" spans="1:4">
      <c r="A30" s="24" t="str">
        <f t="shared" si="1"/>
        <v>00101478</v>
      </c>
      <c r="B30" s="24" t="s">
        <v>155</v>
      </c>
      <c r="C30" s="24" t="s">
        <v>96</v>
      </c>
      <c r="D30" s="24"/>
    </row>
    <row r="31" spans="1:4">
      <c r="A31" s="24" t="str">
        <f t="shared" si="1"/>
        <v>0010147C</v>
      </c>
      <c r="B31" s="24" t="s">
        <v>140</v>
      </c>
      <c r="C31" s="24" t="s">
        <v>119</v>
      </c>
      <c r="D31" s="24"/>
    </row>
    <row r="32" spans="1:4">
      <c r="A32" s="24" t="str">
        <f t="shared" si="1"/>
        <v>00101480</v>
      </c>
      <c r="B32" s="24" t="s">
        <v>156</v>
      </c>
      <c r="C32" s="24" t="s">
        <v>116</v>
      </c>
      <c r="D32" s="24" t="s">
        <v>117</v>
      </c>
    </row>
    <row r="33" spans="1:4">
      <c r="A33" s="24" t="str">
        <f t="shared" si="1"/>
        <v>00101484</v>
      </c>
      <c r="B33" s="26" t="s">
        <v>141</v>
      </c>
      <c r="C33" s="24" t="s">
        <v>120</v>
      </c>
      <c r="D33" s="24" t="s">
        <v>122</v>
      </c>
    </row>
    <row r="34" spans="1:4">
      <c r="A34" s="24" t="str">
        <f t="shared" si="1"/>
        <v>00101488</v>
      </c>
      <c r="B34" s="24" t="s">
        <v>142</v>
      </c>
      <c r="C34" s="24" t="s">
        <v>121</v>
      </c>
      <c r="D34" s="24" t="s">
        <v>123</v>
      </c>
    </row>
    <row r="35" spans="1:4">
      <c r="A35" s="24" t="str">
        <f t="shared" si="1"/>
        <v>0010148C</v>
      </c>
      <c r="B35" s="24" t="s">
        <v>143</v>
      </c>
      <c r="C35" s="24" t="str">
        <f>_xlfn.CONCAT("bne 0x",A68)</f>
        <v>bne 0x00101510</v>
      </c>
      <c r="D35" s="24" t="s">
        <v>124</v>
      </c>
    </row>
    <row r="36" spans="1:4">
      <c r="A36" s="25" t="str">
        <f t="shared" si="1"/>
        <v>00101490</v>
      </c>
      <c r="B36" s="25" t="s">
        <v>144</v>
      </c>
      <c r="C36" s="25" t="s">
        <v>128</v>
      </c>
      <c r="D36" s="25" t="s">
        <v>127</v>
      </c>
    </row>
    <row r="37" spans="1:4">
      <c r="A37" s="25" t="str">
        <f t="shared" si="1"/>
        <v>00101494</v>
      </c>
      <c r="B37" s="25" t="s">
        <v>145</v>
      </c>
      <c r="C37" s="25" t="s">
        <v>129</v>
      </c>
      <c r="D37" s="25"/>
    </row>
    <row r="38" spans="1:4">
      <c r="A38" s="25" t="str">
        <f t="shared" si="1"/>
        <v>00101498</v>
      </c>
      <c r="B38" s="25" t="s">
        <v>157</v>
      </c>
      <c r="C38" s="25" t="s">
        <v>130</v>
      </c>
      <c r="D38" s="25"/>
    </row>
    <row r="39" spans="1:4">
      <c r="A39" s="25" t="str">
        <f t="shared" si="1"/>
        <v>0010149C</v>
      </c>
      <c r="B39" s="25" t="s">
        <v>69</v>
      </c>
      <c r="C39" s="25" t="s">
        <v>33</v>
      </c>
      <c r="D39" s="25"/>
    </row>
    <row r="40" spans="1:4">
      <c r="A40" s="11" t="str">
        <f t="shared" si="1"/>
        <v>001014A0</v>
      </c>
      <c r="B40" s="11" t="s">
        <v>54</v>
      </c>
      <c r="C40" s="11" t="s">
        <v>26</v>
      </c>
      <c r="D40" s="11" t="s">
        <v>114</v>
      </c>
    </row>
    <row r="41" spans="1:4">
      <c r="A41" s="11" t="str">
        <f t="shared" si="1"/>
        <v>001014A4</v>
      </c>
      <c r="B41" s="11" t="s">
        <v>55</v>
      </c>
      <c r="C41" s="11" t="s">
        <v>88</v>
      </c>
      <c r="D41" s="11"/>
    </row>
    <row r="42" spans="1:4">
      <c r="A42" s="11" t="str">
        <f t="shared" si="1"/>
        <v>001014A8</v>
      </c>
      <c r="B42" s="11" t="s">
        <v>56</v>
      </c>
      <c r="C42" s="11" t="s">
        <v>85</v>
      </c>
      <c r="D42" s="11"/>
    </row>
    <row r="43" spans="1:4">
      <c r="A43" s="11" t="str">
        <f t="shared" si="1"/>
        <v>001014AC</v>
      </c>
      <c r="B43" s="11" t="s">
        <v>57</v>
      </c>
      <c r="C43" s="11" t="s">
        <v>27</v>
      </c>
      <c r="D43" s="11"/>
    </row>
    <row r="44" spans="1:4">
      <c r="A44" s="11" t="str">
        <f t="shared" si="1"/>
        <v>001014B0</v>
      </c>
      <c r="B44" s="11" t="s">
        <v>158</v>
      </c>
      <c r="C44" s="11" t="s">
        <v>101</v>
      </c>
      <c r="D44" s="11"/>
    </row>
    <row r="45" spans="1:4" ht="15.45" customHeight="1">
      <c r="A45" s="11" t="str">
        <f t="shared" si="1"/>
        <v>001014B4</v>
      </c>
      <c r="B45" s="11" t="s">
        <v>59</v>
      </c>
      <c r="C45" s="11" t="s">
        <v>28</v>
      </c>
      <c r="D45" s="11"/>
    </row>
    <row r="46" spans="1:4">
      <c r="A46" s="12" t="str">
        <f t="shared" si="1"/>
        <v>001014B8</v>
      </c>
      <c r="B46" s="12" t="s">
        <v>60</v>
      </c>
      <c r="C46" s="12" t="s">
        <v>29</v>
      </c>
      <c r="D46" s="12" t="s">
        <v>100</v>
      </c>
    </row>
    <row r="47" spans="1:4">
      <c r="A47" s="12" t="str">
        <f t="shared" si="1"/>
        <v>001014BC</v>
      </c>
      <c r="B47" s="12" t="s">
        <v>159</v>
      </c>
      <c r="C47" s="12" t="s">
        <v>102</v>
      </c>
      <c r="D47" s="12"/>
    </row>
    <row r="48" spans="1:4">
      <c r="A48" s="12" t="str">
        <f t="shared" si="1"/>
        <v>001014C0</v>
      </c>
      <c r="B48" s="12" t="s">
        <v>62</v>
      </c>
      <c r="C48" s="12" t="s">
        <v>30</v>
      </c>
      <c r="D48" s="12"/>
    </row>
    <row r="49" spans="1:4">
      <c r="A49" s="12" t="str">
        <f t="shared" si="1"/>
        <v>001014C4</v>
      </c>
      <c r="B49" s="12" t="s">
        <v>63</v>
      </c>
      <c r="C49" s="12" t="s">
        <v>89</v>
      </c>
      <c r="D49" s="12"/>
    </row>
    <row r="50" spans="1:4">
      <c r="A50" s="13" t="str">
        <f t="shared" si="1"/>
        <v>001014C8</v>
      </c>
      <c r="B50" s="13" t="s">
        <v>64</v>
      </c>
      <c r="C50" s="13" t="s">
        <v>31</v>
      </c>
      <c r="D50" s="13" t="s">
        <v>104</v>
      </c>
    </row>
    <row r="51" spans="1:4">
      <c r="A51" s="13" t="str">
        <f t="shared" si="1"/>
        <v>001014CC</v>
      </c>
      <c r="B51" s="13" t="s">
        <v>146</v>
      </c>
      <c r="C51" s="13" t="s">
        <v>131</v>
      </c>
      <c r="D51" s="13"/>
    </row>
    <row r="52" spans="1:4">
      <c r="A52" s="13" t="str">
        <f t="shared" si="1"/>
        <v>001014D0</v>
      </c>
      <c r="B52" s="13" t="s">
        <v>66</v>
      </c>
      <c r="C52" s="13" t="s">
        <v>32</v>
      </c>
      <c r="D52" s="13"/>
    </row>
    <row r="53" spans="1:4">
      <c r="A53" s="13" t="str">
        <f t="shared" si="1"/>
        <v>001014D4</v>
      </c>
      <c r="B53" s="13" t="s">
        <v>160</v>
      </c>
      <c r="C53" s="13" t="s">
        <v>103</v>
      </c>
      <c r="D53" s="13"/>
    </row>
    <row r="54" spans="1:4">
      <c r="A54" s="14" t="str">
        <f t="shared" si="1"/>
        <v>001014D8</v>
      </c>
      <c r="B54" s="14" t="s">
        <v>68</v>
      </c>
      <c r="C54" s="14" t="s">
        <v>91</v>
      </c>
      <c r="D54" s="14" t="s">
        <v>105</v>
      </c>
    </row>
    <row r="55" spans="1:4">
      <c r="A55" s="14" t="str">
        <f t="shared" si="1"/>
        <v>001014DC</v>
      </c>
      <c r="B55" s="14" t="s">
        <v>69</v>
      </c>
      <c r="C55" s="14" t="s">
        <v>33</v>
      </c>
      <c r="D55" s="14"/>
    </row>
    <row r="56" spans="1:4">
      <c r="A56" s="14" t="str">
        <f t="shared" si="1"/>
        <v>001014E0</v>
      </c>
      <c r="B56" s="14" t="s">
        <v>70</v>
      </c>
      <c r="C56" s="14" t="s">
        <v>92</v>
      </c>
      <c r="D56" s="14"/>
    </row>
    <row r="57" spans="1:4">
      <c r="A57" s="15" t="str">
        <f t="shared" si="1"/>
        <v>001014E4</v>
      </c>
      <c r="B57" s="15" t="s">
        <v>147</v>
      </c>
      <c r="C57" s="15" t="str">
        <f>_xlfn.CONCAT("ldrh r2, [pc, #",HEX2DEC(A69)-HEX2DEC(A57)-8,"]")</f>
        <v>ldrh r2, [pc, #40]</v>
      </c>
      <c r="D57" s="15" t="s">
        <v>107</v>
      </c>
    </row>
    <row r="58" spans="1:4">
      <c r="A58" s="15" t="str">
        <f t="shared" si="1"/>
        <v>001014E8</v>
      </c>
      <c r="B58" s="15" t="s">
        <v>72</v>
      </c>
      <c r="C58" s="15" t="s">
        <v>93</v>
      </c>
      <c r="D58" s="15"/>
    </row>
    <row r="59" spans="1:4">
      <c r="A59" s="15" t="str">
        <f t="shared" si="1"/>
        <v>001014EC</v>
      </c>
      <c r="B59" s="16" t="s">
        <v>73</v>
      </c>
      <c r="C59" s="15" t="s">
        <v>94</v>
      </c>
      <c r="D59" s="15"/>
    </row>
    <row r="60" spans="1:4">
      <c r="A60" s="15" t="str">
        <f t="shared" si="1"/>
        <v>001014F0</v>
      </c>
      <c r="B60" s="15" t="s">
        <v>161</v>
      </c>
      <c r="C60" s="15" t="s">
        <v>106</v>
      </c>
      <c r="D60" s="15"/>
    </row>
    <row r="61" spans="1:4">
      <c r="A61" s="17" t="str">
        <f t="shared" si="1"/>
        <v>001014F4</v>
      </c>
      <c r="B61" s="17" t="s">
        <v>75</v>
      </c>
      <c r="C61" s="17" t="s">
        <v>34</v>
      </c>
      <c r="D61" s="17" t="s">
        <v>110</v>
      </c>
    </row>
    <row r="62" spans="1:4">
      <c r="A62" s="17" t="str">
        <f t="shared" si="1"/>
        <v>001014F8</v>
      </c>
      <c r="B62" s="18" t="s">
        <v>76</v>
      </c>
      <c r="C62" s="17" t="s">
        <v>95</v>
      </c>
      <c r="D62" s="17"/>
    </row>
    <row r="63" spans="1:4">
      <c r="A63" s="17" t="str">
        <f t="shared" si="1"/>
        <v>001014FC</v>
      </c>
      <c r="B63" s="17" t="s">
        <v>162</v>
      </c>
      <c r="C63" s="17" t="s">
        <v>109</v>
      </c>
      <c r="D63" s="17"/>
    </row>
    <row r="64" spans="1:4">
      <c r="A64" s="21" t="str">
        <f t="shared" si="1"/>
        <v>00101500</v>
      </c>
      <c r="B64" s="21" t="s">
        <v>79</v>
      </c>
      <c r="C64" s="21" t="s">
        <v>35</v>
      </c>
      <c r="D64" s="21" t="s">
        <v>113</v>
      </c>
    </row>
    <row r="65" spans="1:4">
      <c r="A65" s="21" t="str">
        <f t="shared" si="1"/>
        <v>00101504</v>
      </c>
      <c r="B65" s="21" t="s">
        <v>66</v>
      </c>
      <c r="C65" s="21" t="s">
        <v>32</v>
      </c>
      <c r="D65" s="21"/>
    </row>
    <row r="66" spans="1:4">
      <c r="A66" s="2" t="str">
        <f t="shared" si="1"/>
        <v>00101508</v>
      </c>
      <c r="B66" s="2" t="s">
        <v>148</v>
      </c>
      <c r="C66" s="2" t="str">
        <f>SUBSTITUTE(C10,"push","pop")</f>
        <v>pop {r4, r5, r6, r7, r8, r9, r10, lr}</v>
      </c>
    </row>
    <row r="67" spans="1:4">
      <c r="A67" s="21" t="str">
        <f t="shared" si="1"/>
        <v>0010150C</v>
      </c>
      <c r="B67" s="21" t="s">
        <v>163</v>
      </c>
      <c r="C67" s="21" t="s">
        <v>112</v>
      </c>
      <c r="D67" s="21"/>
    </row>
    <row r="68" spans="1:4">
      <c r="A68" s="2" t="str">
        <f t="shared" si="1"/>
        <v>00101510</v>
      </c>
      <c r="B68" s="2" t="s">
        <v>149</v>
      </c>
      <c r="C68" s="2" t="str">
        <f>SUBSTITUTE(C66,"lr","pc")</f>
        <v>pop {r4, r5, r6, r7, r8, r9, r10, pc}</v>
      </c>
    </row>
    <row r="69" spans="1:4">
      <c r="A69" s="2" t="str">
        <f t="shared" si="1"/>
        <v>00101514</v>
      </c>
      <c r="B69" s="2">
        <v>38080000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29E1-A27D-47A8-A736-4B306B7FE55F}">
  <dimension ref="A1:D52"/>
  <sheetViews>
    <sheetView topLeftCell="A11" workbookViewId="0">
      <selection activeCell="A3" sqref="A3:D52"/>
    </sheetView>
  </sheetViews>
  <sheetFormatPr defaultRowHeight="15.9"/>
  <cols>
    <col min="1" max="1" width="9.140625" style="2"/>
    <col min="2" max="2" width="9.35546875" style="2" bestFit="1" customWidth="1"/>
    <col min="3" max="3" width="32.2109375" style="2" bestFit="1" customWidth="1"/>
    <col min="4" max="4" width="26.78515625" style="2" bestFit="1" customWidth="1"/>
    <col min="5" max="16384" width="9.140625" style="2"/>
  </cols>
  <sheetData>
    <row r="1" spans="1:4">
      <c r="A1" s="1" t="s">
        <v>3</v>
      </c>
      <c r="B1" s="1" t="s">
        <v>2</v>
      </c>
      <c r="C1" s="1" t="s">
        <v>1</v>
      </c>
      <c r="D1" s="1" t="s">
        <v>0</v>
      </c>
    </row>
    <row r="2" spans="1:4">
      <c r="A2" s="1" t="s">
        <v>18</v>
      </c>
      <c r="B2" s="1"/>
      <c r="C2" s="1"/>
    </row>
    <row r="3" spans="1:4">
      <c r="A3" s="3" t="s">
        <v>19</v>
      </c>
      <c r="B3" s="2" t="s">
        <v>38</v>
      </c>
      <c r="C3" s="2" t="s">
        <v>20</v>
      </c>
    </row>
    <row r="4" spans="1:4">
      <c r="A4" s="2" t="str">
        <f t="shared" ref="A4:A6" si="0">DEC2HEX(HEX2DEC(A3)+4,8)</f>
        <v>000BB150</v>
      </c>
      <c r="B4" s="3" t="s">
        <v>39</v>
      </c>
      <c r="C4" s="2" t="s">
        <v>21</v>
      </c>
    </row>
    <row r="5" spans="1:4">
      <c r="A5" s="2" t="str">
        <f t="shared" si="0"/>
        <v>000BB154</v>
      </c>
      <c r="B5" s="2" t="s">
        <v>40</v>
      </c>
      <c r="C5" s="2" t="s">
        <v>22</v>
      </c>
    </row>
    <row r="6" spans="1:4">
      <c r="A6" s="2" t="str">
        <f t="shared" si="0"/>
        <v>000BB158</v>
      </c>
      <c r="B6" s="2" t="s">
        <v>41</v>
      </c>
      <c r="C6" s="2" t="s">
        <v>23</v>
      </c>
    </row>
    <row r="7" spans="1:4">
      <c r="A7" s="4" t="str">
        <f>DEC2HEX(HEX2DEC(A6)+4,8)</f>
        <v>000BB15C</v>
      </c>
      <c r="B7" s="5" t="s">
        <v>42</v>
      </c>
      <c r="C7" s="4" t="s">
        <v>86</v>
      </c>
      <c r="D7" s="4" t="s">
        <v>97</v>
      </c>
    </row>
    <row r="8" spans="1:4">
      <c r="A8" s="4" t="str">
        <f t="shared" ref="A8:A52" si="1">DEC2HEX(HEX2DEC(A7)+4,8)</f>
        <v>000BB160</v>
      </c>
      <c r="B8" s="4" t="s">
        <v>43</v>
      </c>
      <c r="C8" s="4" t="s">
        <v>96</v>
      </c>
      <c r="D8" s="4"/>
    </row>
    <row r="9" spans="1:4">
      <c r="A9" s="4" t="str">
        <f t="shared" si="1"/>
        <v>000BB164</v>
      </c>
      <c r="B9" s="5" t="s">
        <v>44</v>
      </c>
      <c r="C9" s="4" t="s">
        <v>24</v>
      </c>
      <c r="D9" s="4"/>
    </row>
    <row r="10" spans="1:4">
      <c r="A10" s="4" t="str">
        <f t="shared" si="1"/>
        <v>000BB168</v>
      </c>
      <c r="B10" s="4" t="s">
        <v>45</v>
      </c>
      <c r="C10" s="4" t="str">
        <f>_xlfn.CONCAT("bne 0x",A52)</f>
        <v>bne 0x000BB210</v>
      </c>
      <c r="D10" s="4"/>
    </row>
    <row r="11" spans="1:4">
      <c r="A11" s="8" t="str">
        <f t="shared" si="1"/>
        <v>000BB16C</v>
      </c>
      <c r="B11" s="8" t="s">
        <v>46</v>
      </c>
      <c r="C11" s="8" t="s">
        <v>83</v>
      </c>
      <c r="D11" s="8"/>
    </row>
    <row r="12" spans="1:4">
      <c r="A12" s="8" t="str">
        <f t="shared" si="1"/>
        <v>000BB170</v>
      </c>
      <c r="B12" s="8" t="s">
        <v>47</v>
      </c>
      <c r="C12" s="8" t="s">
        <v>96</v>
      </c>
      <c r="D12" s="8"/>
    </row>
    <row r="13" spans="1:4">
      <c r="A13" s="8" t="str">
        <f t="shared" si="1"/>
        <v>000BB174</v>
      </c>
      <c r="B13" s="9" t="s">
        <v>48</v>
      </c>
      <c r="C13" s="8" t="s">
        <v>87</v>
      </c>
      <c r="D13" s="8"/>
    </row>
    <row r="14" spans="1:4">
      <c r="A14" s="8" t="str">
        <f t="shared" si="1"/>
        <v>000BB178</v>
      </c>
      <c r="B14" s="8" t="s">
        <v>49</v>
      </c>
      <c r="C14" s="8" t="str">
        <f>_xlfn.CONCAT("bne 0x",A52)</f>
        <v>bne 0x000BB210</v>
      </c>
      <c r="D14" s="8"/>
    </row>
    <row r="15" spans="1:4">
      <c r="A15" s="10" t="str">
        <f t="shared" si="1"/>
        <v>000BB17C</v>
      </c>
      <c r="B15" s="10" t="s">
        <v>50</v>
      </c>
      <c r="C15" s="10" t="s">
        <v>84</v>
      </c>
      <c r="D15" s="10" t="s">
        <v>98</v>
      </c>
    </row>
    <row r="16" spans="1:4">
      <c r="A16" s="10" t="str">
        <f t="shared" si="1"/>
        <v>000BB180</v>
      </c>
      <c r="B16" s="10" t="s">
        <v>51</v>
      </c>
      <c r="C16" s="10" t="s">
        <v>96</v>
      </c>
      <c r="D16" s="10"/>
    </row>
    <row r="17" spans="1:4">
      <c r="A17" s="10" t="str">
        <f t="shared" si="1"/>
        <v>000BB184</v>
      </c>
      <c r="B17" s="10" t="s">
        <v>52</v>
      </c>
      <c r="C17" s="10" t="s">
        <v>25</v>
      </c>
      <c r="D17" s="10"/>
    </row>
    <row r="18" spans="1:4">
      <c r="A18" s="10" t="str">
        <f t="shared" si="1"/>
        <v>000BB188</v>
      </c>
      <c r="B18" s="10" t="s">
        <v>53</v>
      </c>
      <c r="C18" s="10" t="str">
        <f>_xlfn.CONCAT("bne 0x",A52)</f>
        <v>bne 0x000BB210</v>
      </c>
      <c r="D18" s="10"/>
    </row>
    <row r="19" spans="1:4">
      <c r="A19" s="11" t="str">
        <f t="shared" si="1"/>
        <v>000BB18C</v>
      </c>
      <c r="B19" s="11" t="s">
        <v>54</v>
      </c>
      <c r="C19" s="11" t="s">
        <v>26</v>
      </c>
      <c r="D19" s="11" t="s">
        <v>99</v>
      </c>
    </row>
    <row r="20" spans="1:4">
      <c r="A20" s="11" t="str">
        <f t="shared" si="1"/>
        <v>000BB190</v>
      </c>
      <c r="B20" s="11" t="s">
        <v>55</v>
      </c>
      <c r="C20" s="11" t="s">
        <v>88</v>
      </c>
      <c r="D20" s="11"/>
    </row>
    <row r="21" spans="1:4">
      <c r="A21" s="11" t="str">
        <f t="shared" si="1"/>
        <v>000BB194</v>
      </c>
      <c r="B21" s="11" t="s">
        <v>56</v>
      </c>
      <c r="C21" s="11" t="s">
        <v>85</v>
      </c>
      <c r="D21" s="11"/>
    </row>
    <row r="22" spans="1:4">
      <c r="A22" s="11" t="str">
        <f t="shared" si="1"/>
        <v>000BB198</v>
      </c>
      <c r="B22" s="11" t="s">
        <v>57</v>
      </c>
      <c r="C22" s="11" t="s">
        <v>27</v>
      </c>
      <c r="D22" s="11"/>
    </row>
    <row r="23" spans="1:4">
      <c r="A23" s="11" t="str">
        <f t="shared" si="1"/>
        <v>000BB19C</v>
      </c>
      <c r="B23" s="11" t="s">
        <v>58</v>
      </c>
      <c r="C23" s="11" t="s">
        <v>101</v>
      </c>
      <c r="D23" s="11"/>
    </row>
    <row r="24" spans="1:4">
      <c r="A24" s="11" t="str">
        <f t="shared" si="1"/>
        <v>000BB1A0</v>
      </c>
      <c r="B24" s="11" t="s">
        <v>59</v>
      </c>
      <c r="C24" s="11" t="s">
        <v>28</v>
      </c>
      <c r="D24" s="11"/>
    </row>
    <row r="25" spans="1:4">
      <c r="A25" s="12" t="str">
        <f t="shared" si="1"/>
        <v>000BB1A4</v>
      </c>
      <c r="B25" s="12" t="s">
        <v>60</v>
      </c>
      <c r="C25" s="12" t="s">
        <v>29</v>
      </c>
      <c r="D25" s="12" t="s">
        <v>100</v>
      </c>
    </row>
    <row r="26" spans="1:4">
      <c r="A26" s="12" t="str">
        <f t="shared" si="1"/>
        <v>000BB1A8</v>
      </c>
      <c r="B26" s="12" t="s">
        <v>61</v>
      </c>
      <c r="C26" s="12" t="s">
        <v>102</v>
      </c>
      <c r="D26" s="12"/>
    </row>
    <row r="27" spans="1:4">
      <c r="A27" s="12" t="str">
        <f t="shared" si="1"/>
        <v>000BB1AC</v>
      </c>
      <c r="B27" s="12" t="s">
        <v>62</v>
      </c>
      <c r="C27" s="12" t="s">
        <v>30</v>
      </c>
      <c r="D27" s="12"/>
    </row>
    <row r="28" spans="1:4">
      <c r="A28" s="12" t="str">
        <f t="shared" si="1"/>
        <v>000BB1B0</v>
      </c>
      <c r="B28" s="12" t="s">
        <v>63</v>
      </c>
      <c r="C28" s="12" t="s">
        <v>89</v>
      </c>
      <c r="D28" s="12"/>
    </row>
    <row r="29" spans="1:4">
      <c r="A29" s="13" t="str">
        <f t="shared" si="1"/>
        <v>000BB1B4</v>
      </c>
      <c r="B29" s="13" t="s">
        <v>64</v>
      </c>
      <c r="C29" s="13" t="s">
        <v>31</v>
      </c>
      <c r="D29" s="13" t="s">
        <v>104</v>
      </c>
    </row>
    <row r="30" spans="1:4">
      <c r="A30" s="13" t="str">
        <f t="shared" si="1"/>
        <v>000BB1B8</v>
      </c>
      <c r="B30" s="13" t="s">
        <v>65</v>
      </c>
      <c r="C30" s="13" t="s">
        <v>90</v>
      </c>
      <c r="D30" s="13"/>
    </row>
    <row r="31" spans="1:4">
      <c r="A31" s="13" t="str">
        <f t="shared" si="1"/>
        <v>000BB1BC</v>
      </c>
      <c r="B31" s="13" t="s">
        <v>66</v>
      </c>
      <c r="C31" s="13" t="s">
        <v>32</v>
      </c>
      <c r="D31" s="13"/>
    </row>
    <row r="32" spans="1:4">
      <c r="A32" s="13" t="str">
        <f t="shared" si="1"/>
        <v>000BB1C0</v>
      </c>
      <c r="B32" s="13" t="s">
        <v>67</v>
      </c>
      <c r="C32" s="13" t="s">
        <v>103</v>
      </c>
      <c r="D32" s="13"/>
    </row>
    <row r="33" spans="1:4">
      <c r="A33" s="14" t="str">
        <f t="shared" si="1"/>
        <v>000BB1C4</v>
      </c>
      <c r="B33" s="14" t="s">
        <v>68</v>
      </c>
      <c r="C33" s="14" t="s">
        <v>91</v>
      </c>
      <c r="D33" s="14" t="s">
        <v>105</v>
      </c>
    </row>
    <row r="34" spans="1:4">
      <c r="A34" s="14" t="str">
        <f t="shared" si="1"/>
        <v>000BB1C8</v>
      </c>
      <c r="B34" s="14" t="s">
        <v>69</v>
      </c>
      <c r="C34" s="14" t="s">
        <v>33</v>
      </c>
      <c r="D34" s="14"/>
    </row>
    <row r="35" spans="1:4">
      <c r="A35" s="14" t="str">
        <f t="shared" si="1"/>
        <v>000BB1CC</v>
      </c>
      <c r="B35" s="14" t="s">
        <v>70</v>
      </c>
      <c r="C35" s="14" t="s">
        <v>92</v>
      </c>
      <c r="D35" s="14"/>
    </row>
    <row r="36" spans="1:4">
      <c r="A36" s="15" t="str">
        <f t="shared" si="1"/>
        <v>000BB1D0</v>
      </c>
      <c r="B36" s="15" t="s">
        <v>71</v>
      </c>
      <c r="C36" s="15" t="s">
        <v>108</v>
      </c>
      <c r="D36" s="15" t="s">
        <v>107</v>
      </c>
    </row>
    <row r="37" spans="1:4">
      <c r="A37" s="15" t="str">
        <f t="shared" si="1"/>
        <v>000BB1D4</v>
      </c>
      <c r="B37" s="15" t="s">
        <v>72</v>
      </c>
      <c r="C37" s="15" t="s">
        <v>93</v>
      </c>
      <c r="D37" s="15"/>
    </row>
    <row r="38" spans="1:4">
      <c r="A38" s="15" t="str">
        <f t="shared" si="1"/>
        <v>000BB1D8</v>
      </c>
      <c r="B38" s="16" t="s">
        <v>73</v>
      </c>
      <c r="C38" s="15" t="s">
        <v>94</v>
      </c>
      <c r="D38" s="15"/>
    </row>
    <row r="39" spans="1:4">
      <c r="A39" s="15" t="str">
        <f t="shared" si="1"/>
        <v>000BB1DC</v>
      </c>
      <c r="B39" s="15" t="s">
        <v>74</v>
      </c>
      <c r="C39" s="15" t="s">
        <v>106</v>
      </c>
      <c r="D39" s="15"/>
    </row>
    <row r="40" spans="1:4">
      <c r="A40" s="17" t="str">
        <f t="shared" si="1"/>
        <v>000BB1E0</v>
      </c>
      <c r="B40" s="17" t="s">
        <v>75</v>
      </c>
      <c r="C40" s="17" t="s">
        <v>34</v>
      </c>
      <c r="D40" s="17" t="s">
        <v>110</v>
      </c>
    </row>
    <row r="41" spans="1:4">
      <c r="A41" s="17" t="str">
        <f t="shared" si="1"/>
        <v>000BB1E4</v>
      </c>
      <c r="B41" s="18" t="s">
        <v>76</v>
      </c>
      <c r="C41" s="17" t="s">
        <v>95</v>
      </c>
      <c r="D41" s="17"/>
    </row>
    <row r="42" spans="1:4">
      <c r="A42" s="17" t="str">
        <f t="shared" si="1"/>
        <v>000BB1E8</v>
      </c>
      <c r="B42" s="17" t="s">
        <v>77</v>
      </c>
      <c r="C42" s="17" t="s">
        <v>109</v>
      </c>
      <c r="D42" s="17"/>
    </row>
    <row r="43" spans="1:4">
      <c r="A43" s="19" t="str">
        <f t="shared" si="1"/>
        <v>000BB1EC</v>
      </c>
      <c r="B43" s="19" t="s">
        <v>54</v>
      </c>
      <c r="C43" s="19" t="s">
        <v>26</v>
      </c>
      <c r="D43" s="19" t="s">
        <v>111</v>
      </c>
    </row>
    <row r="44" spans="1:4">
      <c r="A44" s="19" t="str">
        <f t="shared" si="1"/>
        <v>000BB1F0</v>
      </c>
      <c r="B44" s="19" t="s">
        <v>56</v>
      </c>
      <c r="C44" s="19" t="s">
        <v>85</v>
      </c>
      <c r="D44" s="19"/>
    </row>
    <row r="45" spans="1:4">
      <c r="A45" s="19" t="str">
        <f t="shared" si="1"/>
        <v>000BB1F4</v>
      </c>
      <c r="B45" s="19" t="s">
        <v>59</v>
      </c>
      <c r="C45" s="19" t="s">
        <v>28</v>
      </c>
      <c r="D45" s="19"/>
    </row>
    <row r="46" spans="1:4">
      <c r="A46" s="19" t="str">
        <f t="shared" si="1"/>
        <v>000BB1F8</v>
      </c>
      <c r="B46" s="20" t="s">
        <v>76</v>
      </c>
      <c r="C46" s="19" t="s">
        <v>95</v>
      </c>
      <c r="D46" s="19"/>
    </row>
    <row r="47" spans="1:4">
      <c r="A47" s="19" t="str">
        <f t="shared" si="1"/>
        <v>000BB1FC</v>
      </c>
      <c r="B47" s="19" t="s">
        <v>78</v>
      </c>
      <c r="C47" s="19" t="s">
        <v>109</v>
      </c>
      <c r="D47" s="19"/>
    </row>
    <row r="48" spans="1:4">
      <c r="A48" s="21" t="str">
        <f t="shared" si="1"/>
        <v>000BB200</v>
      </c>
      <c r="B48" s="21" t="s">
        <v>79</v>
      </c>
      <c r="C48" s="21" t="s">
        <v>35</v>
      </c>
      <c r="D48" s="21" t="s">
        <v>113</v>
      </c>
    </row>
    <row r="49" spans="1:4">
      <c r="A49" s="21" t="str">
        <f t="shared" si="1"/>
        <v>000BB204</v>
      </c>
      <c r="B49" s="21" t="s">
        <v>66</v>
      </c>
      <c r="C49" s="21" t="s">
        <v>32</v>
      </c>
      <c r="D49" s="21"/>
    </row>
    <row r="50" spans="1:4">
      <c r="A50" s="2" t="str">
        <f t="shared" si="1"/>
        <v>000BB208</v>
      </c>
      <c r="B50" s="2" t="s">
        <v>80</v>
      </c>
      <c r="C50" s="2" t="s">
        <v>36</v>
      </c>
    </row>
    <row r="51" spans="1:4">
      <c r="A51" s="21" t="str">
        <f t="shared" si="1"/>
        <v>000BB20C</v>
      </c>
      <c r="B51" s="21" t="s">
        <v>81</v>
      </c>
      <c r="C51" s="21" t="s">
        <v>112</v>
      </c>
      <c r="D51" s="21"/>
    </row>
    <row r="52" spans="1:4">
      <c r="A52" s="2" t="str">
        <f t="shared" si="1"/>
        <v>000BB210</v>
      </c>
      <c r="B52" s="2" t="s">
        <v>82</v>
      </c>
      <c r="C52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</vt:lpstr>
      <vt:lpstr>original Shell Bell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2026-06-18T19:18:16Z</dcterms:modified>
</cp:coreProperties>
</file>