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EE9CAF29-FD9D-4B66-92C4-4FE1443779A4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edited bag.cro" sheetId="14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14" l="1"/>
  <c r="C48" i="14"/>
  <c r="A59" i="14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47" i="14"/>
  <c r="A48" i="14" s="1"/>
  <c r="A49" i="14" s="1"/>
  <c r="C55" i="14"/>
  <c r="A37" i="14"/>
  <c r="A38" i="14" s="1"/>
  <c r="A39" i="14" s="1"/>
  <c r="A40" i="14" s="1"/>
  <c r="A41" i="14" s="1"/>
  <c r="A42" i="14" s="1"/>
  <c r="A43" i="14" s="1"/>
  <c r="A44" i="14" s="1"/>
  <c r="A45" i="14" s="1"/>
  <c r="A46" i="14" s="1"/>
  <c r="C32" i="14"/>
  <c r="C26" i="14"/>
  <c r="A30" i="14"/>
  <c r="A31" i="14" s="1"/>
  <c r="A32" i="14" s="1"/>
  <c r="A33" i="14" s="1"/>
  <c r="C14" i="14"/>
  <c r="A18" i="14"/>
  <c r="A19" i="14" s="1"/>
  <c r="A20" i="14" s="1"/>
  <c r="A21" i="14" s="1"/>
  <c r="A22" i="14" s="1"/>
  <c r="A23" i="14" s="1"/>
  <c r="A24" i="14" s="1"/>
  <c r="C2" i="14"/>
  <c r="A6" i="14"/>
  <c r="A7" i="14" s="1"/>
  <c r="A8" i="14" s="1"/>
  <c r="A9" i="14" s="1"/>
  <c r="A10" i="14" s="1"/>
  <c r="A11" i="14" s="1"/>
  <c r="A12" i="14" s="1"/>
  <c r="A50" i="14" l="1"/>
  <c r="A51" i="14" s="1"/>
  <c r="A52" i="14" s="1"/>
  <c r="A53" i="14" s="1"/>
  <c r="A54" i="14" s="1"/>
  <c r="A55" i="14" s="1"/>
</calcChain>
</file>

<file path=xl/sharedStrings.xml><?xml version="1.0" encoding="utf-8"?>
<sst xmlns="http://schemas.openxmlformats.org/spreadsheetml/2006/main" count="56" uniqueCount="53">
  <si>
    <t>Address</t>
  </si>
  <si>
    <t>Hex</t>
  </si>
  <si>
    <t>instruction</t>
  </si>
  <si>
    <t>notes</t>
  </si>
  <si>
    <t>mov r0, r5</t>
  </si>
  <si>
    <t>push {r4, r5, r6, lr}</t>
  </si>
  <si>
    <t>mov r4, r0</t>
  </si>
  <si>
    <t>mov r5, r0</t>
  </si>
  <si>
    <t>mov r2, r5</t>
  </si>
  <si>
    <t>push {r4, r5, r6, r7, r8, lr}</t>
  </si>
  <si>
    <t>mov r0, r4</t>
  </si>
  <si>
    <t>000DCBC</t>
  </si>
  <si>
    <t>originally branches to DCFC if false</t>
  </si>
  <si>
    <t>Diversion, return 1 if Nature Berry</t>
  </si>
  <si>
    <t>000099DC</t>
  </si>
  <si>
    <t>originally branches to 9A50 if false</t>
  </si>
  <si>
    <t>00006150</t>
  </si>
  <si>
    <t>originally branches to 66B4</t>
  </si>
  <si>
    <t>Text, set 0x18 to r4, 0x4</t>
  </si>
  <si>
    <t>Check if r0 is 0x18, if yes do Nature Mint, otherwise bne to 66B4</t>
  </si>
  <si>
    <t>cmp r0, 0x18</t>
  </si>
  <si>
    <t>bne 0x000066B4</t>
  </si>
  <si>
    <t>end</t>
  </si>
  <si>
    <t>b 0x000066B4</t>
  </si>
  <si>
    <t>Change Nature hopefully</t>
  </si>
  <si>
    <t>mov r8, 0x2</t>
  </si>
  <si>
    <t>mov r6, 0x1</t>
  </si>
  <si>
    <t>mov r7, 0x0</t>
  </si>
  <si>
    <t>ldr r0, [r4, 0x7c]</t>
  </si>
  <si>
    <t>bl 0x00009C80</t>
  </si>
  <si>
    <t>add r1, r0, 0xFF</t>
  </si>
  <si>
    <t>ldr r0, [r4, 0x28]</t>
  </si>
  <si>
    <t>ldr r0, [r0, 0x4]</t>
  </si>
  <si>
    <t>bl 0x000005E0</t>
  </si>
  <si>
    <t>ldrb r3, [r4, 0x106]</t>
  </si>
  <si>
    <t>ldr r0, [r4, 0x70]</t>
  </si>
  <si>
    <t>mov r1</t>
  </si>
  <si>
    <t>parameter for which text in next func</t>
  </si>
  <si>
    <t>bl</t>
  </si>
  <si>
    <t>text</t>
  </si>
  <si>
    <t>strh r8, [r4, 0x76]</t>
  </si>
  <si>
    <t>actual change nature function</t>
  </si>
  <si>
    <t>Change Nature hopefully actual func</t>
  </si>
  <si>
    <t>ldr r5, [r4, #0xc]</t>
  </si>
  <si>
    <t>mov r4</t>
  </si>
  <si>
    <t>r4 is new nature value</t>
  </si>
  <si>
    <t>bl 0x0032258C in loaded code.bin</t>
  </si>
  <si>
    <t>mov r1, 0x1</t>
  </si>
  <si>
    <t>bl 0x004AD588 in loaded code.bin</t>
  </si>
  <si>
    <t>ldrb r1, [r0, 0xD]</t>
  </si>
  <si>
    <t>Nature byte - find it</t>
  </si>
  <si>
    <t>strb r1, [r0, 0xD</t>
  </si>
  <si>
    <t>set new 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</si>
</sst>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05F7-4D94-4F23-A885-4D83B555E777}">
  <dimension ref="A1:D71"/>
  <sheetViews>
    <sheetView tabSelected="1" zoomScale="85" zoomScaleNormal="85" workbookViewId="0">
      <pane ySplit="1" topLeftCell="A2" activePane="bottomLeft" state="frozen"/>
      <selection pane="bottomLeft" activeCell="D26" sqref="D26"/>
    </sheetView>
  </sheetViews>
  <sheetFormatPr defaultColWidth="9.2109375" defaultRowHeight="15.9"/>
  <cols>
    <col min="1" max="1" width="10.78515625" style="2" customWidth="1"/>
    <col min="2" max="2" width="10.0703125" style="2" bestFit="1" customWidth="1"/>
    <col min="3" max="3" width="47.7109375" style="2" bestFit="1" customWidth="1"/>
    <col min="4" max="4" width="60.5" style="5" customWidth="1"/>
    <col min="5" max="5" width="10.0703125" style="2" bestFit="1" customWidth="1"/>
    <col min="6" max="6" width="12.35546875" style="2" bestFit="1" customWidth="1"/>
    <col min="7" max="7" width="5.42578125" style="2" bestFit="1" customWidth="1"/>
    <col min="8" max="8" width="13.640625" style="2" bestFit="1" customWidth="1"/>
    <col min="9" max="10" width="3.140625" style="2" bestFit="1" customWidth="1"/>
    <col min="11" max="16384" width="9.2109375" style="2"/>
  </cols>
  <sheetData>
    <row r="1" spans="1:4">
      <c r="A1" s="1" t="s">
        <v>0</v>
      </c>
      <c r="B1" s="1" t="s">
        <v>1</v>
      </c>
      <c r="C1" s="1" t="s">
        <v>2</v>
      </c>
      <c r="D1" s="4" t="s">
        <v>3</v>
      </c>
    </row>
    <row r="2" spans="1:4">
      <c r="A2" s="3" t="s">
        <v>11</v>
      </c>
      <c r="C2" s="2" t="str">
        <f>_xlfn.CONCAT("bne 0x",A5)</f>
        <v>bne 0x0</v>
      </c>
      <c r="D2" s="5" t="s">
        <v>12</v>
      </c>
    </row>
    <row r="3" spans="1:4">
      <c r="A3" s="1"/>
      <c r="B3" s="1"/>
      <c r="C3" s="1"/>
      <c r="D3" s="4"/>
    </row>
    <row r="4" spans="1:4">
      <c r="A4" s="1" t="s">
        <v>13</v>
      </c>
    </row>
    <row r="5" spans="1:4">
      <c r="A5" s="2">
        <v>0</v>
      </c>
    </row>
    <row r="6" spans="1:4">
      <c r="A6" s="2" t="str">
        <f>DEC2HEX(4+HEX2DEC(A5),8)</f>
        <v>00000004</v>
      </c>
    </row>
    <row r="7" spans="1:4">
      <c r="A7" s="2" t="str">
        <f t="shared" ref="A7:A12" si="0">DEC2HEX(4+HEX2DEC(A6),8)</f>
        <v>00000008</v>
      </c>
    </row>
    <row r="8" spans="1:4">
      <c r="A8" s="2" t="str">
        <f t="shared" si="0"/>
        <v>0000000C</v>
      </c>
    </row>
    <row r="9" spans="1:4">
      <c r="A9" s="2" t="str">
        <f t="shared" si="0"/>
        <v>00000010</v>
      </c>
    </row>
    <row r="10" spans="1:4">
      <c r="A10" s="2" t="str">
        <f t="shared" si="0"/>
        <v>00000014</v>
      </c>
    </row>
    <row r="11" spans="1:4">
      <c r="A11" s="2" t="str">
        <f t="shared" si="0"/>
        <v>00000018</v>
      </c>
    </row>
    <row r="12" spans="1:4">
      <c r="A12" s="2" t="str">
        <f t="shared" si="0"/>
        <v>0000001C</v>
      </c>
    </row>
    <row r="14" spans="1:4">
      <c r="A14" s="3" t="s">
        <v>14</v>
      </c>
      <c r="C14" s="2" t="str">
        <f>_xlfn.CONCAT("bne 0x",A17)</f>
        <v>bne 0x0</v>
      </c>
      <c r="D14" s="5" t="s">
        <v>15</v>
      </c>
    </row>
    <row r="16" spans="1:4">
      <c r="A16" s="1" t="s">
        <v>18</v>
      </c>
    </row>
    <row r="17" spans="1:4">
      <c r="A17" s="2">
        <v>0</v>
      </c>
    </row>
    <row r="18" spans="1:4">
      <c r="A18" s="2" t="str">
        <f>DEC2HEX(4+HEX2DEC(A17),8)</f>
        <v>00000004</v>
      </c>
    </row>
    <row r="19" spans="1:4">
      <c r="A19" s="2" t="str">
        <f t="shared" ref="A19:A24" si="1">DEC2HEX(4+HEX2DEC(A18),8)</f>
        <v>00000008</v>
      </c>
    </row>
    <row r="20" spans="1:4">
      <c r="A20" s="2" t="str">
        <f t="shared" si="1"/>
        <v>0000000C</v>
      </c>
    </row>
    <row r="21" spans="1:4">
      <c r="A21" s="2" t="str">
        <f t="shared" si="1"/>
        <v>00000010</v>
      </c>
    </row>
    <row r="22" spans="1:4">
      <c r="A22" s="2" t="str">
        <f t="shared" si="1"/>
        <v>00000014</v>
      </c>
    </row>
    <row r="23" spans="1:4">
      <c r="A23" s="2" t="str">
        <f t="shared" si="1"/>
        <v>00000018</v>
      </c>
    </row>
    <row r="24" spans="1:4">
      <c r="A24" s="2" t="str">
        <f t="shared" si="1"/>
        <v>0000001C</v>
      </c>
    </row>
    <row r="26" spans="1:4">
      <c r="A26" s="3" t="s">
        <v>16</v>
      </c>
      <c r="C26" s="2" t="str">
        <f>_xlfn.CONCAT("b 0x",A29)</f>
        <v>b 0x0</v>
      </c>
      <c r="D26" s="5" t="s">
        <v>17</v>
      </c>
    </row>
    <row r="28" spans="1:4">
      <c r="A28" s="1" t="s">
        <v>19</v>
      </c>
    </row>
    <row r="29" spans="1:4">
      <c r="A29" s="2">
        <v>0</v>
      </c>
      <c r="C29" s="2" t="s">
        <v>20</v>
      </c>
    </row>
    <row r="30" spans="1:4">
      <c r="A30" s="2" t="str">
        <f>DEC2HEX(4+HEX2DEC(A29),8)</f>
        <v>00000004</v>
      </c>
      <c r="C30" s="2" t="s">
        <v>21</v>
      </c>
    </row>
    <row r="31" spans="1:4">
      <c r="A31" s="2" t="str">
        <f t="shared" ref="A31:A33" si="2">DEC2HEX(4+HEX2DEC(A30),8)</f>
        <v>00000008</v>
      </c>
      <c r="C31" s="2" t="s">
        <v>10</v>
      </c>
    </row>
    <row r="32" spans="1:4">
      <c r="A32" s="2" t="str">
        <f t="shared" si="2"/>
        <v>0000000C</v>
      </c>
      <c r="C32" s="2" t="str">
        <f>_xlfn.CONCAT("bl 0x",A36)</f>
        <v>bl 0x0</v>
      </c>
    </row>
    <row r="33" spans="1:4">
      <c r="A33" s="2" t="str">
        <f t="shared" si="2"/>
        <v>00000010</v>
      </c>
      <c r="C33" s="2" t="s">
        <v>23</v>
      </c>
      <c r="D33" s="5" t="s">
        <v>22</v>
      </c>
    </row>
    <row r="35" spans="1:4">
      <c r="A35" s="1" t="s">
        <v>24</v>
      </c>
    </row>
    <row r="36" spans="1:4">
      <c r="A36" s="2">
        <v>0</v>
      </c>
      <c r="C36" s="2" t="s">
        <v>9</v>
      </c>
    </row>
    <row r="37" spans="1:4">
      <c r="A37" s="2" t="str">
        <f t="shared" ref="A37:A55" si="3">DEC2HEX(4+HEX2DEC(A36),8)</f>
        <v>00000004</v>
      </c>
      <c r="C37" s="2" t="s">
        <v>6</v>
      </c>
    </row>
    <row r="38" spans="1:4">
      <c r="A38" s="2" t="str">
        <f t="shared" si="3"/>
        <v>00000008</v>
      </c>
      <c r="C38" s="2" t="s">
        <v>25</v>
      </c>
    </row>
    <row r="39" spans="1:4">
      <c r="A39" s="2" t="str">
        <f t="shared" si="3"/>
        <v>0000000C</v>
      </c>
      <c r="C39" s="2" t="s">
        <v>26</v>
      </c>
    </row>
    <row r="40" spans="1:4">
      <c r="A40" s="2" t="str">
        <f t="shared" si="3"/>
        <v>00000010</v>
      </c>
      <c r="C40" s="2" t="s">
        <v>27</v>
      </c>
    </row>
    <row r="41" spans="1:4">
      <c r="A41" s="2" t="str">
        <f t="shared" si="3"/>
        <v>00000014</v>
      </c>
      <c r="C41" s="2" t="s">
        <v>28</v>
      </c>
    </row>
    <row r="42" spans="1:4">
      <c r="A42" s="2" t="str">
        <f t="shared" si="3"/>
        <v>00000018</v>
      </c>
      <c r="C42" s="2" t="s">
        <v>29</v>
      </c>
    </row>
    <row r="43" spans="1:4">
      <c r="A43" s="2" t="str">
        <f t="shared" si="3"/>
        <v>0000001C</v>
      </c>
      <c r="C43" s="2" t="s">
        <v>30</v>
      </c>
    </row>
    <row r="44" spans="1:4">
      <c r="A44" s="2" t="str">
        <f t="shared" si="3"/>
        <v>00000020</v>
      </c>
      <c r="C44" s="2" t="s">
        <v>31</v>
      </c>
    </row>
    <row r="45" spans="1:4">
      <c r="A45" s="2" t="str">
        <f t="shared" si="3"/>
        <v>00000024</v>
      </c>
      <c r="C45" s="2" t="s">
        <v>32</v>
      </c>
    </row>
    <row r="46" spans="1:4">
      <c r="A46" s="2" t="str">
        <f t="shared" si="3"/>
        <v>00000028</v>
      </c>
      <c r="C46" s="2" t="s">
        <v>33</v>
      </c>
    </row>
    <row r="47" spans="1:4">
      <c r="A47" s="2" t="str">
        <f t="shared" si="3"/>
        <v>0000002C</v>
      </c>
      <c r="C47" s="2" t="s">
        <v>7</v>
      </c>
    </row>
    <row r="48" spans="1:4">
      <c r="A48" s="2" t="str">
        <f t="shared" si="3"/>
        <v>00000030</v>
      </c>
      <c r="C48" s="2" t="str">
        <f>_xlfn.CONCAT("bl 0x",A58)</f>
        <v>bl 0x0</v>
      </c>
      <c r="D48" s="5" t="s">
        <v>41</v>
      </c>
    </row>
    <row r="49" spans="1:4">
      <c r="A49" s="2" t="str">
        <f t="shared" si="3"/>
        <v>00000034</v>
      </c>
      <c r="C49" s="2" t="s">
        <v>34</v>
      </c>
    </row>
    <row r="50" spans="1:4">
      <c r="A50" s="2" t="str">
        <f t="shared" si="3"/>
        <v>00000038</v>
      </c>
      <c r="C50" s="2" t="s">
        <v>35</v>
      </c>
    </row>
    <row r="51" spans="1:4">
      <c r="A51" s="2" t="str">
        <f t="shared" si="3"/>
        <v>0000003C</v>
      </c>
      <c r="C51" s="2" t="s">
        <v>8</v>
      </c>
    </row>
    <row r="52" spans="1:4">
      <c r="A52" s="2" t="str">
        <f t="shared" si="3"/>
        <v>00000040</v>
      </c>
      <c r="C52" s="2" t="s">
        <v>36</v>
      </c>
      <c r="D52" s="5" t="s">
        <v>37</v>
      </c>
    </row>
    <row r="53" spans="1:4">
      <c r="A53" s="2" t="str">
        <f t="shared" si="3"/>
        <v>00000044</v>
      </c>
      <c r="C53" s="2" t="s">
        <v>38</v>
      </c>
      <c r="D53" s="5" t="s">
        <v>39</v>
      </c>
    </row>
    <row r="54" spans="1:4">
      <c r="A54" s="2" t="str">
        <f t="shared" si="3"/>
        <v>00000048</v>
      </c>
      <c r="C54" s="2" t="s">
        <v>40</v>
      </c>
    </row>
    <row r="55" spans="1:4">
      <c r="A55" s="2" t="str">
        <f t="shared" si="3"/>
        <v>0000004C</v>
      </c>
      <c r="C55" s="2" t="str">
        <f>SUBSTITUTE(SUBSTITUTE(C36,"push","pop"),"lr","pc")</f>
        <v>pop {r4, r5, r6, r7, r8, pc}</v>
      </c>
    </row>
    <row r="57" spans="1:4">
      <c r="A57" s="1" t="s">
        <v>42</v>
      </c>
    </row>
    <row r="58" spans="1:4">
      <c r="A58" s="2">
        <v>0</v>
      </c>
      <c r="C58" s="2" t="s">
        <v>5</v>
      </c>
    </row>
    <row r="59" spans="1:4">
      <c r="A59" s="2" t="str">
        <f t="shared" ref="A59:A77" si="4">DEC2HEX(4+HEX2DEC(A58),8)</f>
        <v>00000004</v>
      </c>
      <c r="C59" s="2" t="s">
        <v>6</v>
      </c>
    </row>
    <row r="60" spans="1:4">
      <c r="A60" s="2" t="str">
        <f t="shared" si="4"/>
        <v>00000008</v>
      </c>
      <c r="C60" s="2" t="s">
        <v>43</v>
      </c>
    </row>
    <row r="61" spans="1:4">
      <c r="A61" s="2" t="str">
        <f t="shared" si="4"/>
        <v>0000000C</v>
      </c>
      <c r="C61" s="2" t="s">
        <v>44</v>
      </c>
      <c r="D61" s="5" t="s">
        <v>45</v>
      </c>
    </row>
    <row r="62" spans="1:4">
      <c r="A62" s="2" t="str">
        <f t="shared" si="4"/>
        <v>00000010</v>
      </c>
      <c r="C62" s="2" t="s">
        <v>4</v>
      </c>
    </row>
    <row r="63" spans="1:4">
      <c r="A63" s="2" t="str">
        <f t="shared" si="4"/>
        <v>00000014</v>
      </c>
      <c r="D63" s="5" t="s">
        <v>46</v>
      </c>
    </row>
    <row r="64" spans="1:4">
      <c r="A64" s="2" t="str">
        <f t="shared" si="4"/>
        <v>00000018</v>
      </c>
      <c r="C64" s="2" t="s">
        <v>47</v>
      </c>
    </row>
    <row r="65" spans="1:4">
      <c r="A65" s="2" t="str">
        <f t="shared" si="4"/>
        <v>0000001C</v>
      </c>
      <c r="C65" s="2" t="s">
        <v>4</v>
      </c>
    </row>
    <row r="66" spans="1:4">
      <c r="A66" s="2" t="str">
        <f t="shared" si="4"/>
        <v>00000020</v>
      </c>
      <c r="D66" s="5" t="s">
        <v>48</v>
      </c>
    </row>
    <row r="67" spans="1:4">
      <c r="A67" s="2" t="str">
        <f t="shared" si="4"/>
        <v>00000024</v>
      </c>
      <c r="C67" s="2" t="s">
        <v>49</v>
      </c>
      <c r="D67" s="5" t="s">
        <v>50</v>
      </c>
    </row>
    <row r="68" spans="1:4">
      <c r="A68" s="2" t="str">
        <f t="shared" si="4"/>
        <v>00000028</v>
      </c>
      <c r="D68" s="5" t="s">
        <v>52</v>
      </c>
    </row>
    <row r="69" spans="1:4">
      <c r="A69" s="2" t="str">
        <f t="shared" si="4"/>
        <v>0000002C</v>
      </c>
      <c r="C69" s="2" t="s">
        <v>51</v>
      </c>
    </row>
    <row r="70" spans="1:4">
      <c r="A70" s="2" t="str">
        <f t="shared" si="4"/>
        <v>00000030</v>
      </c>
      <c r="C70" s="2" t="s">
        <v>4</v>
      </c>
    </row>
    <row r="71" spans="1:4">
      <c r="A71" s="2" t="str">
        <f t="shared" si="4"/>
        <v>00000034</v>
      </c>
      <c r="C71" s="2" t="str">
        <f>SUBSTITUTE(C58,"push","pop")</f>
        <v>pop {r4, r5, r6, lr}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edited bag.cro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2026-05-08T01:07:25Z</dcterms:modified>
</cp:coreProperties>
</file>