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9A0B2E3B-F5B6-44FD-A52E-DD115BB931D2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Rewrite" sheetId="8" r:id="rId1"/>
    <sheet name="Edited main" sheetId="6" r:id="rId2"/>
    <sheet name="Sheet1" sheetId="7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8" l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C61" i="8"/>
  <c r="C63" i="8" s="1"/>
  <c r="C37" i="8"/>
  <c r="C39" i="8" s="1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C48" i="8" s="1"/>
  <c r="C32" i="8" l="1"/>
  <c r="C24" i="8"/>
  <c r="A4" i="8"/>
  <c r="A5" i="8" s="1"/>
  <c r="A6" i="8" s="1"/>
  <c r="A7" i="8" s="1"/>
  <c r="C17" i="8" l="1"/>
  <c r="D56" i="6" l="1"/>
  <c r="C42" i="6"/>
  <c r="C44" i="6" s="1"/>
  <c r="A50" i="6" l="1"/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l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C24" i="6" l="1"/>
  <c r="C20" i="6" s="1"/>
  <c r="C28" i="6"/>
  <c r="A45" i="6"/>
  <c r="C25" i="6" s="1"/>
  <c r="A3" i="6"/>
  <c r="A4" i="6" s="1"/>
  <c r="A5" i="6" s="1"/>
  <c r="A6" i="6" s="1"/>
  <c r="A7" i="6" s="1"/>
</calcChain>
</file>

<file path=xl/sharedStrings.xml><?xml version="1.0" encoding="utf-8"?>
<sst xmlns="http://schemas.openxmlformats.org/spreadsheetml/2006/main" count="221" uniqueCount="141">
  <si>
    <t>Address</t>
  </si>
  <si>
    <t>Hex</t>
  </si>
  <si>
    <t>instruction</t>
  </si>
  <si>
    <t>notes</t>
  </si>
  <si>
    <t>bx lr</t>
  </si>
  <si>
    <t>mov r4, r2</t>
  </si>
  <si>
    <t>0240A0E1</t>
  </si>
  <si>
    <t>1EFF2FE1</t>
  </si>
  <si>
    <t>r0</t>
  </si>
  <si>
    <t>r1</t>
  </si>
  <si>
    <t>r2</t>
  </si>
  <si>
    <t>bl 0x00087B58</t>
  </si>
  <si>
    <t>uxth r0, r0</t>
  </si>
  <si>
    <t>Lines for function call</t>
  </si>
  <si>
    <t>00 00 00 00</t>
  </si>
  <si>
    <t>&lt;write relocation patch to actual function here</t>
  </si>
  <si>
    <t>Load Call</t>
  </si>
  <si>
    <t>str r1, [r0]</t>
  </si>
  <si>
    <t>ldr r0, [pc]</t>
  </si>
  <si>
    <t>&lt;pointer to below call via patch table</t>
  </si>
  <si>
    <t>mov r0, 0x12</t>
  </si>
  <si>
    <t>1200A0E3</t>
  </si>
  <si>
    <t>7000FFE6</t>
  </si>
  <si>
    <t>001080E5</t>
  </si>
  <si>
    <t>00009FE5</t>
  </si>
  <si>
    <t>00000000</t>
  </si>
  <si>
    <t>mov r0, 0x3</t>
  </si>
  <si>
    <t>cmp r0, r4</t>
  </si>
  <si>
    <t>mov r1, r0</t>
  </si>
  <si>
    <t>0300A0E3</t>
  </si>
  <si>
    <t>040050E1</t>
  </si>
  <si>
    <t>0010A0E1</t>
  </si>
  <si>
    <t>mov r1, 0x2</t>
  </si>
  <si>
    <t>0210A0E3</t>
  </si>
  <si>
    <t>b 0x0007CCF4</t>
  </si>
  <si>
    <t>mov r6, r1</t>
  </si>
  <si>
    <t>mov r5, 0x3</t>
  </si>
  <si>
    <t>Special Attack</t>
  </si>
  <si>
    <t>check attacking</t>
  </si>
  <si>
    <t>mov r1, 0x8</t>
  </si>
  <si>
    <t>bl 0x000001E8</t>
  </si>
  <si>
    <t>cmp r0, 0x0</t>
  </si>
  <si>
    <t>Check for Sound move</t>
  </si>
  <si>
    <t>mov r2, r4</t>
  </si>
  <si>
    <t>mov r1, 0xD</t>
  </si>
  <si>
    <t>mov r0, r6</t>
  </si>
  <si>
    <t>007646f8</t>
  </si>
  <si>
    <t>bl 0x000876F8</t>
  </si>
  <si>
    <t>mov r2, 0x1</t>
  </si>
  <si>
    <t>strb r5, [r0, 0x4]</t>
  </si>
  <si>
    <t>strb r2, [r0, 0x11]</t>
  </si>
  <si>
    <t>strb r4, [r0, 0xC]</t>
  </si>
  <si>
    <t>strb r2, [r0, 0x10]</t>
  </si>
  <si>
    <t>000FDC30</t>
  </si>
  <si>
    <t>push {r4, r5, r6, lr}</t>
  </si>
  <si>
    <t>70402DE9</t>
  </si>
  <si>
    <t>0160A0E1</t>
  </si>
  <si>
    <t>0350A0E3</t>
  </si>
  <si>
    <t>C327FEEB</t>
  </si>
  <si>
    <t>0810A0E3</t>
  </si>
  <si>
    <t>000050E3</t>
  </si>
  <si>
    <t>0420A0E1</t>
  </si>
  <si>
    <t>0D10A0E3</t>
  </si>
  <si>
    <t>0600A0E1</t>
  </si>
  <si>
    <t>0120A0E3</t>
  </si>
  <si>
    <t>0450C0E5</t>
  </si>
  <si>
    <t>1120C0E5</t>
  </si>
  <si>
    <t>0C40C0E5</t>
  </si>
  <si>
    <t>1020C0E5</t>
  </si>
  <si>
    <t>7040BDE8</t>
  </si>
  <si>
    <t>7080BDE8</t>
  </si>
  <si>
    <t>001081B4</t>
  </si>
  <si>
    <t>47 00 00 00</t>
  </si>
  <si>
    <t>6409FCEB</t>
  </si>
  <si>
    <t>BC27FEEB</t>
  </si>
  <si>
    <t>andeq r0, r0, r0</t>
  </si>
  <si>
    <t>000FDCBC</t>
  </si>
  <si>
    <t>Get pointer to table of Throat Spray use</t>
  </si>
  <si>
    <t>cmp r2, 0x0</t>
  </si>
  <si>
    <t>If already used, do nothing</t>
  </si>
  <si>
    <t>set byte to 1 to show indicate</t>
  </si>
  <si>
    <t>ldrb r2, [r0, r4]</t>
  </si>
  <si>
    <t>strb r2, [r0, r4]</t>
  </si>
  <si>
    <t>1600000A</t>
  </si>
  <si>
    <t>1200001A</t>
  </si>
  <si>
    <t>0420D0E7</t>
  </si>
  <si>
    <t>000052E3</t>
  </si>
  <si>
    <t>0E00001A</t>
  </si>
  <si>
    <t>0420C0E7</t>
  </si>
  <si>
    <t>9826FEEB</t>
  </si>
  <si>
    <t>0EFCFDEA</t>
  </si>
  <si>
    <t>48009FE5</t>
  </si>
  <si>
    <t>mov r1, 0x1</t>
  </si>
  <si>
    <t>0110A0E3</t>
  </si>
  <si>
    <t>Boost SpA 0x47</t>
  </si>
  <si>
    <t>mov r6, r0</t>
  </si>
  <si>
    <t>mov r5, r1</t>
  </si>
  <si>
    <t>Check self attacker</t>
  </si>
  <si>
    <t>mov r1, r4</t>
  </si>
  <si>
    <t>mov r0, r5</t>
  </si>
  <si>
    <t>bl 0x00092298</t>
  </si>
  <si>
    <t>mov r1, 0x3</t>
  </si>
  <si>
    <t>bl 0x00091A88</t>
  </si>
  <si>
    <t>Check Special Attack can be raised 1 stage</t>
  </si>
  <si>
    <t>bl 0x000610E0</t>
  </si>
  <si>
    <t>b 0x00089E28</t>
  </si>
  <si>
    <t>Check self</t>
  </si>
  <si>
    <t>mov r0, 0x2</t>
  </si>
  <si>
    <t>strb r2, [r1, 0x10]</t>
  </si>
  <si>
    <t>strb r0, [r1, 0x4]</t>
  </si>
  <si>
    <t>strb r2, [r1, 0x11]</t>
  </si>
  <si>
    <t>strb r4, [r1, 0xC]</t>
  </si>
  <si>
    <t>00103624</t>
  </si>
  <si>
    <t>Throat Spray 0x60</t>
  </si>
  <si>
    <t>Throat Spray Boost 0x8A</t>
  </si>
  <si>
    <t>0060A0E1</t>
  </si>
  <si>
    <t>0150A0E1</t>
  </si>
  <si>
    <t>4611FEEB</t>
  </si>
  <si>
    <t>1400001A</t>
  </si>
  <si>
    <t>4211FEEB</t>
  </si>
  <si>
    <t>E3F2FBEB</t>
  </si>
  <si>
    <t>0D00000A</t>
  </si>
  <si>
    <t>0410A0E1</t>
  </si>
  <si>
    <t>0500A0E1</t>
  </si>
  <si>
    <t>0A3BFEEB</t>
  </si>
  <si>
    <t>0310A0E3</t>
  </si>
  <si>
    <t>0339FEEB</t>
  </si>
  <si>
    <t>0500000A</t>
  </si>
  <si>
    <t>9576FDEB</t>
  </si>
  <si>
    <t>E319FEEA</t>
  </si>
  <si>
    <t>0010369C</t>
  </si>
  <si>
    <t>0200A0E3</t>
  </si>
  <si>
    <t>2911FEEB</t>
  </si>
  <si>
    <t>F7FFFF1A</t>
  </si>
  <si>
    <t>0B10FEEB</t>
  </si>
  <si>
    <t>1020C1E5</t>
  </si>
  <si>
    <t>0400C1E5</t>
  </si>
  <si>
    <t>1120C1E5</t>
  </si>
  <si>
    <t>0C40C1E5</t>
  </si>
  <si>
    <t>80E5FDEA</t>
  </si>
  <si>
    <t>000FDCC0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</si>
</sst>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6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3" fillId="2" borderId="0" xfId="0" quotePrefix="1" applyFont="1" applyFill="1"/>
    <xf numFmtId="0" fontId="3" fillId="0" borderId="0" xfId="0" applyFont="1"/>
    <xf numFmtId="0" fontId="3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3" fillId="3" borderId="0" xfId="0" quotePrefix="1" applyFont="1" applyFill="1"/>
    <xf numFmtId="0" fontId="3" fillId="3" borderId="0" xfId="0" applyFont="1" applyFill="1"/>
    <xf numFmtId="0" fontId="2" fillId="4" borderId="0" xfId="0" applyFont="1" applyFill="1"/>
    <xf numFmtId="0" fontId="2" fillId="4" borderId="0" xfId="0" quotePrefix="1" applyFont="1" applyFill="1"/>
    <xf numFmtId="0" fontId="3" fillId="4" borderId="0" xfId="0" applyFont="1" applyFill="1"/>
    <xf numFmtId="0" fontId="2" fillId="5" borderId="0" xfId="0" applyFont="1" applyFill="1"/>
    <xf numFmtId="0" fontId="2" fillId="5" borderId="0" xfId="0" quotePrefix="1" applyFont="1" applyFill="1"/>
    <xf numFmtId="0" fontId="3" fillId="5" borderId="0" xfId="0" applyFont="1" applyFill="1"/>
    <xf numFmtId="0" fontId="2" fillId="6" borderId="0" xfId="0" applyFont="1" applyFill="1"/>
    <xf numFmtId="0" fontId="2" fillId="6" borderId="0" xfId="0" quotePrefix="1" applyFont="1" applyFill="1"/>
    <xf numFmtId="0" fontId="3" fillId="6" borderId="0" xfId="0" applyFont="1" applyFill="1"/>
    <xf numFmtId="0" fontId="3" fillId="0" borderId="0" xfId="0" quotePrefix="1" applyFont="1"/>
    <xf numFmtId="0" fontId="3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B830-E986-4A68-99FD-52586F9FC599}">
  <dimension ref="A1:K63"/>
  <sheetViews>
    <sheetView tabSelected="1" zoomScale="85" zoomScaleNormal="85" workbookViewId="0">
      <pane ySplit="1" topLeftCell="A2" activePane="bottomLeft" state="frozen"/>
      <selection pane="bottomLeft" activeCell="D32" sqref="D32"/>
    </sheetView>
  </sheetViews>
  <sheetFormatPr defaultRowHeight="15.9"/>
  <cols>
    <col min="1" max="1" width="10" style="2" customWidth="1"/>
    <col min="2" max="2" width="12.92578125" style="2" bestFit="1" customWidth="1"/>
    <col min="3" max="3" width="24.0703125" style="2" bestFit="1" customWidth="1"/>
    <col min="4" max="4" width="47.5703125" style="2" bestFit="1" customWidth="1"/>
    <col min="5" max="16384" width="9.140625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I1" s="2" t="s">
        <v>8</v>
      </c>
      <c r="J1" s="2" t="s">
        <v>9</v>
      </c>
      <c r="K1" s="2" t="s">
        <v>10</v>
      </c>
    </row>
    <row r="2" spans="1:11">
      <c r="A2" s="1" t="s">
        <v>16</v>
      </c>
    </row>
    <row r="3" spans="1:11">
      <c r="A3" s="2" t="s">
        <v>140</v>
      </c>
      <c r="B3" s="2" t="s">
        <v>33</v>
      </c>
      <c r="C3" s="2" t="s">
        <v>32</v>
      </c>
    </row>
    <row r="4" spans="1:11">
      <c r="A4" s="2" t="str">
        <f>DEC2HEX(HEX2DEC(A3)+4,8)</f>
        <v>000FDCC4</v>
      </c>
      <c r="B4" s="3" t="s">
        <v>23</v>
      </c>
      <c r="C4" s="2" t="s">
        <v>17</v>
      </c>
    </row>
    <row r="5" spans="1:11">
      <c r="A5" s="2" t="str">
        <f t="shared" ref="A5:A7" si="0">DEC2HEX(HEX2DEC(A4)+4,8)</f>
        <v>000FDCC8</v>
      </c>
      <c r="B5" s="3" t="s">
        <v>24</v>
      </c>
      <c r="C5" s="2" t="s">
        <v>18</v>
      </c>
    </row>
    <row r="6" spans="1:11">
      <c r="A6" s="2" t="str">
        <f t="shared" si="0"/>
        <v>000FDCCC</v>
      </c>
      <c r="B6" s="2" t="s">
        <v>7</v>
      </c>
      <c r="C6" s="2" t="s">
        <v>4</v>
      </c>
    </row>
    <row r="7" spans="1:11">
      <c r="A7" s="2" t="str">
        <f t="shared" si="0"/>
        <v>000FDCD0</v>
      </c>
      <c r="B7" s="3" t="s">
        <v>25</v>
      </c>
    </row>
    <row r="8" spans="1:11">
      <c r="B8" s="3"/>
    </row>
    <row r="9" spans="1:11">
      <c r="A9" s="1" t="s">
        <v>113</v>
      </c>
      <c r="B9" s="1"/>
      <c r="C9" s="1"/>
      <c r="D9" s="1"/>
    </row>
    <row r="10" spans="1:11">
      <c r="A10" s="3" t="s">
        <v>112</v>
      </c>
      <c r="B10" s="2" t="s">
        <v>55</v>
      </c>
      <c r="C10" s="2" t="s">
        <v>54</v>
      </c>
    </row>
    <row r="11" spans="1:11">
      <c r="A11" s="2" t="str">
        <f>DEC2HEX(HEX2DEC(A10)+4,8)</f>
        <v>00103628</v>
      </c>
      <c r="B11" s="2" t="s">
        <v>115</v>
      </c>
      <c r="C11" s="2" t="s">
        <v>95</v>
      </c>
    </row>
    <row r="12" spans="1:11">
      <c r="A12" s="2" t="str">
        <f t="shared" ref="A12:A13" si="1">DEC2HEX(HEX2DEC(A11)+4,8)</f>
        <v>0010362C</v>
      </c>
      <c r="B12" s="2" t="s">
        <v>116</v>
      </c>
      <c r="C12" s="2" t="s">
        <v>96</v>
      </c>
    </row>
    <row r="13" spans="1:11">
      <c r="A13" s="2" t="str">
        <f t="shared" si="1"/>
        <v>00103630</v>
      </c>
      <c r="B13" s="2" t="s">
        <v>6</v>
      </c>
      <c r="C13" s="2" t="s">
        <v>5</v>
      </c>
    </row>
    <row r="14" spans="1:11">
      <c r="A14" s="9" t="str">
        <f t="shared" ref="A14" si="2">DEC2HEX(HEX2DEC(A13)+4,8)</f>
        <v>00103634</v>
      </c>
      <c r="B14" s="9" t="s">
        <v>29</v>
      </c>
      <c r="C14" s="9" t="s">
        <v>26</v>
      </c>
      <c r="D14" s="9" t="s">
        <v>97</v>
      </c>
    </row>
    <row r="15" spans="1:11">
      <c r="A15" s="9" t="str">
        <f t="shared" ref="A15" si="3">DEC2HEX(HEX2DEC(A14)+4,8)</f>
        <v>00103638</v>
      </c>
      <c r="B15" s="9" t="s">
        <v>117</v>
      </c>
      <c r="C15" s="12" t="s">
        <v>11</v>
      </c>
      <c r="D15" s="9"/>
    </row>
    <row r="16" spans="1:11">
      <c r="A16" s="9" t="str">
        <f t="shared" ref="A16" si="4">DEC2HEX(HEX2DEC(A15)+4,8)</f>
        <v>0010363C</v>
      </c>
      <c r="B16" s="10" t="s">
        <v>30</v>
      </c>
      <c r="C16" s="9" t="s">
        <v>27</v>
      </c>
      <c r="D16" s="9"/>
    </row>
    <row r="17" spans="1:6">
      <c r="A17" s="9" t="str">
        <f t="shared" ref="A17" si="5">DEC2HEX(HEX2DEC(A16)+4,8)</f>
        <v>00103640</v>
      </c>
      <c r="B17" s="9" t="s">
        <v>118</v>
      </c>
      <c r="C17" s="9" t="str">
        <f>_xlfn.CONCAT("bne 0x",A$39)</f>
        <v>bne 0x00103698</v>
      </c>
      <c r="D17" s="9"/>
    </row>
    <row r="18" spans="1:6">
      <c r="A18" s="4" t="str">
        <f t="shared" ref="A18" si="6">DEC2HEX(HEX2DEC(A17)+4,8)</f>
        <v>00103644</v>
      </c>
      <c r="B18" s="5" t="s">
        <v>21</v>
      </c>
      <c r="C18" s="4" t="s">
        <v>20</v>
      </c>
      <c r="D18" s="4" t="s">
        <v>42</v>
      </c>
      <c r="E18" s="6"/>
      <c r="F18" s="6"/>
    </row>
    <row r="19" spans="1:6">
      <c r="A19" s="4" t="str">
        <f t="shared" ref="A19" si="7">DEC2HEX(HEX2DEC(A18)+4,8)</f>
        <v>00103648</v>
      </c>
      <c r="B19" s="5" t="s">
        <v>119</v>
      </c>
      <c r="C19" s="7" t="s">
        <v>11</v>
      </c>
      <c r="D19" s="4"/>
      <c r="F19" s="6"/>
    </row>
    <row r="20" spans="1:6">
      <c r="A20" s="4" t="str">
        <f t="shared" ref="A20" si="8">DEC2HEX(HEX2DEC(A19)+4,8)</f>
        <v>0010364C</v>
      </c>
      <c r="B20" s="5" t="s">
        <v>22</v>
      </c>
      <c r="C20" s="7" t="s">
        <v>12</v>
      </c>
      <c r="D20" s="4"/>
      <c r="F20" s="6"/>
    </row>
    <row r="21" spans="1:6">
      <c r="A21" s="4" t="str">
        <f t="shared" ref="A21" si="9">DEC2HEX(HEX2DEC(A20)+4,8)</f>
        <v>00103650</v>
      </c>
      <c r="B21" s="5" t="s">
        <v>59</v>
      </c>
      <c r="C21" s="4" t="s">
        <v>39</v>
      </c>
      <c r="D21" s="4"/>
      <c r="E21" s="6"/>
      <c r="F21" s="6"/>
    </row>
    <row r="22" spans="1:6">
      <c r="A22" s="4" t="str">
        <f t="shared" ref="A22" si="10">DEC2HEX(HEX2DEC(A21)+4,8)</f>
        <v>00103654</v>
      </c>
      <c r="B22" s="4" t="s">
        <v>120</v>
      </c>
      <c r="C22" s="7" t="s">
        <v>40</v>
      </c>
      <c r="D22" s="4"/>
    </row>
    <row r="23" spans="1:6">
      <c r="A23" s="4" t="str">
        <f t="shared" ref="A23" si="11">DEC2HEX(HEX2DEC(A22)+4,8)</f>
        <v>00103658</v>
      </c>
      <c r="B23" s="8" t="s">
        <v>60</v>
      </c>
      <c r="C23" s="4" t="s">
        <v>41</v>
      </c>
      <c r="D23" s="4"/>
    </row>
    <row r="24" spans="1:6">
      <c r="A24" s="4" t="str">
        <f t="shared" ref="A24" si="12">DEC2HEX(HEX2DEC(A23)+4,8)</f>
        <v>0010365C</v>
      </c>
      <c r="B24" s="8" t="s">
        <v>121</v>
      </c>
      <c r="C24" s="7" t="str">
        <f>_xlfn.CONCAT("beq 0x",A39)</f>
        <v>beq 0x00103698</v>
      </c>
      <c r="D24" s="4"/>
    </row>
    <row r="25" spans="1:6">
      <c r="A25" s="13" t="str">
        <f t="shared" ref="A25" si="13">DEC2HEX(HEX2DEC(A24)+4,8)</f>
        <v>00103660</v>
      </c>
      <c r="B25" s="14" t="s">
        <v>122</v>
      </c>
      <c r="C25" s="13" t="s">
        <v>98</v>
      </c>
      <c r="D25" s="13" t="s">
        <v>103</v>
      </c>
    </row>
    <row r="26" spans="1:6">
      <c r="A26" s="13" t="str">
        <f t="shared" ref="A26" si="14">DEC2HEX(HEX2DEC(A25)+4,8)</f>
        <v>00103664</v>
      </c>
      <c r="B26" s="23" t="s">
        <v>123</v>
      </c>
      <c r="C26" s="13" t="s">
        <v>99</v>
      </c>
      <c r="D26" s="13"/>
    </row>
    <row r="27" spans="1:6">
      <c r="A27" s="13" t="str">
        <f t="shared" ref="A27" si="15">DEC2HEX(HEX2DEC(A26)+4,8)</f>
        <v>00103668</v>
      </c>
      <c r="B27" s="23" t="s">
        <v>124</v>
      </c>
      <c r="C27" s="13" t="s">
        <v>100</v>
      </c>
      <c r="D27" s="13"/>
    </row>
    <row r="28" spans="1:6">
      <c r="A28" s="13" t="str">
        <f t="shared" ref="A28" si="16">DEC2HEX(HEX2DEC(A27)+4,8)</f>
        <v>0010366C</v>
      </c>
      <c r="B28" s="23" t="s">
        <v>64</v>
      </c>
      <c r="C28" s="13" t="s">
        <v>48</v>
      </c>
      <c r="D28" s="15"/>
    </row>
    <row r="29" spans="1:6">
      <c r="A29" s="13" t="str">
        <f t="shared" ref="A29" si="17">DEC2HEX(HEX2DEC(A28)+4,8)</f>
        <v>00103670</v>
      </c>
      <c r="B29" s="14" t="s">
        <v>125</v>
      </c>
      <c r="C29" s="15" t="s">
        <v>101</v>
      </c>
      <c r="D29" s="13"/>
    </row>
    <row r="30" spans="1:6">
      <c r="A30" s="13" t="str">
        <f t="shared" ref="A30" si="18">DEC2HEX(HEX2DEC(A29)+4,8)</f>
        <v>00103674</v>
      </c>
      <c r="B30" s="14" t="s">
        <v>126</v>
      </c>
      <c r="C30" s="15" t="s">
        <v>102</v>
      </c>
      <c r="D30" s="13"/>
    </row>
    <row r="31" spans="1:6">
      <c r="A31" s="13" t="str">
        <f t="shared" ref="A31" si="19">DEC2HEX(HEX2DEC(A30)+4,8)</f>
        <v>00103678</v>
      </c>
      <c r="B31" s="14" t="s">
        <v>60</v>
      </c>
      <c r="C31" s="15" t="s">
        <v>41</v>
      </c>
      <c r="D31" s="13"/>
    </row>
    <row r="32" spans="1:6">
      <c r="A32" s="13" t="str">
        <f t="shared" ref="A32" si="20">DEC2HEX(HEX2DEC(A31)+4,8)</f>
        <v>0010367C</v>
      </c>
      <c r="B32" s="14" t="s">
        <v>127</v>
      </c>
      <c r="C32" s="15" t="str">
        <f>_xlfn.CONCAT("beq 0x",A39)</f>
        <v>beq 0x00103698</v>
      </c>
      <c r="D32" s="13"/>
    </row>
    <row r="33" spans="1:5">
      <c r="A33" s="2" t="str">
        <f t="shared" ref="A33" si="21">DEC2HEX(HEX2DEC(A32)+4,8)</f>
        <v>00103680</v>
      </c>
      <c r="B33" s="3" t="s">
        <v>63</v>
      </c>
      <c r="C33" s="6" t="s">
        <v>45</v>
      </c>
    </row>
    <row r="34" spans="1:5">
      <c r="A34" s="2" t="str">
        <f t="shared" ref="A34:A39" si="22">DEC2HEX(HEX2DEC(A33)+4,8)</f>
        <v>00103684</v>
      </c>
      <c r="B34" s="3" t="s">
        <v>128</v>
      </c>
      <c r="C34" s="6" t="s">
        <v>104</v>
      </c>
    </row>
    <row r="35" spans="1:5">
      <c r="A35" s="2" t="str">
        <f t="shared" si="22"/>
        <v>00103688</v>
      </c>
      <c r="B35" s="3" t="s">
        <v>61</v>
      </c>
      <c r="C35" s="6" t="s">
        <v>43</v>
      </c>
    </row>
    <row r="36" spans="1:5">
      <c r="A36" s="2" t="str">
        <f t="shared" si="22"/>
        <v>0010368C</v>
      </c>
      <c r="B36" s="3" t="s">
        <v>123</v>
      </c>
      <c r="C36" s="22" t="s">
        <v>99</v>
      </c>
    </row>
    <row r="37" spans="1:5">
      <c r="A37" s="2" t="str">
        <f t="shared" si="22"/>
        <v>00103690</v>
      </c>
      <c r="B37" s="3" t="s">
        <v>69</v>
      </c>
      <c r="C37" s="2" t="str">
        <f>SUBSTITUTE(C10,"push","pop")</f>
        <v>pop {r4, r5, r6, lr}</v>
      </c>
      <c r="D37" s="22"/>
    </row>
    <row r="38" spans="1:5">
      <c r="A38" s="2" t="str">
        <f t="shared" si="22"/>
        <v>00103694</v>
      </c>
      <c r="B38" s="6" t="s">
        <v>129</v>
      </c>
      <c r="C38" s="22" t="s">
        <v>105</v>
      </c>
    </row>
    <row r="39" spans="1:5">
      <c r="A39" s="2" t="str">
        <f t="shared" si="22"/>
        <v>00103698</v>
      </c>
      <c r="B39" s="22" t="s">
        <v>70</v>
      </c>
      <c r="C39" s="2" t="str">
        <f>SUBSTITUTE(C37,"lr","pc")</f>
        <v>pop {r4, r5, r6, pc}</v>
      </c>
      <c r="D39" s="6"/>
    </row>
    <row r="40" spans="1:5">
      <c r="B40" s="3"/>
    </row>
    <row r="41" spans="1:5">
      <c r="A41" s="1" t="s">
        <v>114</v>
      </c>
      <c r="B41" s="1"/>
      <c r="C41" s="1"/>
      <c r="D41" s="1"/>
    </row>
    <row r="42" spans="1:5">
      <c r="A42" s="3" t="s">
        <v>130</v>
      </c>
      <c r="B42" s="2" t="s">
        <v>55</v>
      </c>
      <c r="C42" s="2" t="s">
        <v>54</v>
      </c>
      <c r="E42" s="22"/>
    </row>
    <row r="43" spans="1:5">
      <c r="A43" s="2" t="str">
        <f t="shared" ref="A43:A63" si="23">DEC2HEX(HEX2DEC(A42)+4,8)</f>
        <v>001036A0</v>
      </c>
      <c r="B43" s="2" t="s">
        <v>116</v>
      </c>
      <c r="C43" s="2" t="s">
        <v>96</v>
      </c>
    </row>
    <row r="44" spans="1:5">
      <c r="A44" s="2" t="str">
        <f t="shared" si="23"/>
        <v>001036A4</v>
      </c>
      <c r="B44" s="2" t="s">
        <v>6</v>
      </c>
      <c r="C44" s="2" t="s">
        <v>5</v>
      </c>
    </row>
    <row r="45" spans="1:5">
      <c r="A45" s="9" t="str">
        <f t="shared" si="23"/>
        <v>001036A8</v>
      </c>
      <c r="B45" s="9" t="s">
        <v>131</v>
      </c>
      <c r="C45" s="9" t="s">
        <v>107</v>
      </c>
      <c r="D45" s="9" t="s">
        <v>106</v>
      </c>
    </row>
    <row r="46" spans="1:5">
      <c r="A46" s="9" t="str">
        <f t="shared" si="23"/>
        <v>001036AC</v>
      </c>
      <c r="B46" s="9" t="s">
        <v>132</v>
      </c>
      <c r="C46" s="12" t="s">
        <v>11</v>
      </c>
      <c r="D46" s="9"/>
    </row>
    <row r="47" spans="1:5">
      <c r="A47" s="9" t="str">
        <f t="shared" si="23"/>
        <v>001036B0</v>
      </c>
      <c r="B47" s="10" t="s">
        <v>30</v>
      </c>
      <c r="C47" s="9" t="s">
        <v>27</v>
      </c>
      <c r="D47" s="9"/>
    </row>
    <row r="48" spans="1:5">
      <c r="A48" s="9" t="str">
        <f t="shared" si="23"/>
        <v>001036B4</v>
      </c>
      <c r="B48" s="9" t="s">
        <v>133</v>
      </c>
      <c r="C48" s="9" t="str">
        <f>_xlfn.CONCAT("bne 0x",A$39)</f>
        <v>bne 0x00103698</v>
      </c>
      <c r="D48" s="9"/>
    </row>
    <row r="49" spans="1:4">
      <c r="A49" s="4" t="str">
        <f t="shared" si="23"/>
        <v>001036B8</v>
      </c>
      <c r="B49" s="5" t="s">
        <v>61</v>
      </c>
      <c r="C49" s="4" t="s">
        <v>43</v>
      </c>
      <c r="D49" s="4"/>
    </row>
    <row r="50" spans="1:4">
      <c r="A50" s="4" t="str">
        <f t="shared" si="23"/>
        <v>001036BC</v>
      </c>
      <c r="B50" s="5" t="s">
        <v>62</v>
      </c>
      <c r="C50" s="7" t="s">
        <v>44</v>
      </c>
      <c r="D50" s="4"/>
    </row>
    <row r="51" spans="1:4">
      <c r="A51" s="4" t="str">
        <f t="shared" si="23"/>
        <v>001036C0</v>
      </c>
      <c r="B51" s="5" t="s">
        <v>123</v>
      </c>
      <c r="C51" s="7" t="s">
        <v>99</v>
      </c>
      <c r="D51" s="4"/>
    </row>
    <row r="52" spans="1:4">
      <c r="A52" s="4" t="str">
        <f t="shared" si="23"/>
        <v>001036C4</v>
      </c>
      <c r="B52" s="5" t="s">
        <v>134</v>
      </c>
      <c r="C52" s="4" t="s">
        <v>47</v>
      </c>
      <c r="D52" s="4"/>
    </row>
    <row r="53" spans="1:4">
      <c r="A53" s="13" t="str">
        <f t="shared" si="23"/>
        <v>001036C8</v>
      </c>
      <c r="B53" s="14" t="s">
        <v>31</v>
      </c>
      <c r="C53" s="13" t="s">
        <v>28</v>
      </c>
      <c r="D53" s="13"/>
    </row>
    <row r="54" spans="1:4">
      <c r="A54" s="13" t="str">
        <f t="shared" si="23"/>
        <v>001036CC</v>
      </c>
      <c r="B54" s="23" t="s">
        <v>64</v>
      </c>
      <c r="C54" s="13" t="s">
        <v>48</v>
      </c>
      <c r="D54" s="13"/>
    </row>
    <row r="55" spans="1:4">
      <c r="A55" s="13" t="str">
        <f t="shared" si="23"/>
        <v>001036D0</v>
      </c>
      <c r="B55" s="23" t="s">
        <v>29</v>
      </c>
      <c r="C55" s="13" t="s">
        <v>26</v>
      </c>
      <c r="D55" s="13"/>
    </row>
    <row r="56" spans="1:4">
      <c r="A56" s="13" t="str">
        <f t="shared" si="23"/>
        <v>001036D4</v>
      </c>
      <c r="B56" s="23" t="s">
        <v>135</v>
      </c>
      <c r="C56" s="13" t="s">
        <v>108</v>
      </c>
      <c r="D56" s="15"/>
    </row>
    <row r="57" spans="1:4">
      <c r="A57" s="13" t="str">
        <f t="shared" si="23"/>
        <v>001036D8</v>
      </c>
      <c r="B57" s="14" t="s">
        <v>136</v>
      </c>
      <c r="C57" s="15" t="s">
        <v>109</v>
      </c>
      <c r="D57" s="13"/>
    </row>
    <row r="58" spans="1:4">
      <c r="A58" s="13" t="str">
        <f t="shared" si="23"/>
        <v>001036DC</v>
      </c>
      <c r="B58" s="14" t="s">
        <v>137</v>
      </c>
      <c r="C58" s="15" t="s">
        <v>110</v>
      </c>
      <c r="D58" s="13"/>
    </row>
    <row r="59" spans="1:4">
      <c r="A59" s="13" t="str">
        <f t="shared" si="23"/>
        <v>001036E0</v>
      </c>
      <c r="B59" s="14" t="s">
        <v>123</v>
      </c>
      <c r="C59" s="15" t="s">
        <v>99</v>
      </c>
      <c r="D59" s="13"/>
    </row>
    <row r="60" spans="1:4">
      <c r="A60" s="13" t="str">
        <f t="shared" si="23"/>
        <v>001036E4</v>
      </c>
      <c r="B60" s="14" t="s">
        <v>138</v>
      </c>
      <c r="C60" s="15" t="s">
        <v>111</v>
      </c>
      <c r="D60" s="13"/>
    </row>
    <row r="61" spans="1:4">
      <c r="A61" s="2" t="str">
        <f t="shared" si="23"/>
        <v>001036E8</v>
      </c>
      <c r="B61" s="3" t="s">
        <v>69</v>
      </c>
      <c r="C61" s="2" t="str">
        <f>SUBSTITUTE(C42,"push","pop")</f>
        <v>pop {r4, r5, r6, lr}</v>
      </c>
      <c r="D61" s="22"/>
    </row>
    <row r="62" spans="1:4">
      <c r="A62" s="2" t="str">
        <f t="shared" si="23"/>
        <v>001036EC</v>
      </c>
      <c r="B62" s="6" t="s">
        <v>139</v>
      </c>
      <c r="C62" s="22" t="s">
        <v>34</v>
      </c>
    </row>
    <row r="63" spans="1:4">
      <c r="A63" s="2" t="str">
        <f t="shared" si="23"/>
        <v>001036F0</v>
      </c>
      <c r="B63" s="22" t="s">
        <v>70</v>
      </c>
      <c r="C63" s="2" t="str">
        <f>SUBSTITUTE(C61,"lr","pc")</f>
        <v>pop {r4, r5, r6, pc}</v>
      </c>
      <c r="D63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K68"/>
  <sheetViews>
    <sheetView zoomScale="85" zoomScaleNormal="85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10" style="2" customWidth="1"/>
    <col min="2" max="2" width="12.92578125" style="2" bestFit="1" customWidth="1"/>
    <col min="3" max="3" width="53.0703125" style="2" bestFit="1" customWidth="1"/>
    <col min="4" max="4" width="45.28515625" style="2" bestFit="1" customWidth="1"/>
    <col min="5" max="16384" width="9.140625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I1" s="2" t="s">
        <v>8</v>
      </c>
      <c r="J1" s="2" t="s">
        <v>9</v>
      </c>
      <c r="K1" s="2" t="s">
        <v>10</v>
      </c>
    </row>
    <row r="2" spans="1:11">
      <c r="A2" s="1" t="s">
        <v>16</v>
      </c>
    </row>
    <row r="3" spans="1:11">
      <c r="A3" s="2" t="str">
        <f>DEC2HEX(HEX2DEC(A44)+4,8)</f>
        <v>000FDCBC</v>
      </c>
      <c r="B3" s="2" t="s">
        <v>93</v>
      </c>
      <c r="C3" s="2" t="s">
        <v>92</v>
      </c>
    </row>
    <row r="4" spans="1:11">
      <c r="A4" s="2" t="str">
        <f>DEC2HEX(HEX2DEC(A3)+4,8)</f>
        <v>000FDCC0</v>
      </c>
      <c r="B4" s="3" t="s">
        <v>23</v>
      </c>
      <c r="C4" s="2" t="s">
        <v>17</v>
      </c>
    </row>
    <row r="5" spans="1:11">
      <c r="A5" s="2" t="str">
        <f t="shared" ref="A5:A7" si="0">DEC2HEX(HEX2DEC(A4)+4,8)</f>
        <v>000FDCC4</v>
      </c>
      <c r="B5" s="3" t="s">
        <v>24</v>
      </c>
      <c r="C5" s="2" t="s">
        <v>18</v>
      </c>
    </row>
    <row r="6" spans="1:11">
      <c r="A6" s="2" t="str">
        <f t="shared" si="0"/>
        <v>000FDCC8</v>
      </c>
      <c r="B6" s="2" t="s">
        <v>7</v>
      </c>
      <c r="C6" s="2" t="s">
        <v>4</v>
      </c>
    </row>
    <row r="7" spans="1:11">
      <c r="A7" s="2" t="str">
        <f t="shared" si="0"/>
        <v>000FDCCC</v>
      </c>
      <c r="B7" s="3" t="s">
        <v>25</v>
      </c>
      <c r="C7" s="2" t="s">
        <v>19</v>
      </c>
    </row>
    <row r="8" spans="1:11">
      <c r="B8" s="3"/>
    </row>
    <row r="9" spans="1:11">
      <c r="A9" s="1" t="s">
        <v>94</v>
      </c>
      <c r="B9" s="1"/>
      <c r="C9" s="1"/>
      <c r="D9" s="1"/>
    </row>
    <row r="10" spans="1:11">
      <c r="A10" s="3" t="s">
        <v>53</v>
      </c>
      <c r="B10" s="2" t="s">
        <v>55</v>
      </c>
      <c r="C10" s="2" t="s">
        <v>54</v>
      </c>
    </row>
    <row r="11" spans="1:11">
      <c r="A11" s="2" t="str">
        <f>DEC2HEX(HEX2DEC(A10)+4,8)</f>
        <v>000FDC34</v>
      </c>
      <c r="B11" s="2" t="s">
        <v>56</v>
      </c>
      <c r="C11" s="2" t="s">
        <v>35</v>
      </c>
    </row>
    <row r="12" spans="1:11">
      <c r="A12" s="2" t="str">
        <f t="shared" ref="A12:A36" si="1">DEC2HEX(HEX2DEC(A11)+4,8)</f>
        <v>000FDC38</v>
      </c>
      <c r="B12" s="2" t="s">
        <v>6</v>
      </c>
      <c r="C12" s="2" t="s">
        <v>5</v>
      </c>
    </row>
    <row r="13" spans="1:11">
      <c r="A13" s="2" t="str">
        <f t="shared" si="1"/>
        <v>000FDC3C</v>
      </c>
      <c r="B13" s="2" t="s">
        <v>57</v>
      </c>
      <c r="C13" s="2" t="s">
        <v>36</v>
      </c>
      <c r="D13" s="2" t="s">
        <v>37</v>
      </c>
    </row>
    <row r="14" spans="1:11">
      <c r="A14" s="4" t="str">
        <f t="shared" si="1"/>
        <v>000FDC40</v>
      </c>
      <c r="B14" s="5" t="s">
        <v>21</v>
      </c>
      <c r="C14" s="4" t="s">
        <v>20</v>
      </c>
      <c r="D14" s="4" t="s">
        <v>42</v>
      </c>
      <c r="E14" s="6"/>
      <c r="F14" s="6"/>
    </row>
    <row r="15" spans="1:11">
      <c r="A15" s="4" t="str">
        <f t="shared" si="1"/>
        <v>000FDC44</v>
      </c>
      <c r="B15" s="5" t="s">
        <v>58</v>
      </c>
      <c r="C15" s="7" t="s">
        <v>11</v>
      </c>
      <c r="D15" s="4"/>
      <c r="F15" s="6"/>
    </row>
    <row r="16" spans="1:11">
      <c r="A16" s="4" t="str">
        <f t="shared" si="1"/>
        <v>000FDC48</v>
      </c>
      <c r="B16" s="5" t="s">
        <v>22</v>
      </c>
      <c r="C16" s="7" t="s">
        <v>12</v>
      </c>
      <c r="D16" s="4"/>
      <c r="F16" s="6"/>
    </row>
    <row r="17" spans="1:6">
      <c r="A17" s="4" t="str">
        <f t="shared" si="1"/>
        <v>000FDC4C</v>
      </c>
      <c r="B17" s="5" t="s">
        <v>59</v>
      </c>
      <c r="C17" s="4" t="s">
        <v>39</v>
      </c>
      <c r="D17" s="4"/>
      <c r="E17" s="6"/>
      <c r="F17" s="6"/>
    </row>
    <row r="18" spans="1:6">
      <c r="A18" s="4" t="str">
        <f t="shared" si="1"/>
        <v>000FDC50</v>
      </c>
      <c r="B18" s="4" t="s">
        <v>73</v>
      </c>
      <c r="C18" s="7" t="s">
        <v>40</v>
      </c>
      <c r="D18" s="4"/>
    </row>
    <row r="19" spans="1:6">
      <c r="A19" s="4" t="str">
        <f t="shared" si="1"/>
        <v>000FDC54</v>
      </c>
      <c r="B19" s="8" t="s">
        <v>60</v>
      </c>
      <c r="C19" s="4" t="s">
        <v>41</v>
      </c>
      <c r="D19" s="4"/>
    </row>
    <row r="20" spans="1:6">
      <c r="A20" s="4" t="str">
        <f t="shared" si="1"/>
        <v>000FDC58</v>
      </c>
      <c r="B20" s="8" t="s">
        <v>83</v>
      </c>
      <c r="C20" s="7" t="str">
        <f>SUBSTITUTE(C24,"bne","beq")</f>
        <v>beq 0x000FDCB8</v>
      </c>
      <c r="D20" s="4"/>
    </row>
    <row r="21" spans="1:6">
      <c r="A21" s="9" t="str">
        <f t="shared" si="1"/>
        <v>000FDC5C</v>
      </c>
      <c r="B21" s="10" t="s">
        <v>29</v>
      </c>
      <c r="C21" s="9" t="s">
        <v>26</v>
      </c>
      <c r="D21" s="9" t="s">
        <v>38</v>
      </c>
    </row>
    <row r="22" spans="1:6">
      <c r="A22" s="9" t="str">
        <f t="shared" si="1"/>
        <v>000FDC60</v>
      </c>
      <c r="B22" s="11" t="s">
        <v>74</v>
      </c>
      <c r="C22" s="9" t="s">
        <v>11</v>
      </c>
      <c r="D22" s="9"/>
    </row>
    <row r="23" spans="1:6">
      <c r="A23" s="9" t="str">
        <f t="shared" si="1"/>
        <v>000FDC64</v>
      </c>
      <c r="B23" s="11" t="s">
        <v>30</v>
      </c>
      <c r="C23" s="9" t="s">
        <v>27</v>
      </c>
      <c r="D23" s="9"/>
    </row>
    <row r="24" spans="1:6">
      <c r="A24" s="9" t="str">
        <f t="shared" si="1"/>
        <v>000FDC68</v>
      </c>
      <c r="B24" s="11" t="s">
        <v>84</v>
      </c>
      <c r="C24" s="9" t="str">
        <f>_xlfn.CONCAT("bne 0x",A$44)</f>
        <v>bne 0x000FDCB8</v>
      </c>
      <c r="D24" s="12"/>
    </row>
    <row r="25" spans="1:6">
      <c r="A25" s="13" t="str">
        <f t="shared" si="1"/>
        <v>000FDC6C</v>
      </c>
      <c r="B25" s="14" t="s">
        <v>91</v>
      </c>
      <c r="C25" s="15" t="str">
        <f>_xlfn.CONCAT("ldr r0, [pc, 0x",DEC2HEX(HEX2DEC(A45)-HEX2DEC(A25)-8,3),"]")</f>
        <v>ldr r0, [pc, 0x048]</v>
      </c>
      <c r="D25" s="13" t="s">
        <v>77</v>
      </c>
    </row>
    <row r="26" spans="1:6">
      <c r="A26" s="16" t="str">
        <f t="shared" si="1"/>
        <v>000FDC70</v>
      </c>
      <c r="B26" s="17" t="s">
        <v>85</v>
      </c>
      <c r="C26" s="18" t="s">
        <v>81</v>
      </c>
      <c r="D26" s="16" t="s">
        <v>79</v>
      </c>
    </row>
    <row r="27" spans="1:6">
      <c r="A27" s="16" t="str">
        <f t="shared" si="1"/>
        <v>000FDC74</v>
      </c>
      <c r="B27" s="17" t="s">
        <v>86</v>
      </c>
      <c r="C27" s="18" t="s">
        <v>78</v>
      </c>
      <c r="D27" s="16"/>
    </row>
    <row r="28" spans="1:6">
      <c r="A28" s="16" t="str">
        <f t="shared" si="1"/>
        <v>000FDC78</v>
      </c>
      <c r="B28" s="17" t="s">
        <v>87</v>
      </c>
      <c r="C28" s="18" t="str">
        <f>_xlfn.CONCAT("bne 0x",A$44)</f>
        <v>bne 0x000FDCB8</v>
      </c>
      <c r="D28" s="16"/>
    </row>
    <row r="29" spans="1:6">
      <c r="A29" s="19" t="str">
        <f t="shared" si="1"/>
        <v>000FDC7C</v>
      </c>
      <c r="B29" s="20" t="s">
        <v>64</v>
      </c>
      <c r="C29" s="21" t="s">
        <v>48</v>
      </c>
      <c r="D29" s="19" t="s">
        <v>80</v>
      </c>
    </row>
    <row r="30" spans="1:6">
      <c r="A30" s="19" t="str">
        <f t="shared" si="1"/>
        <v>000FDC80</v>
      </c>
      <c r="B30" s="20" t="s">
        <v>88</v>
      </c>
      <c r="C30" s="21" t="s">
        <v>82</v>
      </c>
      <c r="D30" s="19"/>
    </row>
    <row r="31" spans="1:6">
      <c r="A31" s="2" t="str">
        <f t="shared" si="1"/>
        <v>000FDC84</v>
      </c>
      <c r="B31" s="3" t="s">
        <v>61</v>
      </c>
      <c r="C31" s="6" t="s">
        <v>43</v>
      </c>
    </row>
    <row r="32" spans="1:6">
      <c r="A32" s="2" t="str">
        <f t="shared" si="1"/>
        <v>000FDC88</v>
      </c>
      <c r="B32" s="3" t="s">
        <v>62</v>
      </c>
      <c r="C32" s="22" t="s">
        <v>44</v>
      </c>
    </row>
    <row r="33" spans="1:5">
      <c r="A33" s="2" t="str">
        <f t="shared" si="1"/>
        <v>000FDC8C</v>
      </c>
      <c r="B33" s="2" t="s">
        <v>63</v>
      </c>
      <c r="C33" s="22" t="s">
        <v>45</v>
      </c>
    </row>
    <row r="34" spans="1:5">
      <c r="A34" s="2" t="str">
        <f t="shared" si="1"/>
        <v>000FDC90</v>
      </c>
      <c r="B34" s="2" t="s">
        <v>89</v>
      </c>
      <c r="C34" s="22" t="s">
        <v>47</v>
      </c>
    </row>
    <row r="35" spans="1:5">
      <c r="A35" s="2" t="str">
        <f t="shared" si="1"/>
        <v>000FDC94</v>
      </c>
      <c r="B35" s="2" t="s">
        <v>64</v>
      </c>
      <c r="C35" s="22" t="s">
        <v>48</v>
      </c>
    </row>
    <row r="36" spans="1:5">
      <c r="A36" s="2" t="str">
        <f t="shared" si="1"/>
        <v>000FDC98</v>
      </c>
      <c r="B36" s="2" t="s">
        <v>65</v>
      </c>
      <c r="C36" s="22" t="s">
        <v>49</v>
      </c>
    </row>
    <row r="37" spans="1:5">
      <c r="A37" s="2" t="str">
        <f t="shared" ref="A37:A45" si="2">DEC2HEX(HEX2DEC(A36)+4,8)</f>
        <v>000FDC9C</v>
      </c>
      <c r="B37" s="2" t="s">
        <v>66</v>
      </c>
      <c r="C37" s="22" t="s">
        <v>50</v>
      </c>
    </row>
    <row r="38" spans="1:5">
      <c r="A38" s="2" t="str">
        <f t="shared" si="2"/>
        <v>000FDCA0</v>
      </c>
      <c r="B38" s="2" t="s">
        <v>67</v>
      </c>
      <c r="C38" s="22" t="s">
        <v>51</v>
      </c>
    </row>
    <row r="39" spans="1:5">
      <c r="A39" s="2" t="str">
        <f t="shared" si="2"/>
        <v>000FDCA4</v>
      </c>
      <c r="B39" s="2" t="s">
        <v>31</v>
      </c>
      <c r="C39" s="22" t="s">
        <v>28</v>
      </c>
    </row>
    <row r="40" spans="1:5">
      <c r="A40" s="2" t="str">
        <f t="shared" si="2"/>
        <v>000FDCA8</v>
      </c>
      <c r="B40" s="2" t="s">
        <v>68</v>
      </c>
      <c r="C40" s="22" t="s">
        <v>52</v>
      </c>
    </row>
    <row r="41" spans="1:5">
      <c r="A41" s="2" t="str">
        <f t="shared" si="2"/>
        <v>000FDCAC</v>
      </c>
      <c r="B41" s="22" t="s">
        <v>63</v>
      </c>
      <c r="C41" s="2" t="s">
        <v>45</v>
      </c>
      <c r="D41" s="22"/>
    </row>
    <row r="42" spans="1:5">
      <c r="A42" s="2" t="str">
        <f t="shared" si="2"/>
        <v>000FDCB0</v>
      </c>
      <c r="B42" s="3" t="s">
        <v>69</v>
      </c>
      <c r="C42" s="2" t="str">
        <f>SUBSTITUTE(C10,"push","pop")</f>
        <v>pop {r4, r5, r6, lr}</v>
      </c>
      <c r="D42" s="22"/>
    </row>
    <row r="43" spans="1:5">
      <c r="A43" s="2" t="str">
        <f t="shared" si="2"/>
        <v>000FDCB4</v>
      </c>
      <c r="B43" s="6" t="s">
        <v>90</v>
      </c>
      <c r="C43" s="22" t="s">
        <v>34</v>
      </c>
    </row>
    <row r="44" spans="1:5">
      <c r="A44" s="2" t="str">
        <f t="shared" si="2"/>
        <v>000FDCB8</v>
      </c>
      <c r="B44" s="22" t="s">
        <v>70</v>
      </c>
      <c r="C44" s="2" t="str">
        <f>SUBSTITUTE(C42,"lr","pc")</f>
        <v>pop {r4, r5, r6, pc}</v>
      </c>
      <c r="D44" s="6"/>
    </row>
    <row r="45" spans="1:5">
      <c r="A45" s="2" t="str">
        <f t="shared" si="2"/>
        <v>000FDCBC</v>
      </c>
      <c r="B45" s="22" t="s">
        <v>25</v>
      </c>
      <c r="C45" s="2" t="s">
        <v>75</v>
      </c>
      <c r="D45" s="6"/>
    </row>
    <row r="46" spans="1:5">
      <c r="B46" s="22"/>
      <c r="D46" s="6"/>
      <c r="E46" s="2" t="s">
        <v>76</v>
      </c>
    </row>
    <row r="48" spans="1:5">
      <c r="A48" s="1" t="s">
        <v>13</v>
      </c>
    </row>
    <row r="49" spans="1:11">
      <c r="A49" s="3" t="s">
        <v>71</v>
      </c>
      <c r="B49" s="2" t="s">
        <v>72</v>
      </c>
    </row>
    <row r="50" spans="1:11">
      <c r="A50" s="2" t="str">
        <f t="shared" ref="A50" si="3">DEC2HEX(HEX2DEC(A49)+4,8)</f>
        <v>001081B8</v>
      </c>
      <c r="B50" s="2" t="s">
        <v>14</v>
      </c>
      <c r="C50" s="2" t="s">
        <v>15</v>
      </c>
    </row>
    <row r="54" spans="1:11">
      <c r="B54" s="3"/>
    </row>
    <row r="55" spans="1:11">
      <c r="B55" s="3"/>
    </row>
    <row r="56" spans="1:11">
      <c r="B56" s="3"/>
      <c r="C56" s="2" t="s">
        <v>46</v>
      </c>
      <c r="D56" s="2" t="str">
        <f>DEC2HEX(HEX2DEC(C56)-HEX2DEC("6dd000"),8)</f>
        <v>000876F8</v>
      </c>
    </row>
    <row r="58" spans="1:11">
      <c r="B58" s="3"/>
      <c r="E58" s="22"/>
    </row>
    <row r="59" spans="1:11">
      <c r="K59" s="22"/>
    </row>
    <row r="63" spans="1:11">
      <c r="B63" s="6"/>
      <c r="D63" s="6"/>
    </row>
    <row r="64" spans="1:11">
      <c r="B64" s="6"/>
      <c r="D64" s="6"/>
    </row>
    <row r="65" spans="1:4">
      <c r="B65" s="6"/>
      <c r="D65" s="6"/>
    </row>
    <row r="66" spans="1:4">
      <c r="B66" s="6"/>
      <c r="D66" s="6"/>
    </row>
    <row r="67" spans="1:4">
      <c r="B67" s="6"/>
      <c r="D67" s="6"/>
    </row>
    <row r="68" spans="1:4">
      <c r="A68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45EA-D5FA-4490-B3ED-C6AF6BC14484}">
  <dimension ref="A1"/>
  <sheetViews>
    <sheetView workbookViewId="0">
      <selection activeCell="D1" sqref="A1:D4"/>
    </sheetView>
  </sheetViews>
  <sheetFormatPr defaultRowHeight="14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Rewrite</vt:lpstr>
      <vt:lpstr>Edited 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2026-05-25T19:00:55Z</dcterms:modified>
</cp:coreProperties>
</file>