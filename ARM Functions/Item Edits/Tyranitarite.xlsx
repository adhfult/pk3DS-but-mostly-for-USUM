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5A8F4B22-7B4C-4028-9B23-52853B3A3D44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C53" i="1"/>
  <c r="C55" i="1" s="1"/>
  <c r="A23" i="1"/>
  <c r="A54" i="1" l="1"/>
  <c r="A55" i="1" s="1"/>
  <c r="C46" i="1"/>
  <c r="C40" i="1"/>
  <c r="C51" i="1"/>
  <c r="C34" i="1" l="1"/>
  <c r="A11" i="1"/>
  <c r="A12" i="1" s="1"/>
  <c r="A13" i="1" s="1"/>
  <c r="A14" i="1" s="1"/>
  <c r="A15" i="1" s="1"/>
  <c r="A16" i="1" s="1"/>
  <c r="A17" i="1" s="1"/>
  <c r="A18" i="1" s="1"/>
  <c r="A19" i="1" s="1"/>
  <c r="C17" i="1" l="1"/>
  <c r="C19" i="1" s="1"/>
  <c r="A2" i="1" l="1" a="1"/>
  <c r="A2" i="1" s="1"/>
  <c r="A4" i="1"/>
  <c r="A5" i="1" s="1"/>
  <c r="A6" i="1" s="1"/>
  <c r="A7" i="1" s="1"/>
  <c r="B3" i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<sst xmlns="http://schemas.openxmlformats.org/spreadsheetml/2006/main" count="104" uniqueCount="84">
  <si>
    <t>7080BDE8</t>
  </si>
  <si>
    <t>push {r4, r5, r6, lr}</t>
  </si>
  <si>
    <t>70402DE9</t>
  </si>
  <si>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</si>
  <si>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</si>
  <si>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</si>
  <si>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</si>
  <si>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</si>
  <si>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</si>
  <si>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</si>
  <si>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</si>
  <si>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</si>
  <si>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</si>
  <si>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</si>
  <si>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</si>
  <si>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</si>
  <si>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ldrh r0, [r0, 0xC]</t>
  </si>
  <si>
    <t>check species</t>
  </si>
  <si>
    <t>BC00D0E1</t>
  </si>
  <si>
    <t>7040BDE8</t>
  </si>
  <si>
    <t>Get pointer to self</t>
  </si>
  <si>
    <t>mov r0, r1</t>
  </si>
  <si>
    <t>mov r1, r2</t>
  </si>
  <si>
    <t>cmp r0, 0xF8</t>
  </si>
  <si>
    <t>Tyranitar</t>
  </si>
  <si>
    <t>push {r0, r1, r2, r3, lr}</t>
  </si>
  <si>
    <t>b 0x000DA5B0</t>
  </si>
  <si>
    <t>mov r5, r2</t>
  </si>
  <si>
    <t>mov r4, r0</t>
  </si>
  <si>
    <t>mov r0, r4</t>
  </si>
  <si>
    <t>bl 0x00088874</t>
  </si>
  <si>
    <t>mov r1, 0x5</t>
  </si>
  <si>
    <t>Check Rock</t>
  </si>
  <si>
    <t>cmp r0, 0x1</t>
  </si>
  <si>
    <t>mov r1, 0xC</t>
  </si>
  <si>
    <t>Check Electric</t>
  </si>
  <si>
    <t>mov r1, 0x10</t>
  </si>
  <si>
    <t>Check Dark</t>
  </si>
  <si>
    <t>001021B0</t>
  </si>
  <si>
    <t>00102820</t>
  </si>
  <si>
    <t>00102848</t>
  </si>
  <si>
    <t>0F402DE9</t>
  </si>
  <si>
    <t>0100A0E1</t>
  </si>
  <si>
    <t>0210A0E1</t>
  </si>
  <si>
    <t>993EFEEB</t>
  </si>
  <si>
    <t>F80050E3</t>
  </si>
  <si>
    <t>0100001A</t>
  </si>
  <si>
    <t>0F40BDE8</t>
  </si>
  <si>
    <t>5A5FFFEA</t>
  </si>
  <si>
    <t>0F80BDE8</t>
  </si>
  <si>
    <t>0250A0E1</t>
  </si>
  <si>
    <t>0040A0E1</t>
  </si>
  <si>
    <t>0400A0E1</t>
  </si>
  <si>
    <t>0510A0E3</t>
  </si>
  <si>
    <t>010050E3</t>
  </si>
  <si>
    <t>0C10A0E3</t>
  </si>
  <si>
    <t>1010A0E3</t>
  </si>
  <si>
    <t>bl 0x000D6F98</t>
  </si>
  <si>
    <t>Mega</t>
  </si>
  <si>
    <t>Immune to Psychic if Mega/Ultra/Primal 0x3A</t>
  </si>
  <si>
    <t>Immune to Paralysis if Mega/Ultra/Primal 0x7C</t>
  </si>
  <si>
    <t>D851FFEB</t>
  </si>
  <si>
    <t>mov r0, 0xD</t>
  </si>
  <si>
    <t>b 0x00102910</t>
  </si>
  <si>
    <t>0D00A0E3</t>
  </si>
  <si>
    <t>2F0000EA</t>
  </si>
  <si>
    <t>Add Electric/Dark/Rock 0x4E/0x4F/0x54</t>
  </si>
  <si>
    <t>mov r0, 0x10</t>
  </si>
  <si>
    <t>movne r0, 0x5</t>
  </si>
  <si>
    <t>movne r0, 0xC</t>
  </si>
  <si>
    <t>b 0x00102C5C</t>
  </si>
  <si>
    <t>0500A013</t>
  </si>
  <si>
    <t>0C00A013</t>
  </si>
  <si>
    <t>1000A0E3</t>
  </si>
  <si>
    <t>00102898</t>
  </si>
  <si>
    <t>7A3EFEEB</t>
  </si>
  <si>
    <t>0C00001A</t>
  </si>
  <si>
    <t>EA17FEEB</t>
  </si>
  <si>
    <t>0400001A</t>
  </si>
  <si>
    <t>E417FEEB</t>
  </si>
  <si>
    <t>FEFFFF1A</t>
  </si>
  <si>
    <t>DE17FEEB</t>
  </si>
  <si>
    <t>FBFFFF0A</t>
  </si>
  <si>
    <t>D30000EA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</si>
</sst>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2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6" borderId="0" xfId="0" applyFont="1" applyFill="1"/>
    <xf numFmtId="0" fontId="2" fillId="5" borderId="0" xfId="0" quotePrefix="1" applyFont="1" applyFill="1"/>
    <xf numFmtId="0" fontId="2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55"/>
  <sheetViews>
    <sheetView tabSelected="1" workbookViewId="0">
      <pane ySplit="1" topLeftCell="A23" activePane="bottomLeft" state="frozen"/>
      <selection pane="bottomLeft" activeCell="C46" sqref="C46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6</v>
      </c>
      <c r="B1" s="1" t="s">
        <v>5</v>
      </c>
      <c r="C1" s="1" t="s">
        <v>4</v>
      </c>
      <c r="D1" s="1" t="s">
        <v>3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Tyranitarite Call Function</v>
      </c>
      <c r="B2" s="1"/>
      <c r="C2" s="1"/>
      <c r="D2" s="1"/>
    </row>
    <row r="3" spans="1:4">
      <c r="A3" s="3" t="s">
        <v>38</v>
      </c>
      <c r="B3" s="2" t="str">
        <f>_xlfn.CONCAT("0",RIGHT(C3,1),"10A0E3")</f>
        <v>0510A0E3</v>
      </c>
      <c r="C3" s="2" t="s">
        <v>31</v>
      </c>
      <c r="D3" s="1"/>
    </row>
    <row r="4" spans="1:4">
      <c r="A4" s="2" t="str">
        <f t="shared" ref="A4:A6" si="0">DEC2HEX(HEX2DEC(A3)+4,8)</f>
        <v>001021B4</v>
      </c>
      <c r="B4" s="3" t="s">
        <v>7</v>
      </c>
      <c r="C4" s="2" t="s">
        <v>8</v>
      </c>
      <c r="D4" s="1"/>
    </row>
    <row r="5" spans="1:4">
      <c r="A5" s="2" t="str">
        <f t="shared" si="0"/>
        <v>001021B8</v>
      </c>
      <c r="B5" s="2" t="s">
        <v>9</v>
      </c>
      <c r="C5" s="2" t="s">
        <v>10</v>
      </c>
      <c r="D5" s="1"/>
    </row>
    <row r="6" spans="1:4">
      <c r="A6" s="2" t="str">
        <f t="shared" si="0"/>
        <v>001021BC</v>
      </c>
      <c r="B6" s="2" t="s">
        <v>11</v>
      </c>
      <c r="C6" s="2" t="s">
        <v>12</v>
      </c>
      <c r="D6" s="1"/>
    </row>
    <row r="7" spans="1:4">
      <c r="A7" s="2" t="str">
        <f>DEC2HEX(HEX2DEC(A6)+4,8)</f>
        <v>001021C0</v>
      </c>
      <c r="B7" s="3" t="s">
        <v>13</v>
      </c>
      <c r="C7" s="2" t="s">
        <v>14</v>
      </c>
      <c r="D7" s="1"/>
    </row>
    <row r="9" spans="1:4">
      <c r="A9" s="1" t="s">
        <v>60</v>
      </c>
    </row>
    <row r="10" spans="1:4">
      <c r="A10" s="2" t="s">
        <v>39</v>
      </c>
      <c r="B10" s="2" t="s">
        <v>41</v>
      </c>
      <c r="C10" s="2" t="s">
        <v>25</v>
      </c>
    </row>
    <row r="11" spans="1:4">
      <c r="A11" s="6" t="str">
        <f t="shared" ref="A11:A19" si="1">DEC2HEX(HEX2DEC(A10)+4,8)</f>
        <v>00102824</v>
      </c>
      <c r="B11" s="6" t="s">
        <v>42</v>
      </c>
      <c r="C11" s="6" t="s">
        <v>21</v>
      </c>
      <c r="D11" s="6" t="s">
        <v>20</v>
      </c>
    </row>
    <row r="12" spans="1:4">
      <c r="A12" s="6" t="str">
        <f t="shared" si="1"/>
        <v>00102828</v>
      </c>
      <c r="B12" s="6" t="s">
        <v>43</v>
      </c>
      <c r="C12" s="6" t="s">
        <v>22</v>
      </c>
      <c r="D12" s="6"/>
    </row>
    <row r="13" spans="1:4">
      <c r="A13" s="6" t="str">
        <f t="shared" si="1"/>
        <v>0010282C</v>
      </c>
      <c r="B13" s="7" t="s">
        <v>44</v>
      </c>
      <c r="C13" s="6" t="s">
        <v>15</v>
      </c>
      <c r="D13" s="6"/>
    </row>
    <row r="14" spans="1:4">
      <c r="A14" s="4" t="str">
        <f t="shared" si="1"/>
        <v>00102830</v>
      </c>
      <c r="B14" s="4" t="s">
        <v>61</v>
      </c>
      <c r="C14" s="4" t="s">
        <v>57</v>
      </c>
      <c r="D14" s="4"/>
    </row>
    <row r="15" spans="1:4">
      <c r="A15" s="4" t="str">
        <f t="shared" si="1"/>
        <v>00102834</v>
      </c>
      <c r="B15" s="5" t="s">
        <v>54</v>
      </c>
      <c r="C15" s="4" t="s">
        <v>33</v>
      </c>
      <c r="D15" s="4" t="s">
        <v>58</v>
      </c>
    </row>
    <row r="16" spans="1:4">
      <c r="A16" s="4" t="str">
        <f t="shared" si="1"/>
        <v>00102838</v>
      </c>
      <c r="B16" s="5" t="s">
        <v>46</v>
      </c>
      <c r="C16" s="4" t="str">
        <f>_xlfn.CONCAT("bne 0x",A$19)</f>
        <v>bne 0x00102844</v>
      </c>
      <c r="D16" s="4"/>
    </row>
    <row r="17" spans="1:4">
      <c r="A17" s="2" t="str">
        <f t="shared" si="1"/>
        <v>0010283C</v>
      </c>
      <c r="B17" s="3" t="s">
        <v>47</v>
      </c>
      <c r="C17" s="2" t="str">
        <f>SUBSTITUTE(C10,"push","pop")</f>
        <v>pop {r0, r1, r2, r3, lr}</v>
      </c>
    </row>
    <row r="18" spans="1:4">
      <c r="A18" s="2" t="str">
        <f t="shared" si="1"/>
        <v>00102840</v>
      </c>
      <c r="B18" s="2" t="s">
        <v>48</v>
      </c>
      <c r="C18" s="2" t="s">
        <v>26</v>
      </c>
    </row>
    <row r="19" spans="1:4">
      <c r="A19" s="2" t="str">
        <f t="shared" si="1"/>
        <v>00102844</v>
      </c>
      <c r="B19" s="2" t="s">
        <v>49</v>
      </c>
      <c r="C19" s="2" t="str">
        <f>SUBSTITUTE(C17,"lr","pc")</f>
        <v>pop {r0, r1, r2, r3, pc}</v>
      </c>
    </row>
    <row r="21" spans="1:4">
      <c r="A21" s="1" t="s">
        <v>59</v>
      </c>
    </row>
    <row r="22" spans="1:4">
      <c r="A22" s="2" t="s">
        <v>40</v>
      </c>
      <c r="B22" s="2" t="s">
        <v>64</v>
      </c>
      <c r="C22" s="2" t="s">
        <v>62</v>
      </c>
    </row>
    <row r="23" spans="1:4">
      <c r="A23" s="2" t="str">
        <f t="shared" ref="A23" si="2">DEC2HEX(HEX2DEC(A22)+4,8)</f>
        <v>0010284C</v>
      </c>
      <c r="B23" s="2" t="s">
        <v>65</v>
      </c>
      <c r="C23" s="2" t="s">
        <v>63</v>
      </c>
      <c r="D23" s="2" t="s">
        <v>20</v>
      </c>
    </row>
    <row r="25" spans="1:4">
      <c r="A25" s="1" t="s">
        <v>66</v>
      </c>
    </row>
    <row r="26" spans="1:4">
      <c r="A26" s="3" t="s">
        <v>74</v>
      </c>
      <c r="B26" s="2" t="s">
        <v>2</v>
      </c>
      <c r="C26" s="2" t="s">
        <v>1</v>
      </c>
    </row>
    <row r="27" spans="1:4">
      <c r="A27" s="2" t="str">
        <f t="shared" ref="A27:A55" si="3">DEC2HEX(HEX2DEC(A26)+4,8)</f>
        <v>0010289C</v>
      </c>
      <c r="B27" s="2" t="s">
        <v>50</v>
      </c>
      <c r="C27" s="2" t="s">
        <v>27</v>
      </c>
    </row>
    <row r="28" spans="1:4">
      <c r="A28" s="6" t="str">
        <f t="shared" si="3"/>
        <v>001028A0</v>
      </c>
      <c r="B28" s="6" t="s">
        <v>42</v>
      </c>
      <c r="C28" s="6" t="s">
        <v>21</v>
      </c>
      <c r="D28" s="6" t="s">
        <v>20</v>
      </c>
    </row>
    <row r="29" spans="1:4">
      <c r="A29" s="6" t="str">
        <f t="shared" si="3"/>
        <v>001028A4</v>
      </c>
      <c r="B29" s="6" t="s">
        <v>43</v>
      </c>
      <c r="C29" s="6" t="s">
        <v>22</v>
      </c>
      <c r="D29" s="6"/>
    </row>
    <row r="30" spans="1:4">
      <c r="A30" s="6" t="str">
        <f t="shared" si="3"/>
        <v>001028A8</v>
      </c>
      <c r="B30" s="7" t="s">
        <v>75</v>
      </c>
      <c r="C30" s="6" t="s">
        <v>15</v>
      </c>
      <c r="D30" s="6"/>
    </row>
    <row r="31" spans="1:4">
      <c r="A31" s="6" t="str">
        <f t="shared" si="3"/>
        <v>001028AC</v>
      </c>
      <c r="B31" s="6" t="s">
        <v>51</v>
      </c>
      <c r="C31" s="6" t="s">
        <v>28</v>
      </c>
      <c r="D31" s="6"/>
    </row>
    <row r="32" spans="1:4">
      <c r="A32" s="4" t="str">
        <f t="shared" si="3"/>
        <v>001028B0</v>
      </c>
      <c r="B32" s="4" t="s">
        <v>18</v>
      </c>
      <c r="C32" s="4" t="s">
        <v>16</v>
      </c>
      <c r="D32" s="4" t="s">
        <v>17</v>
      </c>
    </row>
    <row r="33" spans="1:4">
      <c r="A33" s="4" t="str">
        <f t="shared" si="3"/>
        <v>001028B4</v>
      </c>
      <c r="B33" s="5" t="s">
        <v>45</v>
      </c>
      <c r="C33" s="4" t="s">
        <v>23</v>
      </c>
      <c r="D33" s="4" t="s">
        <v>24</v>
      </c>
    </row>
    <row r="34" spans="1:4">
      <c r="A34" s="4" t="str">
        <f t="shared" si="3"/>
        <v>001028B8</v>
      </c>
      <c r="B34" s="5" t="s">
        <v>76</v>
      </c>
      <c r="C34" s="4" t="str">
        <f>_xlfn.CONCAT("bne 0x",A55)</f>
        <v>bne 0x0010290C</v>
      </c>
      <c r="D34" s="4"/>
    </row>
    <row r="35" spans="1:4">
      <c r="A35" s="8" t="str">
        <f t="shared" si="3"/>
        <v>001028BC</v>
      </c>
      <c r="B35" s="9" t="s">
        <v>52</v>
      </c>
      <c r="C35" s="8" t="s">
        <v>29</v>
      </c>
      <c r="D35" s="8" t="s">
        <v>32</v>
      </c>
    </row>
    <row r="36" spans="1:4">
      <c r="A36" s="8" t="str">
        <f t="shared" si="3"/>
        <v>001028C0</v>
      </c>
      <c r="B36" s="8" t="s">
        <v>53</v>
      </c>
      <c r="C36" s="8" t="s">
        <v>31</v>
      </c>
      <c r="D36" s="8"/>
    </row>
    <row r="37" spans="1:4">
      <c r="A37" s="8" t="str">
        <f t="shared" si="3"/>
        <v>001028C4</v>
      </c>
      <c r="B37" s="8" t="s">
        <v>77</v>
      </c>
      <c r="C37" s="8" t="s">
        <v>30</v>
      </c>
      <c r="D37" s="8"/>
    </row>
    <row r="38" spans="1:4">
      <c r="A38" s="8" t="str">
        <f t="shared" si="3"/>
        <v>001028C8</v>
      </c>
      <c r="B38" s="9" t="s">
        <v>54</v>
      </c>
      <c r="C38" s="8" t="s">
        <v>33</v>
      </c>
      <c r="D38" s="8"/>
    </row>
    <row r="39" spans="1:4">
      <c r="A39" s="8" t="str">
        <f t="shared" si="3"/>
        <v>001028CC</v>
      </c>
      <c r="B39" s="8" t="s">
        <v>71</v>
      </c>
      <c r="C39" s="8" t="s">
        <v>68</v>
      </c>
      <c r="D39" s="8"/>
    </row>
    <row r="40" spans="1:4">
      <c r="A40" s="8" t="str">
        <f t="shared" si="3"/>
        <v>001028D0</v>
      </c>
      <c r="B40" s="8" t="s">
        <v>78</v>
      </c>
      <c r="C40" s="8" t="str">
        <f>_xlfn.CONCAT("bne 0x",A$53)</f>
        <v>bne 0x00102904</v>
      </c>
      <c r="D40" s="8"/>
    </row>
    <row r="41" spans="1:4">
      <c r="A41" s="10" t="str">
        <f t="shared" si="3"/>
        <v>001028D4</v>
      </c>
      <c r="B41" s="10" t="s">
        <v>52</v>
      </c>
      <c r="C41" s="10" t="s">
        <v>29</v>
      </c>
      <c r="D41" s="10" t="s">
        <v>35</v>
      </c>
    </row>
    <row r="42" spans="1:4">
      <c r="A42" s="10" t="str">
        <f t="shared" si="3"/>
        <v>001028D8</v>
      </c>
      <c r="B42" s="10" t="s">
        <v>55</v>
      </c>
      <c r="C42" s="10" t="s">
        <v>34</v>
      </c>
      <c r="D42" s="10"/>
    </row>
    <row r="43" spans="1:4">
      <c r="A43" s="10" t="str">
        <f t="shared" si="3"/>
        <v>001028DC</v>
      </c>
      <c r="B43" s="10" t="s">
        <v>79</v>
      </c>
      <c r="C43" s="10" t="s">
        <v>30</v>
      </c>
      <c r="D43" s="10"/>
    </row>
    <row r="44" spans="1:4">
      <c r="A44" s="10" t="str">
        <f t="shared" si="3"/>
        <v>001028E0</v>
      </c>
      <c r="B44" s="12" t="s">
        <v>54</v>
      </c>
      <c r="C44" s="10" t="s">
        <v>33</v>
      </c>
      <c r="D44" s="10"/>
    </row>
    <row r="45" spans="1:4">
      <c r="A45" s="10" t="str">
        <f t="shared" si="3"/>
        <v>001028E4</v>
      </c>
      <c r="B45" s="10" t="s">
        <v>72</v>
      </c>
      <c r="C45" s="10" t="s">
        <v>69</v>
      </c>
      <c r="D45" s="10"/>
    </row>
    <row r="46" spans="1:4">
      <c r="A46" s="10" t="str">
        <f t="shared" si="3"/>
        <v>001028E8</v>
      </c>
      <c r="B46" s="10" t="s">
        <v>80</v>
      </c>
      <c r="C46" s="10" t="str">
        <f>_xlfn.CONCAT("bne 0x",A$53)</f>
        <v>bne 0x00102904</v>
      </c>
      <c r="D46" s="10"/>
    </row>
    <row r="47" spans="1:4">
      <c r="A47" s="11" t="str">
        <f t="shared" si="3"/>
        <v>001028EC</v>
      </c>
      <c r="B47" s="11" t="s">
        <v>52</v>
      </c>
      <c r="C47" s="11" t="s">
        <v>29</v>
      </c>
      <c r="D47" s="11" t="s">
        <v>37</v>
      </c>
    </row>
    <row r="48" spans="1:4">
      <c r="A48" s="11" t="str">
        <f t="shared" si="3"/>
        <v>001028F0</v>
      </c>
      <c r="B48" s="11" t="s">
        <v>56</v>
      </c>
      <c r="C48" s="11" t="s">
        <v>36</v>
      </c>
      <c r="D48" s="11"/>
    </row>
    <row r="49" spans="1:4">
      <c r="A49" s="11" t="str">
        <f t="shared" si="3"/>
        <v>001028F4</v>
      </c>
      <c r="B49" s="11" t="s">
        <v>81</v>
      </c>
      <c r="C49" s="11" t="s">
        <v>30</v>
      </c>
      <c r="D49" s="11"/>
    </row>
    <row r="50" spans="1:4">
      <c r="A50" s="11" t="str">
        <f t="shared" si="3"/>
        <v>001028F8</v>
      </c>
      <c r="B50" s="13" t="s">
        <v>54</v>
      </c>
      <c r="C50" s="11" t="s">
        <v>33</v>
      </c>
      <c r="D50" s="11"/>
    </row>
    <row r="51" spans="1:4">
      <c r="A51" s="11" t="str">
        <f t="shared" si="3"/>
        <v>001028FC</v>
      </c>
      <c r="B51" s="11" t="s">
        <v>82</v>
      </c>
      <c r="C51" s="11" t="str">
        <f>_xlfn.CONCAT("beq 0x",A55)</f>
        <v>beq 0x0010290C</v>
      </c>
      <c r="D51" s="11"/>
    </row>
    <row r="52" spans="1:4">
      <c r="A52" s="11" t="str">
        <f t="shared" si="3"/>
        <v>00102900</v>
      </c>
      <c r="B52" s="11" t="s">
        <v>73</v>
      </c>
      <c r="C52" s="11" t="s">
        <v>67</v>
      </c>
      <c r="D52" s="11"/>
    </row>
    <row r="53" spans="1:4">
      <c r="A53" s="2" t="str">
        <f t="shared" si="3"/>
        <v>00102904</v>
      </c>
      <c r="B53" s="2" t="s">
        <v>19</v>
      </c>
      <c r="C53" s="2" t="str">
        <f>SUBSTITUTE(C26,"push","pop")</f>
        <v>pop {r4, r5, r6, lr}</v>
      </c>
    </row>
    <row r="54" spans="1:4">
      <c r="A54" s="2" t="str">
        <f t="shared" si="3"/>
        <v>00102908</v>
      </c>
      <c r="B54" s="2" t="s">
        <v>83</v>
      </c>
      <c r="C54" s="2" t="s">
        <v>70</v>
      </c>
    </row>
    <row r="55" spans="1:4">
      <c r="A55" s="2" t="str">
        <f t="shared" si="3"/>
        <v>0010290C</v>
      </c>
      <c r="B55" s="2" t="s">
        <v>0</v>
      </c>
      <c r="C55" s="2" t="str">
        <f>SUBSTITUTE(C53,"lr","pc")</f>
        <v>pop {r4, r5, r6,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2026-05-12T03:11:43Z</dcterms:modified>
</cp:coreProperties>
</file>