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BCCD8AA1-0B8C-49F8-9CC2-549100F710AD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C20" i="1" l="1"/>
  <c r="C19" i="1"/>
  <c r="A25" i="1"/>
  <c r="C45" i="1"/>
  <c r="C51" i="1" s="1"/>
  <c r="A55" i="1"/>
  <c r="C17" i="1"/>
  <c r="C21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56" i="1" l="1"/>
  <c r="C16" i="1"/>
  <c r="C30" i="1" l="1"/>
  <c r="C44" i="1"/>
  <c r="C35" i="1"/>
  <c r="C72" i="1" l="1"/>
  <c r="C76" i="1" s="1"/>
  <c r="A57" i="1"/>
  <c r="A58" i="1" s="1"/>
  <c r="A59" i="1" s="1"/>
  <c r="A60" i="1" s="1"/>
  <c r="A61" i="1" s="1"/>
  <c r="A62" i="1" s="1"/>
  <c r="A63" i="1" s="1"/>
  <c r="A64" i="1" l="1"/>
  <c r="A65" i="1" s="1"/>
  <c r="A66" i="1" s="1"/>
  <c r="A67" i="1" s="1"/>
  <c r="A68" i="1" s="1"/>
  <c r="A69" i="1" l="1"/>
  <c r="A70" i="1" s="1"/>
  <c r="A71" i="1" s="1"/>
  <c r="A72" i="1" s="1"/>
  <c r="A73" i="1" s="1"/>
  <c r="A74" i="1" s="1"/>
  <c r="A75" i="1" s="1"/>
  <c r="A76" i="1" s="1"/>
  <c r="A2" i="1" a="1"/>
  <c r="A2" i="1" s="1"/>
  <c r="A4" i="1"/>
  <c r="A5" i="1" s="1"/>
  <c r="A6" i="1" s="1"/>
  <c r="A7" i="1" s="1"/>
  <c r="B3" i="1"/>
  <c r="C68" i="1" l="1"/>
  <c r="C64" i="1"/>
  <c r="C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<sst xmlns="http://schemas.openxmlformats.org/spreadsheetml/2006/main" count="145" uniqueCount="125">
  <si>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</si>
  <si>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</si>
  <si>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</si>
  <si>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</si>
  <si>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</si>
  <si>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</si>
  <si>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</si>
  <si>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</si>
  <si>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</si>
  <si>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</si>
  <si>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</si>
  <si>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</si>
  <si>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mov r4, r2</t>
  </si>
  <si>
    <t>mov r5, r1</t>
  </si>
  <si>
    <t>bl 0x00092298</t>
  </si>
  <si>
    <t>bl 0x000D6F98</t>
  </si>
  <si>
    <t>cmp r1, 0x1</t>
  </si>
  <si>
    <t>mov r0, r5</t>
  </si>
  <si>
    <t>cmp r0, r4</t>
  </si>
  <si>
    <t>push {r4, r5, lr}</t>
  </si>
  <si>
    <t>30402DE9</t>
  </si>
  <si>
    <t>0240A0E1</t>
  </si>
  <si>
    <t>0150A0E1</t>
  </si>
  <si>
    <t>040050E1</t>
  </si>
  <si>
    <t>0500A0E1</t>
  </si>
  <si>
    <t>010051E3</t>
  </si>
  <si>
    <t>0300001A</t>
  </si>
  <si>
    <t>3040BDE8</t>
  </si>
  <si>
    <t>3080BDE8</t>
  </si>
  <si>
    <t>70402DE9</t>
  </si>
  <si>
    <t>push {r4, r5, r6, lr}</t>
  </si>
  <si>
    <t>0300A0E3</t>
  </si>
  <si>
    <t>mov r0, 0x03</t>
  </si>
  <si>
    <t>Check Attacking</t>
  </si>
  <si>
    <t xml:space="preserve">bl 0x00087B58 </t>
  </si>
  <si>
    <t>1900A0E3</t>
  </si>
  <si>
    <t>mov r0, 0x19</t>
  </si>
  <si>
    <t>1800A0E3</t>
  </si>
  <si>
    <t>mov r0, 0x18</t>
  </si>
  <si>
    <t>7040BDE8</t>
  </si>
  <si>
    <t>0110A0E3</t>
  </si>
  <si>
    <t>mov r1, 0x1</t>
  </si>
  <si>
    <t>Ignore Immunity</t>
  </si>
  <si>
    <t>5000A0E3</t>
  </si>
  <si>
    <t>mov r0, 0x50</t>
  </si>
  <si>
    <t>b 0x00082D44</t>
  </si>
  <si>
    <t>7080BDE8</t>
  </si>
  <si>
    <t>cmp r0, 0xC</t>
  </si>
  <si>
    <t>Check that Move Type is Electric</t>
  </si>
  <si>
    <t>get current Enemy Type</t>
  </si>
  <si>
    <t>Check that that Type is Ground</t>
  </si>
  <si>
    <t>cmp r0, 0x4</t>
  </si>
  <si>
    <t>mov r1, 0x6</t>
  </si>
  <si>
    <t>NVE</t>
  </si>
  <si>
    <t>mov r0, 0x3D</t>
  </si>
  <si>
    <t>bl 0x00082D44</t>
  </si>
  <si>
    <t>0100A0E1</t>
  </si>
  <si>
    <t>mov r0, r1</t>
  </si>
  <si>
    <t>Get pointer to self</t>
  </si>
  <si>
    <t>0210A0E1</t>
  </si>
  <si>
    <t>mov r1, r2</t>
  </si>
  <si>
    <t>Check mega</t>
  </si>
  <si>
    <t>push {r1, r2, lr}</t>
  </si>
  <si>
    <t>cmp r9, 0x4F</t>
  </si>
  <si>
    <t>cmp r9, 0x83</t>
  </si>
  <si>
    <t>get move</t>
  </si>
  <si>
    <t>mov r0, 0x12</t>
  </si>
  <si>
    <t>bl 0x00001D8</t>
  </si>
  <si>
    <t>get Type</t>
  </si>
  <si>
    <t>check electric</t>
  </si>
  <si>
    <t>mov r0, 0x4</t>
  </si>
  <si>
    <t>mov r1, r0</t>
  </si>
  <si>
    <t>At cost of secondary effects 0x67/0x7B/0x83/0x9D</t>
  </si>
  <si>
    <t>get pointer to defender</t>
  </si>
  <si>
    <t>bl 0x00765874</t>
  </si>
  <si>
    <t>mov r1, 0x4</t>
  </si>
  <si>
    <t>Target is Ground</t>
  </si>
  <si>
    <t>cmp r0, 0x1</t>
  </si>
  <si>
    <t>movls r0, 0x46</t>
  </si>
  <si>
    <t>movhi r0, 0x4D</t>
  </si>
  <si>
    <t>mov r0, 0x3</t>
  </si>
  <si>
    <t>Check self attacker</t>
  </si>
  <si>
    <t>00039C24</t>
  </si>
  <si>
    <t>000BA340</t>
  </si>
  <si>
    <t>000BA370</t>
  </si>
  <si>
    <t>F435FFEB</t>
  </si>
  <si>
    <t>0E00001A</t>
  </si>
  <si>
    <t>F035FFEB</t>
  </si>
  <si>
    <t>0C0050E3</t>
  </si>
  <si>
    <t>0A00001A</t>
  </si>
  <si>
    <t>EC35FFEB</t>
  </si>
  <si>
    <t>040050E3</t>
  </si>
  <si>
    <t>0600001A</t>
  </si>
  <si>
    <t>0610A0E3</t>
  </si>
  <si>
    <t>3D00A0E3</t>
  </si>
  <si>
    <t>6222FFEB</t>
  </si>
  <si>
    <t>5E22FFEA</t>
  </si>
  <si>
    <t>Electric 1/2 on Ground 0x4E/0x4F</t>
  </si>
  <si>
    <t>000DE6B8</t>
  </si>
  <si>
    <t>22A5FEEB</t>
  </si>
  <si>
    <t>1300001A</t>
  </si>
  <si>
    <t>1200A0E3</t>
  </si>
  <si>
    <t>1EA5FEEB</t>
  </si>
  <si>
    <t>BD86FCEB</t>
  </si>
  <si>
    <t>0400A0E3</t>
  </si>
  <si>
    <t>19A5FEEB</t>
  </si>
  <si>
    <t>0010A0E1</t>
  </si>
  <si>
    <t>E6CEFEEB</t>
  </si>
  <si>
    <t>0410A0E3</t>
  </si>
  <si>
    <t>5B1C1AEB</t>
  </si>
  <si>
    <t>010050E3</t>
  </si>
  <si>
    <t>0500001A</t>
  </si>
  <si>
    <t>830059E3</t>
  </si>
  <si>
    <t>4600A093</t>
  </si>
  <si>
    <t>4D00A083</t>
  </si>
  <si>
    <t>8791FEEA</t>
  </si>
  <si>
    <t>Ignore Ground Immunity to Electric at cost of secondary effects If Mega 0x4E/0x4F/0x67/0x7B/0x83/0x9D</t>
  </si>
  <si>
    <t>06402DE9</t>
  </si>
  <si>
    <t>D15FFFEB</t>
  </si>
  <si>
    <t>107300EB</t>
  </si>
  <si>
    <t>0640BDE8</t>
  </si>
  <si>
    <t>4F0059E3</t>
  </si>
  <si>
    <t>0100009A</t>
  </si>
  <si>
    <t>D290008A</t>
  </si>
  <si>
    <t>0680BDE8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</si>
</sst>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3" borderId="0" xfId="0" quotePrefix="1" applyFont="1" applyFill="1"/>
    <xf numFmtId="0" fontId="2" fillId="2" borderId="0" xfId="0" quotePrefix="1" applyFont="1" applyFill="1"/>
    <xf numFmtId="0" fontId="2" fillId="4" borderId="0" xfId="0" applyFont="1" applyFill="1"/>
    <xf numFmtId="0" fontId="2" fillId="0" borderId="0" xfId="0" applyFont="1" applyFill="1"/>
    <xf numFmtId="0" fontId="2" fillId="0" borderId="0" xfId="0" quotePrefix="1" applyFont="1" applyFill="1"/>
    <xf numFmtId="0" fontId="3" fillId="2" borderId="0" xfId="0" quotePrefix="1" applyFont="1" applyFill="1"/>
    <xf numFmtId="0" fontId="3" fillId="2" borderId="0" xfId="0" applyFont="1" applyFill="1"/>
    <xf numFmtId="0" fontId="3" fillId="4" borderId="0" xfId="0" quotePrefix="1" applyFont="1" applyFill="1"/>
    <xf numFmtId="0" fontId="2" fillId="5" borderId="0" xfId="0" applyFont="1" applyFill="1"/>
    <xf numFmtId="0" fontId="3" fillId="5" borderId="0" xfId="0" quotePrefix="1" applyFont="1" applyFill="1"/>
    <xf numFmtId="0" fontId="3" fillId="0" borderId="0" xfId="0" quotePrefix="1" applyFont="1"/>
    <xf numFmtId="0" fontId="3" fillId="0" borderId="0" xfId="0" applyFont="1"/>
    <xf numFmtId="0" fontId="2" fillId="6" borderId="0" xfId="0" applyFont="1" applyFill="1"/>
    <xf numFmtId="0" fontId="3" fillId="6" borderId="0" xfId="0" quotePrefix="1" applyFont="1" applyFill="1"/>
    <xf numFmtId="0" fontId="3" fillId="6" borderId="0" xfId="0" applyFont="1" applyFill="1"/>
    <xf numFmtId="0" fontId="2" fillId="7" borderId="0" xfId="0" applyFont="1" applyFill="1"/>
    <xf numFmtId="0" fontId="3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  <xf numFmtId="0" fontId="2" fillId="7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76"/>
  <sheetViews>
    <sheetView tabSelected="1" workbookViewId="0">
      <pane ySplit="1" topLeftCell="A2" activePane="bottomLeft" state="frozen"/>
      <selection pane="bottomLeft" activeCell="B24" sqref="B24:B51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Raichunite Y Call Function</v>
      </c>
      <c r="B2" s="1"/>
      <c r="C2" s="1"/>
      <c r="D2" s="1"/>
    </row>
    <row r="3" spans="1:4">
      <c r="A3" s="3" t="s">
        <v>82</v>
      </c>
      <c r="B3" s="2" t="str">
        <f>_xlfn.CONCAT("0",RIGHT(C3,1),"10A0E3")</f>
        <v>0610A0E3</v>
      </c>
      <c r="C3" s="2" t="s">
        <v>52</v>
      </c>
      <c r="D3" s="1"/>
    </row>
    <row r="4" spans="1:4">
      <c r="A4" s="2" t="str">
        <f t="shared" ref="A4:A6" si="0">DEC2HEX(HEX2DEC(A3)+4,8)</f>
        <v>00039C28</v>
      </c>
      <c r="B4" s="3" t="s">
        <v>4</v>
      </c>
      <c r="C4" s="2" t="s">
        <v>5</v>
      </c>
      <c r="D4" s="1"/>
    </row>
    <row r="5" spans="1:4">
      <c r="A5" s="2" t="str">
        <f t="shared" si="0"/>
        <v>00039C2C</v>
      </c>
      <c r="B5" s="2" t="s">
        <v>6</v>
      </c>
      <c r="C5" s="2" t="s">
        <v>7</v>
      </c>
      <c r="D5" s="1"/>
    </row>
    <row r="6" spans="1:4">
      <c r="A6" s="2" t="str">
        <f t="shared" si="0"/>
        <v>00039C30</v>
      </c>
      <c r="B6" s="2" t="s">
        <v>8</v>
      </c>
      <c r="C6" s="2" t="s">
        <v>9</v>
      </c>
      <c r="D6" s="1"/>
    </row>
    <row r="7" spans="1:4">
      <c r="A7" s="2" t="str">
        <f>DEC2HEX(HEX2DEC(A6)+4,8)</f>
        <v>00039C34</v>
      </c>
      <c r="B7" s="3" t="s">
        <v>10</v>
      </c>
      <c r="C7" s="2" t="s">
        <v>11</v>
      </c>
      <c r="D7" s="1"/>
    </row>
    <row r="9" spans="1:4">
      <c r="A9" s="1" t="s">
        <v>116</v>
      </c>
    </row>
    <row r="10" spans="1:4">
      <c r="A10" s="3" t="s">
        <v>83</v>
      </c>
      <c r="B10" s="2" t="s">
        <v>117</v>
      </c>
      <c r="C10" s="2" t="s">
        <v>62</v>
      </c>
    </row>
    <row r="11" spans="1:4">
      <c r="A11" s="5" t="str">
        <f t="shared" ref="A11:A21" si="1">DEC2HEX(HEX2DEC(A10)+4,8)</f>
        <v>000BA344</v>
      </c>
      <c r="B11" s="5" t="s">
        <v>56</v>
      </c>
      <c r="C11" s="5" t="s">
        <v>57</v>
      </c>
      <c r="D11" s="5" t="s">
        <v>58</v>
      </c>
    </row>
    <row r="12" spans="1:4">
      <c r="A12" s="5" t="str">
        <f t="shared" si="1"/>
        <v>000BA348</v>
      </c>
      <c r="B12" s="5" t="s">
        <v>59</v>
      </c>
      <c r="C12" s="5" t="s">
        <v>60</v>
      </c>
      <c r="D12" s="5"/>
    </row>
    <row r="13" spans="1:4">
      <c r="A13" s="5" t="str">
        <f t="shared" si="1"/>
        <v>000BA34C</v>
      </c>
      <c r="B13" s="6" t="s">
        <v>118</v>
      </c>
      <c r="C13" s="5" t="s">
        <v>14</v>
      </c>
      <c r="D13" s="5"/>
    </row>
    <row r="14" spans="1:4">
      <c r="A14" s="4" t="str">
        <f t="shared" si="1"/>
        <v>000BA350</v>
      </c>
      <c r="B14" s="7" t="s">
        <v>119</v>
      </c>
      <c r="C14" s="4" t="s">
        <v>15</v>
      </c>
      <c r="D14" s="4" t="s">
        <v>61</v>
      </c>
    </row>
    <row r="15" spans="1:4">
      <c r="A15" s="4" t="str">
        <f t="shared" si="1"/>
        <v>000BA354</v>
      </c>
      <c r="B15" s="7" t="s">
        <v>25</v>
      </c>
      <c r="C15" s="4" t="s">
        <v>16</v>
      </c>
      <c r="D15" s="4"/>
    </row>
    <row r="16" spans="1:4">
      <c r="A16" s="4" t="str">
        <f t="shared" si="1"/>
        <v>000BA358</v>
      </c>
      <c r="B16" s="7" t="s">
        <v>26</v>
      </c>
      <c r="C16" s="4" t="str">
        <f>_xlfn.CONCAT("bne 0x",A21)</f>
        <v>bne 0x000BA36C</v>
      </c>
      <c r="D16" s="4"/>
    </row>
    <row r="17" spans="1:4">
      <c r="A17" s="23" t="str">
        <f t="shared" si="1"/>
        <v>000BA35C</v>
      </c>
      <c r="B17" s="24" t="s">
        <v>120</v>
      </c>
      <c r="C17" s="23" t="str">
        <f>SUBSTITUTE(C10,"push","pop")</f>
        <v>pop {r1, r2, lr}</v>
      </c>
      <c r="D17" s="23"/>
    </row>
    <row r="18" spans="1:4">
      <c r="A18" s="23" t="str">
        <f t="shared" si="1"/>
        <v>000BA360</v>
      </c>
      <c r="B18" s="24" t="s">
        <v>121</v>
      </c>
      <c r="C18" s="23" t="s">
        <v>63</v>
      </c>
      <c r="D18" s="23"/>
    </row>
    <row r="19" spans="1:4">
      <c r="A19" s="23" t="str">
        <f t="shared" si="1"/>
        <v>000BA364</v>
      </c>
      <c r="B19" s="24" t="s">
        <v>122</v>
      </c>
      <c r="C19" s="23" t="str">
        <f>_xlfn.CONCAT("bls 0x",A54)</f>
        <v>bls 0x000BA370</v>
      </c>
      <c r="D19" s="23"/>
    </row>
    <row r="20" spans="1:4">
      <c r="A20" s="23" t="str">
        <f t="shared" si="1"/>
        <v>000BA368</v>
      </c>
      <c r="B20" s="24" t="s">
        <v>123</v>
      </c>
      <c r="C20" s="23" t="str">
        <f>_xlfn.CONCAT("bhi 0x",A24)</f>
        <v>bhi 0x000DE6B8</v>
      </c>
      <c r="D20" s="23"/>
    </row>
    <row r="21" spans="1:4">
      <c r="A21" s="2" t="str">
        <f t="shared" si="1"/>
        <v>000BA36C</v>
      </c>
      <c r="B21" s="2" t="s">
        <v>124</v>
      </c>
      <c r="C21" s="2" t="str">
        <f>SUBSTITUTE(C17,"lr","pc")</f>
        <v>pop {r1, r2, pc}</v>
      </c>
    </row>
    <row r="23" spans="1:4">
      <c r="A23" s="1" t="s">
        <v>72</v>
      </c>
    </row>
    <row r="24" spans="1:4">
      <c r="A24" s="3" t="s">
        <v>98</v>
      </c>
      <c r="B24" s="2" t="s">
        <v>20</v>
      </c>
      <c r="C24" s="2" t="s">
        <v>19</v>
      </c>
    </row>
    <row r="25" spans="1:4">
      <c r="A25" s="10" t="str">
        <f t="shared" ref="A25:A51" si="2">DEC2HEX(HEX2DEC(A24)+4,8)</f>
        <v>000DE6BC</v>
      </c>
      <c r="B25" s="9" t="s">
        <v>22</v>
      </c>
      <c r="C25" s="9" t="s">
        <v>13</v>
      </c>
      <c r="D25" s="9"/>
    </row>
    <row r="26" spans="1:4">
      <c r="A26" s="10" t="str">
        <f t="shared" si="2"/>
        <v>000DE6C0</v>
      </c>
      <c r="B26" s="9" t="s">
        <v>21</v>
      </c>
      <c r="C26" s="9" t="s">
        <v>12</v>
      </c>
      <c r="D26" s="9"/>
    </row>
    <row r="27" spans="1:4">
      <c r="A27" s="25" t="str">
        <f t="shared" si="2"/>
        <v>000DE6C4</v>
      </c>
      <c r="B27" s="21" t="s">
        <v>31</v>
      </c>
      <c r="C27" s="21" t="s">
        <v>80</v>
      </c>
      <c r="D27" s="21" t="s">
        <v>81</v>
      </c>
    </row>
    <row r="28" spans="1:4">
      <c r="A28" s="25" t="str">
        <f t="shared" si="2"/>
        <v>000DE6C8</v>
      </c>
      <c r="B28" s="21" t="s">
        <v>99</v>
      </c>
      <c r="C28" s="21" t="s">
        <v>34</v>
      </c>
      <c r="D28" s="21"/>
    </row>
    <row r="29" spans="1:4">
      <c r="A29" s="25" t="str">
        <f t="shared" si="2"/>
        <v>000DE6CC</v>
      </c>
      <c r="B29" s="25" t="s">
        <v>23</v>
      </c>
      <c r="C29" s="21" t="s">
        <v>18</v>
      </c>
      <c r="D29" s="21"/>
    </row>
    <row r="30" spans="1:4">
      <c r="A30" s="25" t="str">
        <f t="shared" si="2"/>
        <v>000DE6D0</v>
      </c>
      <c r="B30" s="21" t="s">
        <v>100</v>
      </c>
      <c r="C30" s="21" t="str">
        <f>_xlfn.CONCAT("bne 0x",A51)</f>
        <v>bne 0x000DE724</v>
      </c>
      <c r="D30" s="21"/>
    </row>
    <row r="31" spans="1:4">
      <c r="A31" s="5" t="str">
        <f t="shared" si="2"/>
        <v>000DE6D4</v>
      </c>
      <c r="B31" s="5" t="s">
        <v>101</v>
      </c>
      <c r="C31" s="5" t="s">
        <v>66</v>
      </c>
      <c r="D31" s="5" t="s">
        <v>65</v>
      </c>
    </row>
    <row r="32" spans="1:4">
      <c r="A32" s="5" t="str">
        <f t="shared" si="2"/>
        <v>000DE6D8</v>
      </c>
      <c r="B32" s="5" t="s">
        <v>102</v>
      </c>
      <c r="C32" s="5" t="s">
        <v>34</v>
      </c>
      <c r="D32" s="5"/>
    </row>
    <row r="33" spans="1:4">
      <c r="A33" s="5" t="str">
        <f t="shared" si="2"/>
        <v>000DE6DC</v>
      </c>
      <c r="B33" s="6" t="s">
        <v>103</v>
      </c>
      <c r="C33" s="5" t="s">
        <v>67</v>
      </c>
      <c r="D33" s="5" t="s">
        <v>68</v>
      </c>
    </row>
    <row r="34" spans="1:4">
      <c r="A34" s="5" t="str">
        <f t="shared" si="2"/>
        <v>000DE6E0</v>
      </c>
      <c r="B34" s="6" t="s">
        <v>88</v>
      </c>
      <c r="C34" s="5" t="s">
        <v>47</v>
      </c>
      <c r="D34" s="5" t="s">
        <v>69</v>
      </c>
    </row>
    <row r="35" spans="1:4">
      <c r="A35" s="5" t="str">
        <f t="shared" si="2"/>
        <v>000DE6E4</v>
      </c>
      <c r="B35" s="6" t="s">
        <v>86</v>
      </c>
      <c r="C35" s="5" t="str">
        <f>_xlfn.CONCAT("bne 0x",A51)</f>
        <v>bne 0x000DE724</v>
      </c>
      <c r="D35" s="5"/>
    </row>
    <row r="36" spans="1:4">
      <c r="A36" s="4" t="str">
        <f t="shared" si="2"/>
        <v>000DE6E8</v>
      </c>
      <c r="B36" s="7" t="s">
        <v>104</v>
      </c>
      <c r="C36" s="4" t="s">
        <v>70</v>
      </c>
      <c r="D36" s="4" t="s">
        <v>73</v>
      </c>
    </row>
    <row r="37" spans="1:4">
      <c r="A37" s="4" t="str">
        <f t="shared" si="2"/>
        <v>000DE6EC</v>
      </c>
      <c r="B37" s="7" t="s">
        <v>105</v>
      </c>
      <c r="C37" s="4" t="s">
        <v>34</v>
      </c>
      <c r="D37" s="4"/>
    </row>
    <row r="38" spans="1:4">
      <c r="A38" s="4" t="str">
        <f t="shared" si="2"/>
        <v>000DE6F0</v>
      </c>
      <c r="B38" s="7" t="s">
        <v>106</v>
      </c>
      <c r="C38" s="4" t="s">
        <v>71</v>
      </c>
      <c r="D38" s="4"/>
    </row>
    <row r="39" spans="1:4">
      <c r="A39" s="4" t="str">
        <f t="shared" si="2"/>
        <v>000DE6F4</v>
      </c>
      <c r="B39" s="7" t="s">
        <v>24</v>
      </c>
      <c r="C39" s="4" t="s">
        <v>17</v>
      </c>
      <c r="D39" s="4"/>
    </row>
    <row r="40" spans="1:4">
      <c r="A40" s="4" t="str">
        <f t="shared" si="2"/>
        <v>000DE6F8</v>
      </c>
      <c r="B40" s="7" t="s">
        <v>107</v>
      </c>
      <c r="C40" s="4" t="s">
        <v>14</v>
      </c>
      <c r="D40" s="4"/>
    </row>
    <row r="41" spans="1:4">
      <c r="A41" s="4" t="str">
        <f t="shared" si="2"/>
        <v>000DE6FC</v>
      </c>
      <c r="B41" s="7" t="s">
        <v>108</v>
      </c>
      <c r="C41" s="4" t="s">
        <v>75</v>
      </c>
      <c r="D41" s="4" t="s">
        <v>76</v>
      </c>
    </row>
    <row r="42" spans="1:4">
      <c r="A42" s="4" t="str">
        <f t="shared" si="2"/>
        <v>000DE700</v>
      </c>
      <c r="B42" s="7" t="s">
        <v>109</v>
      </c>
      <c r="C42" s="4" t="s">
        <v>74</v>
      </c>
      <c r="D42" s="4"/>
    </row>
    <row r="43" spans="1:4">
      <c r="A43" s="4" t="str">
        <f t="shared" si="2"/>
        <v>000DE704</v>
      </c>
      <c r="B43" s="7" t="s">
        <v>110</v>
      </c>
      <c r="C43" s="4" t="s">
        <v>77</v>
      </c>
      <c r="D43" s="4"/>
    </row>
    <row r="44" spans="1:4">
      <c r="A44" s="4" t="str">
        <f t="shared" si="2"/>
        <v>000DE708</v>
      </c>
      <c r="B44" s="7" t="s">
        <v>111</v>
      </c>
      <c r="C44" s="4" t="str">
        <f>_xlfn.CONCAT("bne 0x",A51)</f>
        <v>bne 0x000DE724</v>
      </c>
      <c r="D44" s="4"/>
    </row>
    <row r="45" spans="1:4">
      <c r="A45" s="23" t="str">
        <f t="shared" si="2"/>
        <v>000DE70C</v>
      </c>
      <c r="B45" s="24" t="s">
        <v>27</v>
      </c>
      <c r="C45" s="23" t="str">
        <f>SUBSTITUTE(C24,"push","pop")</f>
        <v>pop {r4, r5, lr}</v>
      </c>
      <c r="D45" s="23"/>
    </row>
    <row r="46" spans="1:4">
      <c r="A46" s="23" t="str">
        <f t="shared" si="2"/>
        <v>000DE710</v>
      </c>
      <c r="B46" s="24" t="s">
        <v>40</v>
      </c>
      <c r="C46" s="23" t="s">
        <v>41</v>
      </c>
      <c r="D46" s="23"/>
    </row>
    <row r="47" spans="1:4">
      <c r="A47" s="23" t="str">
        <f t="shared" si="2"/>
        <v>000DE714</v>
      </c>
      <c r="B47" s="24" t="s">
        <v>112</v>
      </c>
      <c r="C47" s="23" t="s">
        <v>64</v>
      </c>
      <c r="D47" s="23"/>
    </row>
    <row r="48" spans="1:4">
      <c r="A48" s="23" t="str">
        <f t="shared" si="2"/>
        <v>000DE718</v>
      </c>
      <c r="B48" s="24" t="s">
        <v>113</v>
      </c>
      <c r="C48" s="23" t="s">
        <v>78</v>
      </c>
      <c r="D48" s="23"/>
    </row>
    <row r="49" spans="1:4">
      <c r="A49" s="23" t="str">
        <f t="shared" si="2"/>
        <v>000DE71C</v>
      </c>
      <c r="B49" s="24" t="s">
        <v>114</v>
      </c>
      <c r="C49" s="23" t="s">
        <v>79</v>
      </c>
      <c r="D49" s="23"/>
    </row>
    <row r="50" spans="1:4">
      <c r="A50" s="23" t="str">
        <f t="shared" si="2"/>
        <v>000DE720</v>
      </c>
      <c r="B50" s="24" t="s">
        <v>115</v>
      </c>
      <c r="C50" s="23" t="s">
        <v>45</v>
      </c>
      <c r="D50" s="23"/>
    </row>
    <row r="51" spans="1:4">
      <c r="A51" s="9" t="str">
        <f t="shared" si="2"/>
        <v>000DE724</v>
      </c>
      <c r="B51" s="2" t="s">
        <v>28</v>
      </c>
      <c r="C51" s="2" t="str">
        <f>SUBSTITUTE(C45,"lr","pc")</f>
        <v>pop {r4, r5, pc}</v>
      </c>
    </row>
    <row r="53" spans="1:4">
      <c r="A53" s="1" t="s">
        <v>97</v>
      </c>
      <c r="B53" s="3"/>
      <c r="D53" s="1"/>
    </row>
    <row r="54" spans="1:4">
      <c r="A54" s="3" t="s">
        <v>84</v>
      </c>
      <c r="B54" s="2" t="s">
        <v>29</v>
      </c>
      <c r="C54" s="2" t="s">
        <v>30</v>
      </c>
      <c r="D54" s="1"/>
    </row>
    <row r="55" spans="1:4">
      <c r="A55" s="2" t="str">
        <f t="shared" ref="A55:A76" si="3">DEC2HEX(HEX2DEC(A54)+4,8)</f>
        <v>000BA374</v>
      </c>
      <c r="B55" s="2" t="s">
        <v>21</v>
      </c>
      <c r="C55" s="2" t="s">
        <v>12</v>
      </c>
    </row>
    <row r="56" spans="1:4">
      <c r="A56" s="2" t="str">
        <f t="shared" si="3"/>
        <v>000BA378</v>
      </c>
      <c r="B56" s="2" t="s">
        <v>22</v>
      </c>
      <c r="C56" s="2" t="s">
        <v>13</v>
      </c>
    </row>
    <row r="57" spans="1:4" s="9" customFormat="1">
      <c r="A57" s="5" t="str">
        <f t="shared" si="3"/>
        <v>000BA37C</v>
      </c>
      <c r="B57" s="5" t="s">
        <v>31</v>
      </c>
      <c r="C57" s="5" t="s">
        <v>32</v>
      </c>
      <c r="D57" s="5" t="s">
        <v>33</v>
      </c>
    </row>
    <row r="58" spans="1:4" s="9" customFormat="1">
      <c r="A58" s="5" t="str">
        <f t="shared" si="3"/>
        <v>000BA380</v>
      </c>
      <c r="B58" s="6" t="s">
        <v>85</v>
      </c>
      <c r="C58" s="5" t="s">
        <v>34</v>
      </c>
      <c r="D58" s="5"/>
    </row>
    <row r="59" spans="1:4" s="9" customFormat="1">
      <c r="A59" s="5" t="str">
        <f t="shared" si="3"/>
        <v>000BA384</v>
      </c>
      <c r="B59" s="6" t="s">
        <v>23</v>
      </c>
      <c r="C59" s="5" t="s">
        <v>18</v>
      </c>
      <c r="D59" s="5"/>
    </row>
    <row r="60" spans="1:4" s="9" customFormat="1">
      <c r="A60" s="5" t="str">
        <f t="shared" si="3"/>
        <v>000BA388</v>
      </c>
      <c r="B60" s="5" t="s">
        <v>86</v>
      </c>
      <c r="C60" s="5" t="str">
        <f>_xlfn.CONCAT("bne 0x",A$76)</f>
        <v>bne 0x000BA3C8</v>
      </c>
      <c r="D60" s="5"/>
    </row>
    <row r="61" spans="1:4" s="9" customFormat="1">
      <c r="A61" s="4" t="str">
        <f t="shared" si="3"/>
        <v>000BA38C</v>
      </c>
      <c r="B61" s="4" t="s">
        <v>35</v>
      </c>
      <c r="C61" s="4" t="s">
        <v>36</v>
      </c>
      <c r="D61" s="4" t="s">
        <v>48</v>
      </c>
    </row>
    <row r="62" spans="1:4" s="9" customFormat="1">
      <c r="A62" s="4" t="str">
        <f t="shared" si="3"/>
        <v>000BA390</v>
      </c>
      <c r="B62" s="7" t="s">
        <v>87</v>
      </c>
      <c r="C62" s="4" t="s">
        <v>34</v>
      </c>
      <c r="D62" s="4"/>
    </row>
    <row r="63" spans="1:4" s="9" customFormat="1">
      <c r="A63" s="4" t="str">
        <f t="shared" si="3"/>
        <v>000BA394</v>
      </c>
      <c r="B63" s="11" t="s">
        <v>88</v>
      </c>
      <c r="C63" s="12" t="s">
        <v>47</v>
      </c>
      <c r="D63" s="4"/>
    </row>
    <row r="64" spans="1:4" s="9" customFormat="1">
      <c r="A64" s="4" t="str">
        <f t="shared" si="3"/>
        <v>000BA398</v>
      </c>
      <c r="B64" s="11" t="s">
        <v>89</v>
      </c>
      <c r="C64" s="4" t="str">
        <f>_xlfn.CONCAT("bne 0x",A$76)</f>
        <v>bne 0x000BA3C8</v>
      </c>
      <c r="D64" s="4"/>
    </row>
    <row r="65" spans="1:4" s="9" customFormat="1">
      <c r="A65" s="8" t="str">
        <f t="shared" si="3"/>
        <v>000BA39C</v>
      </c>
      <c r="B65" s="13" t="s">
        <v>37</v>
      </c>
      <c r="C65" s="8" t="s">
        <v>38</v>
      </c>
      <c r="D65" s="8" t="s">
        <v>49</v>
      </c>
    </row>
    <row r="66" spans="1:4" s="9" customFormat="1">
      <c r="A66" s="8" t="str">
        <f t="shared" si="3"/>
        <v>000BA3A0</v>
      </c>
      <c r="B66" s="13" t="s">
        <v>90</v>
      </c>
      <c r="C66" s="8" t="s">
        <v>34</v>
      </c>
      <c r="D66" s="8"/>
    </row>
    <row r="67" spans="1:4" s="9" customFormat="1">
      <c r="A67" s="14" t="str">
        <f t="shared" si="3"/>
        <v>000BA3A4</v>
      </c>
      <c r="B67" s="15" t="s">
        <v>91</v>
      </c>
      <c r="C67" s="14" t="s">
        <v>51</v>
      </c>
      <c r="D67" s="14" t="s">
        <v>50</v>
      </c>
    </row>
    <row r="68" spans="1:4" s="9" customFormat="1">
      <c r="A68" s="14" t="str">
        <f t="shared" si="3"/>
        <v>000BA3A8</v>
      </c>
      <c r="B68" s="15" t="s">
        <v>92</v>
      </c>
      <c r="C68" s="14" t="str">
        <f>_xlfn.CONCAT("bne 0x",A$76)</f>
        <v>bne 0x000BA3C8</v>
      </c>
      <c r="D68" s="14"/>
    </row>
    <row r="69" spans="1:4" s="9" customFormat="1">
      <c r="A69" s="21" t="str">
        <f t="shared" si="3"/>
        <v>000BA3AC</v>
      </c>
      <c r="B69" s="22" t="s">
        <v>93</v>
      </c>
      <c r="C69" s="21" t="s">
        <v>52</v>
      </c>
      <c r="D69" s="21" t="s">
        <v>53</v>
      </c>
    </row>
    <row r="70" spans="1:4" s="9" customFormat="1">
      <c r="A70" s="21" t="str">
        <f t="shared" si="3"/>
        <v>000BA3B0</v>
      </c>
      <c r="B70" s="22" t="s">
        <v>94</v>
      </c>
      <c r="C70" s="21" t="s">
        <v>54</v>
      </c>
      <c r="D70" s="21"/>
    </row>
    <row r="71" spans="1:4" s="9" customFormat="1">
      <c r="A71" s="21" t="str">
        <f t="shared" si="3"/>
        <v>000BA3B4</v>
      </c>
      <c r="B71" s="22" t="s">
        <v>95</v>
      </c>
      <c r="C71" s="21" t="s">
        <v>55</v>
      </c>
      <c r="D71" s="21"/>
    </row>
    <row r="72" spans="1:4" s="9" customFormat="1">
      <c r="A72" s="2" t="str">
        <f t="shared" si="3"/>
        <v>000BA3B8</v>
      </c>
      <c r="B72" s="16" t="s">
        <v>39</v>
      </c>
      <c r="C72" s="17" t="str">
        <f>SUBSTITUTE(C54,"push","pop")</f>
        <v>pop {r4, r5, r6, lr}</v>
      </c>
      <c r="D72" s="2"/>
    </row>
    <row r="73" spans="1:4" s="9" customFormat="1">
      <c r="A73" s="18" t="str">
        <f t="shared" si="3"/>
        <v>000BA3BC</v>
      </c>
      <c r="B73" s="19" t="s">
        <v>40</v>
      </c>
      <c r="C73" s="20" t="s">
        <v>41</v>
      </c>
      <c r="D73" s="18" t="s">
        <v>42</v>
      </c>
    </row>
    <row r="74" spans="1:4" s="9" customFormat="1">
      <c r="A74" s="18" t="str">
        <f t="shared" si="3"/>
        <v>000BA3C0</v>
      </c>
      <c r="B74" s="19" t="s">
        <v>43</v>
      </c>
      <c r="C74" s="20" t="s">
        <v>44</v>
      </c>
      <c r="D74" s="18"/>
    </row>
    <row r="75" spans="1:4" s="9" customFormat="1">
      <c r="A75" s="18" t="str">
        <f t="shared" si="3"/>
        <v>000BA3C4</v>
      </c>
      <c r="B75" s="19" t="s">
        <v>96</v>
      </c>
      <c r="C75" s="18" t="s">
        <v>45</v>
      </c>
      <c r="D75" s="18"/>
    </row>
    <row r="76" spans="1:4" s="9" customFormat="1">
      <c r="A76" s="2" t="str">
        <f t="shared" si="3"/>
        <v>000BA3C8</v>
      </c>
      <c r="B76" s="2" t="s">
        <v>46</v>
      </c>
      <c r="C76" s="2" t="str">
        <f>SUBSTITUTE(C72,"lr","pc")</f>
        <v>pop {r4, r5, r6, pc}</v>
      </c>
      <c r="D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2026-06-11T07:36:21Z</dcterms:modified>
</cp:coreProperties>
</file>