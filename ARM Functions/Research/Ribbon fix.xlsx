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Research\"/>
    </mc:Choice>
  </mc:AlternateContent>
  <xr:revisionPtr revIDLastSave="0" documentId="13_ncr:1_{FBA71668-B28C-4B90-90B8-A58AA9EDFD27}" xr6:coauthVersionLast="47" xr6:coauthVersionMax="47" xr10:uidLastSave="{00000000-0000-0000-0000-000000000000}"/>
  <bookViews>
    <workbookView xWindow="0" yWindow="0" windowWidth="16457" windowHeight="17914" activeTab="2" xr2:uid="{FFF8744C-F0B4-428F-8CA7-718350CADE02}"/>
  </bookViews>
  <sheets>
    <sheet name="Edited" sheetId="13" r:id="rId1"/>
    <sheet name="original" sheetId="17" r:id="rId2"/>
    <sheet name="search" sheetId="14" r:id="rId3"/>
    <sheet name="Sheet2" sheetId="16" r:id="rId4"/>
    <sheet name="Sheet1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4" l="1"/>
  <c r="E15" i="14"/>
  <c r="E14" i="14"/>
  <c r="E13" i="14"/>
  <c r="E12" i="14"/>
  <c r="E11" i="14"/>
  <c r="E10" i="14"/>
  <c r="E9" i="14"/>
  <c r="E8" i="14"/>
  <c r="E7" i="14"/>
  <c r="E6" i="14"/>
  <c r="E5" i="14"/>
  <c r="E4" i="14"/>
  <c r="D15" i="14"/>
  <c r="D14" i="14"/>
  <c r="D13" i="14"/>
  <c r="D12" i="14"/>
  <c r="D11" i="14"/>
  <c r="D10" i="14"/>
  <c r="D9" i="14"/>
  <c r="D8" i="14"/>
  <c r="D7" i="14"/>
  <c r="D6" i="14"/>
  <c r="D5" i="14"/>
  <c r="D4" i="14"/>
  <c r="R43" i="16" l="1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C35" i="13"/>
  <c r="E23" i="13"/>
  <c r="C82" i="13"/>
  <c r="C80" i="13"/>
  <c r="A73" i="13"/>
  <c r="A74" i="13" s="1"/>
  <c r="A26" i="16"/>
  <c r="A27" i="16" s="1"/>
  <c r="A28" i="16" s="1"/>
  <c r="A29" i="16" s="1"/>
  <c r="A30" i="16" s="1"/>
  <c r="A31" i="16" s="1"/>
  <c r="A32" i="16" s="1"/>
  <c r="A33" i="16" s="1"/>
  <c r="C23" i="13"/>
  <c r="A33" i="13"/>
  <c r="A34" i="13" s="1"/>
  <c r="A35" i="13" s="1"/>
  <c r="A36" i="13" s="1"/>
  <c r="A37" i="13" s="1"/>
  <c r="A38" i="13" s="1"/>
  <c r="A39" i="13" s="1"/>
  <c r="A40" i="13" s="1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4" i="17"/>
  <c r="A5" i="17" s="1"/>
  <c r="A21" i="13" l="1"/>
  <c r="A22" i="13" s="1"/>
  <c r="A23" i="13" s="1"/>
  <c r="A24" i="13" s="1"/>
  <c r="A25" i="13" s="1"/>
  <c r="A26" i="13" s="1"/>
  <c r="A27" i="13" s="1"/>
  <c r="A28" i="13" s="1"/>
  <c r="A29" i="13" s="1"/>
  <c r="C58" i="13"/>
  <c r="A41" i="13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C6" i="13"/>
  <c r="S43" i="16"/>
  <c r="A6" i="17"/>
  <c r="A7" i="17" s="1"/>
  <c r="A8" i="17" s="1"/>
  <c r="A9" i="17" s="1"/>
  <c r="A10" i="17" s="1"/>
  <c r="C21" i="13" l="1"/>
  <c r="A11" i="17"/>
  <c r="A12" i="17" s="1"/>
  <c r="A13" i="17" s="1"/>
  <c r="A14" i="17" s="1"/>
  <c r="C47" i="13" l="1"/>
  <c r="A15" i="17"/>
  <c r="A16" i="17" s="1"/>
  <c r="C52" i="13" l="1"/>
  <c r="A17" i="17"/>
  <c r="A69" i="13" l="1"/>
  <c r="A70" i="13" s="1"/>
  <c r="A71" i="13" s="1"/>
  <c r="A72" i="13" s="1"/>
  <c r="A18" i="17"/>
  <c r="C45" i="13" l="1"/>
  <c r="A19" i="17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75" i="13" l="1"/>
  <c r="A76" i="13" l="1"/>
  <c r="A77" i="13" s="1"/>
  <c r="A78" i="13" s="1"/>
  <c r="A79" i="13" s="1"/>
  <c r="A80" i="13" s="1"/>
  <c r="A81" i="13" s="1"/>
  <c r="A82" i="13" s="1"/>
  <c r="A83" i="13" s="1"/>
  <c r="C74" i="13" l="1"/>
  <c r="P15" i="16" l="1"/>
  <c r="P16" i="16" s="1"/>
  <c r="P17" i="16" s="1"/>
  <c r="P18" i="16" s="1"/>
  <c r="P19" i="16" s="1"/>
  <c r="P20" i="16" s="1"/>
  <c r="P21" i="16" s="1"/>
  <c r="P22" i="16" s="1"/>
  <c r="P23" i="16" s="1"/>
  <c r="P24" i="16" s="1"/>
  <c r="P25" i="16" s="1"/>
  <c r="P26" i="16" s="1"/>
  <c r="P27" i="16" s="1"/>
  <c r="P28" i="16" s="1"/>
  <c r="P29" i="16" s="1"/>
  <c r="P30" i="16" s="1"/>
  <c r="P31" i="16" s="1"/>
  <c r="P32" i="16" s="1"/>
  <c r="P33" i="16" s="1"/>
  <c r="P34" i="16" s="1"/>
  <c r="P35" i="16" s="1"/>
  <c r="P36" i="16" s="1"/>
  <c r="P37" i="16" s="1"/>
  <c r="P38" i="16" s="1"/>
  <c r="P39" i="16" s="1"/>
  <c r="P40" i="16" s="1"/>
  <c r="P41" i="16" s="1"/>
  <c r="P42" i="16" s="1"/>
  <c r="P43" i="16" s="1"/>
  <c r="P14" i="16"/>
  <c r="S1" i="16" l="1"/>
  <c r="R1" i="16"/>
  <c r="N2" i="16"/>
  <c r="N1" i="16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O2" i="16"/>
  <c r="P2" i="16" s="1"/>
  <c r="Q2" i="16" s="1"/>
  <c r="O1" i="16"/>
  <c r="P1" i="16" s="1"/>
  <c r="Q1" i="16" s="1"/>
  <c r="M3" i="16"/>
  <c r="B17" i="14"/>
  <c r="C15" i="14"/>
  <c r="C14" i="14"/>
  <c r="C13" i="14"/>
  <c r="C12" i="14"/>
  <c r="C11" i="14"/>
  <c r="C10" i="14"/>
  <c r="C9" i="14"/>
  <c r="C8" i="14"/>
  <c r="C7" i="14"/>
  <c r="C6" i="14"/>
  <c r="C5" i="14"/>
  <c r="O3" i="16" l="1"/>
  <c r="P3" i="16" s="1"/>
  <c r="Q3" i="16" s="1"/>
  <c r="M4" i="16"/>
  <c r="M6" i="16" l="1"/>
  <c r="B90" i="16" s="1"/>
  <c r="B66" i="16"/>
  <c r="B65" i="16"/>
  <c r="B93" i="16"/>
  <c r="B119" i="16"/>
  <c r="B67" i="16"/>
  <c r="B44" i="16"/>
  <c r="B69" i="16"/>
  <c r="B47" i="16"/>
  <c r="B118" i="16"/>
  <c r="B108" i="16"/>
  <c r="B46" i="16"/>
  <c r="B50" i="16"/>
  <c r="B70" i="16"/>
  <c r="B121" i="16"/>
  <c r="B43" i="16"/>
  <c r="B75" i="16"/>
  <c r="B73" i="16"/>
  <c r="B78" i="16"/>
  <c r="B58" i="16"/>
  <c r="B55" i="16"/>
  <c r="B49" i="16"/>
  <c r="B72" i="16"/>
  <c r="B92" i="16"/>
  <c r="B124" i="16"/>
  <c r="B117" i="16"/>
  <c r="B97" i="16"/>
  <c r="B57" i="16"/>
  <c r="B48" i="16"/>
  <c r="B123" i="16"/>
  <c r="B101" i="16"/>
  <c r="B74" i="16"/>
  <c r="B94" i="16"/>
  <c r="B96" i="16"/>
  <c r="B125" i="16"/>
  <c r="B71" i="16"/>
  <c r="B42" i="16"/>
  <c r="B105" i="16"/>
  <c r="B85" i="16"/>
  <c r="B116" i="16"/>
  <c r="B103" i="16"/>
  <c r="B80" i="16"/>
  <c r="B126" i="16"/>
  <c r="B95" i="16"/>
  <c r="B91" i="16"/>
  <c r="B120" i="16"/>
  <c r="B98" i="16"/>
  <c r="B107" i="16"/>
  <c r="B88" i="16"/>
  <c r="B106" i="16"/>
  <c r="B45" i="16"/>
  <c r="B122" i="16"/>
  <c r="B87" i="16"/>
  <c r="B53" i="16"/>
  <c r="B84" i="16"/>
  <c r="B52" i="16"/>
  <c r="B59" i="16"/>
  <c r="B89" i="16"/>
  <c r="B110" i="16"/>
  <c r="B83" i="16"/>
  <c r="B51" i="16"/>
  <c r="B113" i="16"/>
  <c r="B64" i="16"/>
  <c r="B127" i="16"/>
  <c r="B82" i="16"/>
  <c r="B63" i="16"/>
  <c r="B104" i="16"/>
  <c r="B102" i="16"/>
  <c r="B81" i="16"/>
  <c r="B41" i="16"/>
  <c r="B62" i="16"/>
  <c r="B61" i="16"/>
  <c r="B99" i="16"/>
  <c r="B79" i="16"/>
  <c r="B40" i="16"/>
  <c r="B77" i="16"/>
  <c r="B100" i="16"/>
  <c r="B56" i="16"/>
  <c r="B54" i="16"/>
  <c r="B115" i="16"/>
  <c r="B39" i="16"/>
  <c r="B114" i="16"/>
  <c r="B109" i="16"/>
  <c r="B60" i="16"/>
  <c r="B112" i="16"/>
  <c r="B76" i="16"/>
  <c r="B38" i="16"/>
  <c r="B111" i="16"/>
  <c r="O4" i="16"/>
  <c r="P4" i="16" s="1"/>
  <c r="Q4" i="16" s="1"/>
  <c r="M5" i="16"/>
  <c r="O6" i="16"/>
  <c r="P6" i="16" s="1"/>
  <c r="Q6" i="16" s="1"/>
  <c r="B68" i="16" l="1"/>
  <c r="B86" i="16"/>
  <c r="B3" i="16"/>
  <c r="B20" i="16"/>
  <c r="B37" i="16"/>
  <c r="B17" i="16"/>
  <c r="B36" i="16"/>
  <c r="B16" i="16"/>
  <c r="B35" i="16"/>
  <c r="B15" i="16"/>
  <c r="B34" i="16"/>
  <c r="B14" i="16"/>
  <c r="B33" i="16"/>
  <c r="B13" i="16"/>
  <c r="B32" i="16"/>
  <c r="B12" i="16"/>
  <c r="B31" i="16"/>
  <c r="B11" i="16"/>
  <c r="B30" i="16"/>
  <c r="B10" i="16"/>
  <c r="B29" i="16"/>
  <c r="B9" i="16"/>
  <c r="B28" i="16"/>
  <c r="B8" i="16"/>
  <c r="B27" i="16"/>
  <c r="B7" i="16"/>
  <c r="B26" i="16"/>
  <c r="B6" i="16"/>
  <c r="B25" i="16"/>
  <c r="B5" i="16"/>
  <c r="B24" i="16"/>
  <c r="B4" i="16"/>
  <c r="B23" i="16"/>
  <c r="B2" i="16"/>
  <c r="B22" i="16"/>
  <c r="B21" i="16"/>
  <c r="B19" i="16"/>
  <c r="B18" i="16"/>
  <c r="O5" i="16"/>
  <c r="P5" i="16" s="1"/>
  <c r="Q5" i="16" s="1"/>
  <c r="N5" i="16"/>
  <c r="N12" i="16" s="1"/>
  <c r="E2" i="16" l="1"/>
  <c r="O12" i="16"/>
  <c r="E3" i="16" l="1"/>
  <c r="F2" i="16"/>
  <c r="D2" i="16"/>
  <c r="C2" i="16" s="1"/>
  <c r="G2" i="16" s="1"/>
  <c r="D3" i="16"/>
  <c r="C3" i="16" s="1"/>
  <c r="G3" i="16" s="1"/>
  <c r="E4" i="16" l="1"/>
  <c r="F3" i="16"/>
  <c r="D4" i="16"/>
  <c r="C4" i="16" s="1"/>
  <c r="G4" i="16" s="1"/>
  <c r="E5" i="16" l="1"/>
  <c r="F4" i="16"/>
  <c r="D5" i="16"/>
  <c r="C5" i="16" s="1"/>
  <c r="G5" i="16" s="1"/>
  <c r="E6" i="16" l="1"/>
  <c r="D6" i="16" s="1"/>
  <c r="C6" i="16" s="1"/>
  <c r="G6" i="16" s="1"/>
  <c r="F5" i="16"/>
  <c r="E7" i="16" l="1"/>
  <c r="D7" i="16" s="1"/>
  <c r="C7" i="16" s="1"/>
  <c r="G7" i="16" s="1"/>
  <c r="F6" i="16"/>
  <c r="E8" i="16" l="1"/>
  <c r="D8" i="16" s="1"/>
  <c r="C8" i="16" s="1"/>
  <c r="G8" i="16" s="1"/>
  <c r="F7" i="16"/>
  <c r="E9" i="16" l="1"/>
  <c r="D9" i="16" s="1"/>
  <c r="C9" i="16" s="1"/>
  <c r="G9" i="16" s="1"/>
  <c r="F8" i="16"/>
  <c r="E10" i="16" l="1"/>
  <c r="F9" i="16"/>
  <c r="D10" i="16"/>
  <c r="C10" i="16" s="1"/>
  <c r="G10" i="16" s="1"/>
  <c r="E11" i="16" l="1"/>
  <c r="F10" i="16"/>
  <c r="D11" i="16"/>
  <c r="C11" i="16" s="1"/>
  <c r="G11" i="16" s="1"/>
  <c r="E12" i="16" l="1"/>
  <c r="F11" i="16"/>
  <c r="D12" i="16"/>
  <c r="C12" i="16" s="1"/>
  <c r="G12" i="16" s="1"/>
  <c r="E13" i="16" l="1"/>
  <c r="F12" i="16"/>
  <c r="D13" i="16"/>
  <c r="C13" i="16" s="1"/>
  <c r="G13" i="16" s="1"/>
  <c r="E14" i="16" l="1"/>
  <c r="D14" i="16" s="1"/>
  <c r="C14" i="16" s="1"/>
  <c r="G14" i="16" s="1"/>
  <c r="F13" i="16"/>
  <c r="E15" i="16" l="1"/>
  <c r="F14" i="16"/>
  <c r="D15" i="16"/>
  <c r="C15" i="16" s="1"/>
  <c r="G15" i="16" s="1"/>
  <c r="D35" i="14"/>
  <c r="C35" i="14"/>
  <c r="D34" i="14"/>
  <c r="C34" i="14"/>
  <c r="D33" i="14"/>
  <c r="C33" i="14"/>
  <c r="D32" i="14"/>
  <c r="C32" i="14"/>
  <c r="D31" i="14"/>
  <c r="C31" i="14"/>
  <c r="D30" i="14"/>
  <c r="C30" i="14"/>
  <c r="D38" i="14"/>
  <c r="C38" i="14"/>
  <c r="D37" i="14"/>
  <c r="D36" i="14"/>
  <c r="C37" i="14"/>
  <c r="C36" i="14"/>
  <c r="C4" i="14"/>
  <c r="J10" i="15"/>
  <c r="J17" i="15"/>
  <c r="J16" i="15"/>
  <c r="J15" i="15"/>
  <c r="J14" i="15"/>
  <c r="J13" i="15"/>
  <c r="J12" i="15"/>
  <c r="J11" i="15"/>
  <c r="E16" i="16" l="1"/>
  <c r="F15" i="16"/>
  <c r="D16" i="16"/>
  <c r="C16" i="16" s="1"/>
  <c r="G16" i="16" s="1"/>
  <c r="A9" i="15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E17" i="16" l="1"/>
  <c r="D17" i="16" s="1"/>
  <c r="C17" i="16" s="1"/>
  <c r="G17" i="16" s="1"/>
  <c r="F16" i="16"/>
  <c r="A17" i="14"/>
  <c r="C16" i="14"/>
  <c r="A10" i="15"/>
  <c r="A11" i="15" s="1"/>
  <c r="A12" i="15" s="1"/>
  <c r="A13" i="15" s="1"/>
  <c r="E18" i="16" l="1"/>
  <c r="F17" i="16"/>
  <c r="D18" i="16"/>
  <c r="C18" i="16" s="1"/>
  <c r="G18" i="16" s="1"/>
  <c r="A18" i="14"/>
  <c r="A19" i="14" s="1"/>
  <c r="A20" i="14" s="1"/>
  <c r="A21" i="14" s="1"/>
  <c r="A22" i="14" s="1"/>
  <c r="A23" i="14" s="1"/>
  <c r="A24" i="14" s="1"/>
  <c r="C3" i="14"/>
  <c r="A14" i="15"/>
  <c r="A15" i="15" s="1"/>
  <c r="A16" i="15" s="1"/>
  <c r="E19" i="16" l="1"/>
  <c r="F18" i="16"/>
  <c r="D19" i="16"/>
  <c r="C19" i="16" s="1"/>
  <c r="G19" i="16" s="1"/>
  <c r="A17" i="15"/>
  <c r="A18" i="15" s="1"/>
  <c r="A19" i="15" s="1"/>
  <c r="A20" i="15" s="1"/>
  <c r="A21" i="15" s="1"/>
  <c r="A22" i="15" s="1"/>
  <c r="E20" i="16" l="1"/>
  <c r="F19" i="16"/>
  <c r="D20" i="16"/>
  <c r="C20" i="16" s="1"/>
  <c r="G20" i="16" s="1"/>
  <c r="E21" i="16" l="1"/>
  <c r="F20" i="16"/>
  <c r="D21" i="16"/>
  <c r="C21" i="16" s="1"/>
  <c r="G21" i="16" s="1"/>
  <c r="E22" i="16" l="1"/>
  <c r="F21" i="16"/>
  <c r="D22" i="16"/>
  <c r="C22" i="16" s="1"/>
  <c r="G22" i="16" s="1"/>
  <c r="E23" i="16" l="1"/>
  <c r="F22" i="16"/>
  <c r="D23" i="16"/>
  <c r="C23" i="16" s="1"/>
  <c r="G23" i="16" s="1"/>
  <c r="E24" i="16" l="1"/>
  <c r="F23" i="16"/>
  <c r="D24" i="16"/>
  <c r="C24" i="16" s="1"/>
  <c r="G24" i="16" s="1"/>
  <c r="E25" i="16" l="1"/>
  <c r="F24" i="16"/>
  <c r="D25" i="16"/>
  <c r="C25" i="16" s="1"/>
  <c r="G25" i="16" s="1"/>
  <c r="E26" i="16" l="1"/>
  <c r="D26" i="16" s="1"/>
  <c r="C26" i="16" s="1"/>
  <c r="G26" i="16" s="1"/>
  <c r="F25" i="16"/>
  <c r="E27" i="16" l="1"/>
  <c r="D27" i="16" s="1"/>
  <c r="C27" i="16" s="1"/>
  <c r="G27" i="16" s="1"/>
  <c r="F26" i="16"/>
  <c r="E28" i="16" l="1"/>
  <c r="D28" i="16" s="1"/>
  <c r="C28" i="16" s="1"/>
  <c r="G28" i="16" s="1"/>
  <c r="F27" i="16"/>
  <c r="E29" i="16" l="1"/>
  <c r="F28" i="16"/>
  <c r="D29" i="16"/>
  <c r="C29" i="16" s="1"/>
  <c r="G29" i="16" s="1"/>
  <c r="E30" i="16" l="1"/>
  <c r="F29" i="16"/>
  <c r="D30" i="16"/>
  <c r="C30" i="16" s="1"/>
  <c r="G30" i="16" s="1"/>
  <c r="E31" i="16" l="1"/>
  <c r="F30" i="16"/>
  <c r="D31" i="16"/>
  <c r="C31" i="16" s="1"/>
  <c r="G31" i="16" s="1"/>
  <c r="E32" i="16" l="1"/>
  <c r="F31" i="16"/>
  <c r="D32" i="16"/>
  <c r="C32" i="16" s="1"/>
  <c r="G32" i="16" s="1"/>
  <c r="E33" i="16" l="1"/>
  <c r="F32" i="16"/>
  <c r="D33" i="16"/>
  <c r="C33" i="16" s="1"/>
  <c r="G33" i="16" s="1"/>
  <c r="E34" i="16" l="1"/>
  <c r="F33" i="16"/>
  <c r="D34" i="16"/>
  <c r="C34" i="16" s="1"/>
  <c r="G34" i="16" s="1"/>
  <c r="E35" i="16" l="1"/>
  <c r="D35" i="16" s="1"/>
  <c r="C35" i="16" s="1"/>
  <c r="G35" i="16" s="1"/>
  <c r="F34" i="16"/>
  <c r="E36" i="16" l="1"/>
  <c r="F35" i="16"/>
  <c r="D36" i="16"/>
  <c r="C36" i="16" s="1"/>
  <c r="G36" i="16" s="1"/>
  <c r="E37" i="16" l="1"/>
  <c r="F36" i="16"/>
  <c r="E38" i="16" l="1"/>
  <c r="F37" i="16"/>
  <c r="D37" i="16"/>
  <c r="C37" i="16" s="1"/>
  <c r="G37" i="16" s="1"/>
  <c r="E39" i="16" l="1"/>
  <c r="F38" i="16"/>
  <c r="D38" i="16"/>
  <c r="C38" i="16" s="1"/>
  <c r="G38" i="16" s="1"/>
  <c r="F39" i="16" l="1"/>
  <c r="E40" i="16"/>
  <c r="D39" i="16"/>
  <c r="C39" i="16" s="1"/>
  <c r="G39" i="16" s="1"/>
  <c r="F40" i="16" l="1"/>
  <c r="D40" i="16"/>
  <c r="C40" i="16" s="1"/>
  <c r="G40" i="16" s="1"/>
  <c r="E41" i="16"/>
  <c r="F41" i="16" l="1"/>
  <c r="D41" i="16"/>
  <c r="C41" i="16" s="1"/>
  <c r="G41" i="16" s="1"/>
  <c r="E42" i="16"/>
  <c r="F42" i="16" l="1"/>
  <c r="E43" i="16"/>
  <c r="D42" i="16"/>
  <c r="C42" i="16" s="1"/>
  <c r="G42" i="16" s="1"/>
  <c r="F43" i="16" l="1"/>
  <c r="D43" i="16"/>
  <c r="C43" i="16" s="1"/>
  <c r="G43" i="16" s="1"/>
  <c r="E44" i="16"/>
  <c r="F44" i="16" l="1"/>
  <c r="D44" i="16"/>
  <c r="C44" i="16" s="1"/>
  <c r="G44" i="16" s="1"/>
  <c r="E45" i="16"/>
  <c r="F45" i="16" l="1"/>
  <c r="E46" i="16"/>
  <c r="D45" i="16"/>
  <c r="C45" i="16" s="1"/>
  <c r="G45" i="16" s="1"/>
  <c r="F46" i="16" l="1"/>
  <c r="D46" i="16"/>
  <c r="C46" i="16" s="1"/>
  <c r="G46" i="16" s="1"/>
  <c r="E47" i="16"/>
  <c r="F47" i="16" l="1"/>
  <c r="E48" i="16"/>
  <c r="D47" i="16"/>
  <c r="C47" i="16" s="1"/>
  <c r="G47" i="16" s="1"/>
  <c r="F48" i="16" l="1"/>
  <c r="E49" i="16"/>
  <c r="D48" i="16"/>
  <c r="C48" i="16" s="1"/>
  <c r="G48" i="16" s="1"/>
  <c r="F49" i="16" l="1"/>
  <c r="E50" i="16"/>
  <c r="D49" i="16"/>
  <c r="C49" i="16" s="1"/>
  <c r="G49" i="16" s="1"/>
  <c r="F50" i="16" l="1"/>
  <c r="E51" i="16"/>
  <c r="D50" i="16"/>
  <c r="C50" i="16" s="1"/>
  <c r="G50" i="16" s="1"/>
  <c r="F51" i="16" l="1"/>
  <c r="E52" i="16"/>
  <c r="D51" i="16"/>
  <c r="C51" i="16" s="1"/>
  <c r="G51" i="16" s="1"/>
  <c r="F52" i="16" l="1"/>
  <c r="D52" i="16"/>
  <c r="C52" i="16" s="1"/>
  <c r="G52" i="16" s="1"/>
  <c r="E53" i="16"/>
  <c r="F53" i="16" l="1"/>
  <c r="D53" i="16"/>
  <c r="C53" i="16" s="1"/>
  <c r="G53" i="16" s="1"/>
  <c r="E54" i="16"/>
  <c r="F54" i="16" l="1"/>
  <c r="E55" i="16"/>
  <c r="D54" i="16"/>
  <c r="C54" i="16" s="1"/>
  <c r="G54" i="16" s="1"/>
  <c r="F55" i="16" l="1"/>
  <c r="E56" i="16"/>
  <c r="D55" i="16"/>
  <c r="C55" i="16" s="1"/>
  <c r="G55" i="16" s="1"/>
  <c r="F56" i="16" l="1"/>
  <c r="D56" i="16"/>
  <c r="C56" i="16" s="1"/>
  <c r="G56" i="16" s="1"/>
  <c r="E57" i="16"/>
  <c r="F57" i="16" l="1"/>
  <c r="E58" i="16"/>
  <c r="D57" i="16"/>
  <c r="C57" i="16" s="1"/>
  <c r="G57" i="16" s="1"/>
  <c r="F58" i="16" l="1"/>
  <c r="E59" i="16"/>
  <c r="D58" i="16"/>
  <c r="C58" i="16" s="1"/>
  <c r="G58" i="16" s="1"/>
  <c r="F59" i="16" l="1"/>
  <c r="D59" i="16"/>
  <c r="C59" i="16" s="1"/>
  <c r="G59" i="16" s="1"/>
  <c r="E60" i="16"/>
  <c r="F60" i="16" l="1"/>
  <c r="D60" i="16"/>
  <c r="C60" i="16" s="1"/>
  <c r="G60" i="16" s="1"/>
  <c r="E61" i="16"/>
  <c r="F61" i="16" l="1"/>
  <c r="D61" i="16"/>
  <c r="C61" i="16" s="1"/>
  <c r="G61" i="16" s="1"/>
  <c r="E62" i="16"/>
  <c r="F62" i="16" l="1"/>
  <c r="D62" i="16"/>
  <c r="C62" i="16" s="1"/>
  <c r="G62" i="16" s="1"/>
  <c r="E63" i="16"/>
  <c r="F63" i="16" l="1"/>
  <c r="E64" i="16"/>
  <c r="D63" i="16"/>
  <c r="C63" i="16" s="1"/>
  <c r="G63" i="16" s="1"/>
  <c r="F64" i="16" l="1"/>
  <c r="E65" i="16"/>
  <c r="D64" i="16"/>
  <c r="C64" i="16" s="1"/>
  <c r="G64" i="16" s="1"/>
  <c r="F65" i="16" l="1"/>
  <c r="D65" i="16"/>
  <c r="C65" i="16" s="1"/>
  <c r="G65" i="16" s="1"/>
  <c r="E66" i="16"/>
  <c r="F66" i="16" l="1"/>
  <c r="E67" i="16"/>
  <c r="D66" i="16"/>
  <c r="C66" i="16" s="1"/>
  <c r="G66" i="16" s="1"/>
  <c r="F67" i="16" l="1"/>
  <c r="E68" i="16"/>
  <c r="D67" i="16"/>
  <c r="C67" i="16" s="1"/>
  <c r="G67" i="16" s="1"/>
  <c r="F68" i="16" l="1"/>
  <c r="D68" i="16"/>
  <c r="C68" i="16" s="1"/>
  <c r="G68" i="16" s="1"/>
  <c r="E69" i="16"/>
  <c r="F69" i="16" l="1"/>
  <c r="E70" i="16"/>
  <c r="D69" i="16"/>
  <c r="C69" i="16" s="1"/>
  <c r="G69" i="16" s="1"/>
  <c r="F70" i="16" l="1"/>
  <c r="D70" i="16"/>
  <c r="C70" i="16" s="1"/>
  <c r="G70" i="16" s="1"/>
  <c r="E71" i="16"/>
  <c r="F71" i="16" l="1"/>
  <c r="D71" i="16"/>
  <c r="C71" i="16" s="1"/>
  <c r="G71" i="16" s="1"/>
  <c r="E72" i="16"/>
  <c r="F72" i="16" l="1"/>
  <c r="D72" i="16"/>
  <c r="C72" i="16" s="1"/>
  <c r="G72" i="16" s="1"/>
  <c r="E73" i="16"/>
  <c r="F73" i="16" l="1"/>
  <c r="D73" i="16"/>
  <c r="C73" i="16" s="1"/>
  <c r="G73" i="16" s="1"/>
  <c r="E74" i="16"/>
  <c r="F74" i="16" l="1"/>
  <c r="D74" i="16"/>
  <c r="C74" i="16" s="1"/>
  <c r="G74" i="16" s="1"/>
  <c r="E75" i="16"/>
  <c r="F75" i="16" l="1"/>
  <c r="D75" i="16"/>
  <c r="C75" i="16" s="1"/>
  <c r="G75" i="16" s="1"/>
  <c r="E76" i="16"/>
  <c r="F76" i="16" l="1"/>
  <c r="D76" i="16"/>
  <c r="C76" i="16" s="1"/>
  <c r="G76" i="16" s="1"/>
  <c r="E77" i="16"/>
  <c r="F77" i="16" l="1"/>
  <c r="D77" i="16"/>
  <c r="C77" i="16" s="1"/>
  <c r="G77" i="16" s="1"/>
  <c r="E78" i="16"/>
  <c r="F78" i="16" l="1"/>
  <c r="E79" i="16"/>
  <c r="D78" i="16"/>
  <c r="C78" i="16" s="1"/>
  <c r="G78" i="16" s="1"/>
  <c r="F79" i="16" l="1"/>
  <c r="E80" i="16"/>
  <c r="D79" i="16"/>
  <c r="C79" i="16" s="1"/>
  <c r="G79" i="16" s="1"/>
  <c r="F80" i="16" l="1"/>
  <c r="D80" i="16"/>
  <c r="C80" i="16" s="1"/>
  <c r="G80" i="16" s="1"/>
  <c r="E81" i="16"/>
  <c r="F81" i="16" l="1"/>
  <c r="E82" i="16"/>
  <c r="D81" i="16"/>
  <c r="C81" i="16" s="1"/>
  <c r="G81" i="16" s="1"/>
  <c r="F82" i="16" l="1"/>
  <c r="E83" i="16"/>
  <c r="D82" i="16"/>
  <c r="C82" i="16" s="1"/>
  <c r="G82" i="16" s="1"/>
  <c r="F83" i="16" l="1"/>
  <c r="D83" i="16"/>
  <c r="C83" i="16" s="1"/>
  <c r="G83" i="16" s="1"/>
  <c r="E84" i="16"/>
  <c r="F84" i="16" l="1"/>
  <c r="D84" i="16"/>
  <c r="C84" i="16" s="1"/>
  <c r="G84" i="16" s="1"/>
  <c r="E85" i="16"/>
  <c r="F85" i="16" l="1"/>
  <c r="E86" i="16"/>
  <c r="D85" i="16"/>
  <c r="C85" i="16" s="1"/>
  <c r="G85" i="16" s="1"/>
  <c r="F86" i="16" l="1"/>
  <c r="E87" i="16"/>
  <c r="D86" i="16"/>
  <c r="C86" i="16" s="1"/>
  <c r="G86" i="16" s="1"/>
  <c r="F87" i="16" l="1"/>
  <c r="E88" i="16"/>
  <c r="D87" i="16"/>
  <c r="C87" i="16" s="1"/>
  <c r="G87" i="16" s="1"/>
  <c r="F88" i="16" l="1"/>
  <c r="E89" i="16"/>
  <c r="D88" i="16"/>
  <c r="C88" i="16" s="1"/>
  <c r="G88" i="16" s="1"/>
  <c r="F89" i="16" l="1"/>
  <c r="D89" i="16"/>
  <c r="C89" i="16" s="1"/>
  <c r="G89" i="16" s="1"/>
  <c r="E90" i="16"/>
  <c r="F90" i="16" l="1"/>
  <c r="D90" i="16"/>
  <c r="C90" i="16" s="1"/>
  <c r="G90" i="16" s="1"/>
  <c r="E91" i="16"/>
  <c r="F91" i="16" l="1"/>
  <c r="E92" i="16"/>
  <c r="D91" i="16"/>
  <c r="C91" i="16" s="1"/>
  <c r="G91" i="16" s="1"/>
  <c r="F92" i="16" l="1"/>
  <c r="D92" i="16"/>
  <c r="C92" i="16" s="1"/>
  <c r="G92" i="16" s="1"/>
  <c r="E93" i="16"/>
  <c r="F93" i="16" l="1"/>
  <c r="D93" i="16"/>
  <c r="C93" i="16" s="1"/>
  <c r="G93" i="16" s="1"/>
  <c r="E94" i="16"/>
  <c r="F94" i="16" l="1"/>
  <c r="D94" i="16"/>
  <c r="C94" i="16" s="1"/>
  <c r="G94" i="16" s="1"/>
  <c r="E95" i="16"/>
  <c r="F95" i="16" l="1"/>
  <c r="D95" i="16"/>
  <c r="C95" i="16" s="1"/>
  <c r="G95" i="16" s="1"/>
  <c r="E96" i="16"/>
  <c r="F96" i="16" l="1"/>
  <c r="E97" i="16"/>
  <c r="D96" i="16"/>
  <c r="C96" i="16" s="1"/>
  <c r="G96" i="16" s="1"/>
  <c r="F97" i="16" l="1"/>
  <c r="E98" i="16"/>
  <c r="D97" i="16"/>
  <c r="C97" i="16" s="1"/>
  <c r="G97" i="16" s="1"/>
  <c r="F98" i="16" l="1"/>
  <c r="E99" i="16"/>
  <c r="D98" i="16"/>
  <c r="C98" i="16" s="1"/>
  <c r="G98" i="16" s="1"/>
  <c r="F99" i="16" l="1"/>
  <c r="D99" i="16"/>
  <c r="C99" i="16" s="1"/>
  <c r="G99" i="16" s="1"/>
  <c r="E100" i="16"/>
  <c r="F100" i="16" l="1"/>
  <c r="E101" i="16"/>
  <c r="D100" i="16"/>
  <c r="C100" i="16" s="1"/>
  <c r="G100" i="16" s="1"/>
  <c r="F101" i="16" l="1"/>
  <c r="D101" i="16"/>
  <c r="C101" i="16" s="1"/>
  <c r="G101" i="16" s="1"/>
  <c r="E102" i="16"/>
  <c r="F102" i="16" l="1"/>
  <c r="D102" i="16"/>
  <c r="C102" i="16" s="1"/>
  <c r="G102" i="16" s="1"/>
  <c r="E103" i="16"/>
  <c r="F103" i="16" l="1"/>
  <c r="D103" i="16"/>
  <c r="C103" i="16" s="1"/>
  <c r="G103" i="16" s="1"/>
  <c r="E104" i="16"/>
  <c r="F104" i="16" l="1"/>
  <c r="D104" i="16"/>
  <c r="C104" i="16" s="1"/>
  <c r="G104" i="16" s="1"/>
  <c r="E105" i="16"/>
  <c r="F105" i="16" l="1"/>
  <c r="E106" i="16"/>
  <c r="D105" i="16"/>
  <c r="C105" i="16" s="1"/>
  <c r="G105" i="16" s="1"/>
  <c r="F106" i="16" l="1"/>
  <c r="D106" i="16"/>
  <c r="C106" i="16" s="1"/>
  <c r="G106" i="16" s="1"/>
  <c r="E107" i="16"/>
  <c r="F107" i="16" l="1"/>
  <c r="E108" i="16"/>
  <c r="D107" i="16"/>
  <c r="C107" i="16" s="1"/>
  <c r="G107" i="16" s="1"/>
  <c r="F108" i="16" l="1"/>
  <c r="D108" i="16"/>
  <c r="C108" i="16" s="1"/>
  <c r="G108" i="16" s="1"/>
  <c r="E109" i="16"/>
  <c r="F109" i="16" l="1"/>
  <c r="D109" i="16"/>
  <c r="C109" i="16" s="1"/>
  <c r="G109" i="16" s="1"/>
  <c r="E110" i="16"/>
  <c r="F110" i="16" l="1"/>
  <c r="E111" i="16"/>
  <c r="D110" i="16"/>
  <c r="C110" i="16" s="1"/>
  <c r="G110" i="16" s="1"/>
  <c r="F111" i="16" l="1"/>
  <c r="D111" i="16"/>
  <c r="C111" i="16" s="1"/>
  <c r="G111" i="16" s="1"/>
  <c r="E112" i="16"/>
  <c r="F112" i="16" l="1"/>
  <c r="D112" i="16"/>
  <c r="C112" i="16" s="1"/>
  <c r="G112" i="16" s="1"/>
  <c r="E113" i="16"/>
  <c r="F113" i="16" l="1"/>
  <c r="D113" i="16"/>
  <c r="C113" i="16" s="1"/>
  <c r="G113" i="16" s="1"/>
  <c r="E114" i="16"/>
  <c r="F114" i="16" l="1"/>
  <c r="D114" i="16"/>
  <c r="C114" i="16" s="1"/>
  <c r="G114" i="16" s="1"/>
  <c r="E115" i="16"/>
  <c r="F115" i="16" l="1"/>
  <c r="E116" i="16"/>
  <c r="D115" i="16"/>
  <c r="C115" i="16" s="1"/>
  <c r="G115" i="16" s="1"/>
  <c r="F116" i="16" l="1"/>
  <c r="E117" i="16"/>
  <c r="D116" i="16"/>
  <c r="C116" i="16" s="1"/>
  <c r="G116" i="16" s="1"/>
  <c r="F117" i="16" l="1"/>
  <c r="D117" i="16"/>
  <c r="C117" i="16" s="1"/>
  <c r="G117" i="16" s="1"/>
  <c r="E118" i="16"/>
  <c r="F118" i="16" l="1"/>
  <c r="E119" i="16"/>
  <c r="D118" i="16"/>
  <c r="C118" i="16" s="1"/>
  <c r="G118" i="16" s="1"/>
  <c r="F119" i="16" l="1"/>
  <c r="E120" i="16"/>
  <c r="D119" i="16"/>
  <c r="C119" i="16" s="1"/>
  <c r="G119" i="16" s="1"/>
  <c r="F120" i="16" l="1"/>
  <c r="D120" i="16"/>
  <c r="C120" i="16" s="1"/>
  <c r="G120" i="16" s="1"/>
  <c r="E121" i="16"/>
  <c r="F121" i="16" l="1"/>
  <c r="E122" i="16"/>
  <c r="D121" i="16"/>
  <c r="C121" i="16" s="1"/>
  <c r="G121" i="16" s="1"/>
  <c r="F122" i="16" l="1"/>
  <c r="D122" i="16"/>
  <c r="C122" i="16" s="1"/>
  <c r="G122" i="16" s="1"/>
  <c r="E123" i="16"/>
  <c r="F123" i="16" l="1"/>
  <c r="D123" i="16"/>
  <c r="C123" i="16" s="1"/>
  <c r="G123" i="16" s="1"/>
  <c r="E124" i="16"/>
  <c r="F124" i="16" l="1"/>
  <c r="D124" i="16"/>
  <c r="C124" i="16" s="1"/>
  <c r="G124" i="16" s="1"/>
  <c r="E125" i="16"/>
  <c r="F125" i="16" l="1"/>
  <c r="D125" i="16"/>
  <c r="C125" i="16" s="1"/>
  <c r="G125" i="16" s="1"/>
  <c r="E126" i="16"/>
  <c r="F126" i="16" l="1"/>
  <c r="D126" i="16"/>
  <c r="C126" i="16" s="1"/>
  <c r="G126" i="16" s="1"/>
  <c r="E127" i="16"/>
  <c r="D127" i="16" l="1"/>
  <c r="C127" i="16" s="1"/>
  <c r="G127" i="16" s="1"/>
  <c r="N8" i="16" s="1"/>
  <c r="F127" i="16"/>
</calcChain>
</file>

<file path=xl/sharedStrings.xml><?xml version="1.0" encoding="utf-8"?>
<sst xmlns="http://schemas.openxmlformats.org/spreadsheetml/2006/main" count="447" uniqueCount="324">
  <si>
    <t>Address</t>
  </si>
  <si>
    <t>Hex</t>
  </si>
  <si>
    <t>instruction</t>
  </si>
  <si>
    <t>notes</t>
  </si>
  <si>
    <t>0400001A</t>
  </si>
  <si>
    <t>Section in speed calc function</t>
  </si>
  <si>
    <t>000050E3</t>
  </si>
  <si>
    <t>00F020E3</t>
  </si>
  <si>
    <t>ldr r1, [r0]</t>
  </si>
  <si>
    <t>ldrh r2, [r0, r1]</t>
  </si>
  <si>
    <t>US L</t>
  </si>
  <si>
    <t>004AF638</t>
  </si>
  <si>
    <t>70402DE9</t>
  </si>
  <si>
    <t>004AF9A4</t>
  </si>
  <si>
    <t>004AF768</t>
  </si>
  <si>
    <t>004AF7B4</t>
  </si>
  <si>
    <t>004AF9F0</t>
  </si>
  <si>
    <t>004AFA3C</t>
  </si>
  <si>
    <t>004AF71C</t>
  </si>
  <si>
    <t>DD000000</t>
  </si>
  <si>
    <t>00000004</t>
  </si>
  <si>
    <t>5800A21C</t>
  </si>
  <si>
    <t>EBFFFC13</t>
  </si>
  <si>
    <t>EAFFFCE1</t>
  </si>
  <si>
    <t>EAFFFC06</t>
  </si>
  <si>
    <t>EAFFFCF9</t>
  </si>
  <si>
    <t>EAFFFCF3</t>
  </si>
  <si>
    <t>EAFFFCF8</t>
  </si>
  <si>
    <t>EAFFFCF2</t>
  </si>
  <si>
    <t>EAFFFCFF</t>
  </si>
  <si>
    <t>D2000000</t>
  </si>
  <si>
    <t>00000000</t>
  </si>
  <si>
    <t>00000008</t>
  </si>
  <si>
    <t>EAFFFC82</t>
  </si>
  <si>
    <t>EAFFFBA7</t>
  </si>
  <si>
    <t>EAFFFCD6</t>
  </si>
  <si>
    <t>EAFFFCCE</t>
  </si>
  <si>
    <t>EAFFFCC6</t>
  </si>
  <si>
    <t>EAFFFCBE</t>
  </si>
  <si>
    <t>EAFFFCDE</t>
  </si>
  <si>
    <t>push {r4, r5, r6, lr}</t>
  </si>
  <si>
    <t>800A21C</t>
  </si>
  <si>
    <t>13FCFFEB</t>
  </si>
  <si>
    <t>9BE4</t>
  </si>
  <si>
    <t>6F5BE4</t>
  </si>
  <si>
    <t>FEFFFFEA</t>
  </si>
  <si>
    <t>3048A2B8</t>
  </si>
  <si>
    <t>1140</t>
  </si>
  <si>
    <t>1144</t>
  </si>
  <si>
    <t>18</t>
  </si>
  <si>
    <t>23</t>
  </si>
  <si>
    <t>Dec off</t>
  </si>
  <si>
    <t>hex</t>
  </si>
  <si>
    <t>1148</t>
  </si>
  <si>
    <t>1052</t>
  </si>
  <si>
    <t>1056</t>
  </si>
  <si>
    <t>1060</t>
  </si>
  <si>
    <t>1064</t>
  </si>
  <si>
    <t>1068</t>
  </si>
  <si>
    <t>1D</t>
  </si>
  <si>
    <t>ldr r2, [r0]</t>
  </si>
  <si>
    <t>002090E5</t>
  </si>
  <si>
    <t>001090E5</t>
  </si>
  <si>
    <t>042090E5</t>
  </si>
  <si>
    <t>083090E5</t>
  </si>
  <si>
    <t>0C4090E5</t>
  </si>
  <si>
    <t>105090E5</t>
  </si>
  <si>
    <t>146090E5</t>
  </si>
  <si>
    <t>187090E5</t>
  </si>
  <si>
    <t>1C8090E5</t>
  </si>
  <si>
    <t>209090E5</t>
  </si>
  <si>
    <t>24A090E5</t>
  </si>
  <si>
    <t>28B090E5</t>
  </si>
  <si>
    <t>2CC090E5</t>
  </si>
  <si>
    <t>9b28</t>
  </si>
  <si>
    <t>006A4D94</t>
  </si>
  <si>
    <t>30009FE5</t>
  </si>
  <si>
    <t>Seed constant</t>
  </si>
  <si>
    <t>41C64E6D</t>
  </si>
  <si>
    <t>added</t>
  </si>
  <si>
    <t>data</t>
  </si>
  <si>
    <t>seed</t>
  </si>
  <si>
    <t>seed BE</t>
  </si>
  <si>
    <t>post seed/check</t>
  </si>
  <si>
    <t>Offset</t>
  </si>
  <si>
    <t>Result</t>
  </si>
  <si>
    <t>New Seed</t>
  </si>
  <si>
    <t>apply seed</t>
  </si>
  <si>
    <t>r2 input seed</t>
  </si>
  <si>
    <t>shuffle sv</t>
  </si>
  <si>
    <t>cmp r3, #0</t>
  </si>
  <si>
    <t>bxeq lr</t>
  </si>
  <si>
    <t>push {r4, r5, r6, r7, r8, lr}</t>
  </si>
  <si>
    <t>cmp r1, #0x1c</t>
  </si>
  <si>
    <t>mov r4, r0</t>
  </si>
  <si>
    <t>mov r5, r1</t>
  </si>
  <si>
    <t>mov r6, r2</t>
  </si>
  <si>
    <t>blo #0x9b50</t>
  </si>
  <si>
    <t>mov r3, #0</t>
  </si>
  <si>
    <t>mov r2, r3</t>
  </si>
  <si>
    <t>mov r1, r3</t>
  </si>
  <si>
    <t>mov r0, r3</t>
  </si>
  <si>
    <t>bl #0x1b0</t>
  </si>
  <si>
    <t>cmp r6, #0x32</t>
  </si>
  <si>
    <t>blo #0x9b6c</t>
  </si>
  <si>
    <t>ldr r0, [r4, #8]</t>
  </si>
  <si>
    <t>bl #0xb04c</t>
  </si>
  <si>
    <t>mov r7, r0</t>
  </si>
  <si>
    <t>add r0, r4, r5, lsl #2</t>
  </si>
  <si>
    <t>ldr r0, [r0, #0x488]</t>
  </si>
  <si>
    <t>cmp r0, #0</t>
  </si>
  <si>
    <t>beq #0x9be0</t>
  </si>
  <si>
    <t>ldr r2, [r1, #0x28]</t>
  </si>
  <si>
    <t>mov r1, #0</t>
  </si>
  <si>
    <t>blx r2</t>
  </si>
  <si>
    <t>mov r5, r0</t>
  </si>
  <si>
    <t>add r0, r4, r6, lsl #2</t>
  </si>
  <si>
    <t>ldr r1, [pc, #0x64]</t>
  </si>
  <si>
    <t>ldr r0, [r0, #0x3a8]</t>
  </si>
  <si>
    <t>cmp r0, #0x25</t>
  </si>
  <si>
    <t>ldr r1, [r1, r0, lsl #2]</t>
  </si>
  <si>
    <t>beq #0x9be4</t>
  </si>
  <si>
    <t>cmp r0, #0x26</t>
  </si>
  <si>
    <t>beq #0x9bf8</t>
  </si>
  <si>
    <t>mov r2, #0</t>
  </si>
  <si>
    <t>mov r0, r7</t>
  </si>
  <si>
    <t>bl #0x8f0</t>
  </si>
  <si>
    <t>mov r1, r0</t>
  </si>
  <si>
    <t>ldr r0, [r5, #0x78]</t>
  </si>
  <si>
    <t>bl #0x8f8</t>
  </si>
  <si>
    <t>ldrb r0, [r5, #0x7c]</t>
  </si>
  <si>
    <t>and r0, r0, #0xf7</t>
  </si>
  <si>
    <t>strb r0, [r5, #0x7c]</t>
  </si>
  <si>
    <t>pop {r4, r5, r6, r7, r8, pc}</t>
  </si>
  <si>
    <t>ldr r0, [r4, #0x478]</t>
  </si>
  <si>
    <t>cmp r0, #0x14</t>
  </si>
  <si>
    <t>movhs r1, #0x98</t>
  </si>
  <si>
    <t>movlo r1, #0x97</t>
  </si>
  <si>
    <t>b #0x9bbc</t>
  </si>
  <si>
    <t>cmp r0, #8</t>
  </si>
  <si>
    <t>movhs r1, #0x9a</t>
  </si>
  <si>
    <t>movlo r1, #0x99</t>
  </si>
  <si>
    <t>andeq r0, r0, r0</t>
  </si>
  <si>
    <t>000053E3</t>
  </si>
  <si>
    <t>1EFF2F01</t>
  </si>
  <si>
    <t>F0412DE9</t>
  </si>
  <si>
    <t>1C0051E3</t>
  </si>
  <si>
    <t>0040A0E1</t>
  </si>
  <si>
    <t>0150A0E1</t>
  </si>
  <si>
    <t>0260A0E1</t>
  </si>
  <si>
    <t>0400003A</t>
  </si>
  <si>
    <t>0030A0E3</t>
  </si>
  <si>
    <t>0320A0E1</t>
  </si>
  <si>
    <t>0310A0E1</t>
  </si>
  <si>
    <t>0300A0E1</t>
  </si>
  <si>
    <t>97D9FFEB</t>
  </si>
  <si>
    <t>320056E3</t>
  </si>
  <si>
    <t>90D9FFEB</t>
  </si>
  <si>
    <t>080094E5</t>
  </si>
  <si>
    <t>350500EB</t>
  </si>
  <si>
    <t>0070A0E1</t>
  </si>
  <si>
    <t>050184E0</t>
  </si>
  <si>
    <t>880490E5</t>
  </si>
  <si>
    <t>1500000A</t>
  </si>
  <si>
    <t>282091E5</t>
  </si>
  <si>
    <t>0010A0E3</t>
  </si>
  <si>
    <t>32FF2FE1</t>
  </si>
  <si>
    <t>0050A0E1</t>
  </si>
  <si>
    <t>060184E0</t>
  </si>
  <si>
    <t>64109FE5</t>
  </si>
  <si>
    <t>A80390E5</t>
  </si>
  <si>
    <t>250050E3</t>
  </si>
  <si>
    <t>001191E7</t>
  </si>
  <si>
    <t>0B00000A</t>
  </si>
  <si>
    <t>260050E3</t>
  </si>
  <si>
    <t>0E00000A</t>
  </si>
  <si>
    <t>0020A0E3</t>
  </si>
  <si>
    <t>0700A0E1</t>
  </si>
  <si>
    <t>49DBFFEB</t>
  </si>
  <si>
    <t>0010A0E1</t>
  </si>
  <si>
    <t>780095E5</t>
  </si>
  <si>
    <t>48DBFFEB</t>
  </si>
  <si>
    <t>7C00D5E5</t>
  </si>
  <si>
    <t>F70000E2</t>
  </si>
  <si>
    <t>7C00C5E5</t>
  </si>
  <si>
    <t>F081BDE8</t>
  </si>
  <si>
    <t>780494E5</t>
  </si>
  <si>
    <t>140050E3</t>
  </si>
  <si>
    <t>9810A023</t>
  </si>
  <si>
    <t>9710A033</t>
  </si>
  <si>
    <t>F0FFFFEA</t>
  </si>
  <si>
    <t>080050E3</t>
  </si>
  <si>
    <t>9A10A023</t>
  </si>
  <si>
    <t>9910A033</t>
  </si>
  <si>
    <t>EBFFFFEA</t>
  </si>
  <si>
    <t>00009B1C</t>
  </si>
  <si>
    <t>00009BA4</t>
  </si>
  <si>
    <t>cmpne r0, #0x26</t>
  </si>
  <si>
    <t>nop</t>
  </si>
  <si>
    <t>Get ribbon ID</t>
  </si>
  <si>
    <t>check for Contest Memory</t>
  </si>
  <si>
    <t>Check for Battle Memory</t>
  </si>
  <si>
    <t>All Ribbons</t>
  </si>
  <si>
    <t>Other Ribbons</t>
  </si>
  <si>
    <t>save ribbon ID</t>
  </si>
  <si>
    <t>944D6A00</t>
  </si>
  <si>
    <t>Loaded Pokemon data</t>
  </si>
  <si>
    <t>start of data</t>
  </si>
  <si>
    <t>add r0, r0, 0x8</t>
  </si>
  <si>
    <t>0123</t>
  </si>
  <si>
    <t>0132</t>
  </si>
  <si>
    <t>0213</t>
  </si>
  <si>
    <t>0312</t>
  </si>
  <si>
    <t>0231</t>
  </si>
  <si>
    <t>0321</t>
  </si>
  <si>
    <t>ldr r0, [sp]</t>
  </si>
  <si>
    <t>get key</t>
  </si>
  <si>
    <t>lsr r0, r0, #0xD</t>
  </si>
  <si>
    <t>and r0, r0, 0x1F</t>
  </si>
  <si>
    <t>get thing for which ordering</t>
  </si>
  <si>
    <t>ldrb r0, [r1, r0]</t>
  </si>
  <si>
    <t>get the byte of where the section containing ribbon is</t>
  </si>
  <si>
    <t>mov r1, r0, lsl #5</t>
  </si>
  <si>
    <t>add r1, r0, lsl #3</t>
  </si>
  <si>
    <t>offset from pointer to start of data is 0x38*section, first get 0x20</t>
  </si>
  <si>
    <t>add r1, r0, lsl #4</t>
  </si>
  <si>
    <t>0x10</t>
  </si>
  <si>
    <t>0x08</t>
  </si>
  <si>
    <t>cmp r4, 0x25</t>
  </si>
  <si>
    <t>got to battle check</t>
  </si>
  <si>
    <t>Contest check</t>
  </si>
  <si>
    <t>cmp r0, 0x28</t>
  </si>
  <si>
    <t>movhs r1, 0x98</t>
  </si>
  <si>
    <t>cmp r0, 0x8</t>
  </si>
  <si>
    <t>movhs r1, 0x9A</t>
  </si>
  <si>
    <t>movlo r1, 0x97</t>
  </si>
  <si>
    <t>movlo r1, 0x99</t>
  </si>
  <si>
    <t>Battle Check</t>
  </si>
  <si>
    <t>0000EE7C</t>
  </si>
  <si>
    <t>A006A0E1</t>
  </si>
  <si>
    <t>1F0000E2</t>
  </si>
  <si>
    <t>0000D1E7</t>
  </si>
  <si>
    <t>8012A0E1</t>
  </si>
  <si>
    <t>001281E0</t>
  </si>
  <si>
    <t>801181E0</t>
  </si>
  <si>
    <t>250054E3</t>
  </si>
  <si>
    <t>00009DE5</t>
  </si>
  <si>
    <t>280050E3</t>
  </si>
  <si>
    <t>14009FE5</t>
  </si>
  <si>
    <t>080080E2</t>
  </si>
  <si>
    <t>cmp r3, r1, lsr #1</t>
  </si>
  <si>
    <t>mul r2, r2, r12</t>
  </si>
  <si>
    <t>add r3, r3, 0x1</t>
  </si>
  <si>
    <t>A10053E1</t>
  </si>
  <si>
    <t>920C02E0</t>
  </si>
  <si>
    <t>013083E2</t>
  </si>
  <si>
    <t>062A82E2</t>
  </si>
  <si>
    <t>732082E2</t>
  </si>
  <si>
    <t>add r2, r2, 0x6000</t>
  </si>
  <si>
    <t>add r2, r2, 0x73</t>
  </si>
  <si>
    <t>6D4EC641</t>
  </si>
  <si>
    <t>mov r1, 0x30</t>
  </si>
  <si>
    <t>offset of halfword</t>
  </si>
  <si>
    <t>ldr r0, [r0]</t>
  </si>
  <si>
    <t>Get Memory Ribbon halfword</t>
  </si>
  <si>
    <t>ldr r0, [sp, 0x4]</t>
  </si>
  <si>
    <t>push {r0, r1}</t>
  </si>
  <si>
    <t>reload offset of halfword</t>
  </si>
  <si>
    <t>add r1, r1, r0</t>
  </si>
  <si>
    <t>lower byte is contest</t>
  </si>
  <si>
    <t>and r0, r0, 0xFF</t>
  </si>
  <si>
    <t>lsr r0, r0, #8</t>
  </si>
  <si>
    <t>get relevant 2 bytes</t>
  </si>
  <si>
    <t>r1 now offset from start of encrypted data</t>
  </si>
  <si>
    <t>decrypt bytes</t>
  </si>
  <si>
    <t>reload pointer to start of thing</t>
  </si>
  <si>
    <t>repoint to start of encrypted data</t>
  </si>
  <si>
    <t>mov r4, r2</t>
  </si>
  <si>
    <t>r4 now has bytes</t>
  </si>
  <si>
    <t>sub r0, r0, 0x8</t>
  </si>
  <si>
    <t>000090E5</t>
  </si>
  <si>
    <t>04009DE5</t>
  </si>
  <si>
    <t>001081E0</t>
  </si>
  <si>
    <t>B12090E1</t>
  </si>
  <si>
    <t>140000EB</t>
  </si>
  <si>
    <t>FF0000E2</t>
  </si>
  <si>
    <t>030000EA</t>
  </si>
  <si>
    <t>2004A0E1</t>
  </si>
  <si>
    <t>34EBFFEA</t>
  </si>
  <si>
    <t>0240A0E1</t>
  </si>
  <si>
    <t>080040E2</t>
  </si>
  <si>
    <t>1CC09FE5</t>
  </si>
  <si>
    <t>1080BDE8</t>
  </si>
  <si>
    <t>3010A0E3</t>
  </si>
  <si>
    <t>03002DE9</t>
  </si>
  <si>
    <t>A01400EA</t>
  </si>
  <si>
    <t>0030E0E3</t>
  </si>
  <si>
    <t>mvn r3, 0x0</t>
  </si>
  <si>
    <t>F9FFFFBA</t>
  </si>
  <si>
    <t>eor r0, r4, r2, lsr #0x10</t>
  </si>
  <si>
    <t>220824E0</t>
  </si>
  <si>
    <t>push {r4, lr}</t>
  </si>
  <si>
    <t>10402DE9</t>
  </si>
  <si>
    <t>add sp, sp, 0x8</t>
  </si>
  <si>
    <t>08D08DE2</t>
  </si>
  <si>
    <t>cmp r0, 0x25</t>
  </si>
  <si>
    <t>moveq r1, 0x98</t>
  </si>
  <si>
    <t>movne r1, 0x9A</t>
  </si>
  <si>
    <t>9810A003</t>
  </si>
  <si>
    <t>9A10A013</t>
  </si>
  <si>
    <t>do checks</t>
  </si>
  <si>
    <t>E1 61 3F 8C 00 00 44 02 A2 DA DA 00 EB 80 86 38 86 78 13 67 4E 7C 87 21 A7 56 C0 43 74 BB 14 CD 82 25 9C 4A CC 29 98 8F 45 D1 11 94 C3 0B F6 08 F4 A3 C1 96 F1 39 40 BD 35 4F BA E0 7D BB 85 EF 62 5F BA 4B BC E8 2D 7E 6D 39 27 D1 B6 04 69 98 03 41 75 0C 84 C7 75 E2 31 A5 34 DF 30 2D 0A DB B1 E2 A6 D5 BE 60 17 24 92 90 90 40 6F 53 B0 A2 16 53 54 18 44 84 46 AA 9F 18 4D FD B9 BB 7D A7 2C 06 20 E9 F2 BF E9 FB 07 B3 19 66 B2 44 F3 06 2D 9E 47 03 2A 9C 1A 82 24 EA 4F CE 8D EF 69 B2 12 36 63 40 4A E9 A9 3A DE 3D CF E0 08 61 86 A5 37 8C 16 04 3D 17 F1 7A AD AB 9C 8E 5E AD E4 F2 B7 F8 F2 1E 13 AC 9B 60 AB 48 7A 34 6C E5 08 9F 07 F6 C9 90 07 A2 A0 97 C3 94 68 73 25 EC CC 45 79 7C 85 21 AD A1 BA 76 D5 DB C0 02 D4 51 BA 6C 1D E6 6B 67 17 78 FE 20 85 96 C4 06 21 BE 14 CD 84 D9 60 4A</t>
  </si>
  <si>
    <t>58108FE2</t>
  </si>
  <si>
    <t>00000101</t>
  </si>
  <si>
    <t>01010101</t>
  </si>
  <si>
    <t>02020202</t>
  </si>
  <si>
    <t>02020303</t>
  </si>
  <si>
    <t>03030303</t>
  </si>
  <si>
    <t>Table address (written by relocation patch)</t>
  </si>
  <si>
    <t>generate the correct seed for the halfword we want and decrypt it</t>
  </si>
  <si>
    <t>Portion of original Ribbon function</t>
  </si>
  <si>
    <t>330138D0</t>
  </si>
  <si>
    <t>mov r1, 0xFF</t>
  </si>
  <si>
    <t>strb r1, [r0]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</si>
</sst>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49" fontId="2" fillId="0" borderId="0" xfId="0" quotePrefix="1" applyNumberFormat="1" applyFont="1"/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0" fontId="2" fillId="3" borderId="0" xfId="0" applyFont="1" applyFill="1"/>
    <xf numFmtId="0" fontId="2" fillId="3" borderId="0" xfId="0" quotePrefix="1" applyFont="1" applyFill="1"/>
    <xf numFmtId="11" fontId="2" fillId="0" borderId="0" xfId="0" quotePrefix="1" applyNumberFormat="1" applyFont="1"/>
    <xf numFmtId="0" fontId="5" fillId="0" borderId="0" xfId="0" applyFont="1"/>
    <xf numFmtId="0" fontId="0" fillId="0" borderId="0" xfId="0" quotePrefix="1"/>
    <xf numFmtId="0" fontId="0" fillId="2" borderId="0" xfId="0" quotePrefix="1" applyFill="1"/>
    <xf numFmtId="0" fontId="0" fillId="2" borderId="0" xfId="0" applyFill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5" borderId="0" xfId="0" quotePrefix="1" applyFill="1"/>
    <xf numFmtId="0" fontId="0" fillId="6" borderId="0" xfId="0" applyFill="1"/>
    <xf numFmtId="0" fontId="0" fillId="6" borderId="0" xfId="0" quotePrefix="1" applyFill="1"/>
    <xf numFmtId="49" fontId="2" fillId="2" borderId="0" xfId="0" quotePrefix="1" applyNumberFormat="1" applyFont="1" applyFill="1"/>
    <xf numFmtId="49" fontId="2" fillId="3" borderId="0" xfId="0" quotePrefix="1" applyNumberFormat="1" applyFont="1" applyFill="1"/>
    <xf numFmtId="0" fontId="2" fillId="7" borderId="0" xfId="0" applyFont="1" applyFill="1"/>
    <xf numFmtId="0" fontId="2" fillId="7" borderId="0" xfId="0" quotePrefix="1" applyFont="1" applyFill="1"/>
    <xf numFmtId="0" fontId="2" fillId="8" borderId="0" xfId="0" applyFont="1" applyFill="1"/>
    <xf numFmtId="0" fontId="2" fillId="8" borderId="0" xfId="0" quotePrefix="1" applyFont="1" applyFill="1"/>
    <xf numFmtId="49" fontId="2" fillId="8" borderId="0" xfId="0" applyNumberFormat="1" applyFont="1" applyFill="1"/>
    <xf numFmtId="49" fontId="2" fillId="8" borderId="0" xfId="0" quotePrefix="1" applyNumberFormat="1" applyFont="1" applyFill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2" fillId="6" borderId="0" xfId="0" applyFont="1" applyFill="1"/>
    <xf numFmtId="0" fontId="2" fillId="9" borderId="0" xfId="0" applyFont="1" applyFill="1"/>
    <xf numFmtId="0" fontId="2" fillId="6" borderId="0" xfId="0" quotePrefix="1" applyFont="1" applyFill="1"/>
    <xf numFmtId="0" fontId="2" fillId="9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E46-BAFF-4288-852C-796EA5E0E042}">
  <dimension ref="A1:G92"/>
  <sheetViews>
    <sheetView zoomScaleNormal="100" workbookViewId="0">
      <pane ySplit="1" topLeftCell="A2" activePane="bottomLeft" state="frozen"/>
      <selection pane="bottomLeft" activeCell="A84" sqref="A84:A91"/>
    </sheetView>
  </sheetViews>
  <sheetFormatPr defaultColWidth="9.2109375" defaultRowHeight="15.9"/>
  <cols>
    <col min="1" max="1" width="12.2109375" style="2" customWidth="1"/>
    <col min="2" max="2" width="9.35546875" style="2" bestFit="1" customWidth="1"/>
    <col min="3" max="3" width="32.2109375" style="2" bestFit="1" customWidth="1"/>
    <col min="4" max="4" width="43.140625" style="2" bestFit="1" customWidth="1"/>
    <col min="5" max="5" width="9.78515625" style="2" bestFit="1" customWidth="1"/>
    <col min="6" max="6" width="12.7109375" style="2" customWidth="1"/>
    <col min="7" max="7" width="13.640625" style="2" customWidth="1"/>
    <col min="8" max="8" width="15.42578125" style="2" bestFit="1" customWidth="1"/>
    <col min="9" max="9" width="12" style="2" bestFit="1" customWidth="1"/>
    <col min="10" max="11" width="9.2109375" style="2"/>
    <col min="12" max="12" width="9.7109375" style="2" bestFit="1" customWidth="1"/>
    <col min="13" max="16384" width="9.210937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1" t="s">
        <v>320</v>
      </c>
      <c r="B2" s="1"/>
      <c r="C2" s="1"/>
      <c r="D2" s="1"/>
    </row>
    <row r="3" spans="1:7">
      <c r="A3" s="4" t="s">
        <v>196</v>
      </c>
      <c r="B3" s="23" t="s">
        <v>170</v>
      </c>
      <c r="C3" s="5" t="s">
        <v>118</v>
      </c>
      <c r="D3" s="4" t="s">
        <v>199</v>
      </c>
      <c r="E3" s="7"/>
      <c r="G3" s="7"/>
    </row>
    <row r="4" spans="1:7">
      <c r="A4" s="10" t="str">
        <f t="shared" ref="A4:A29" si="0">DEC2HEX(HEX2DEC(A3)+4,8)</f>
        <v>00009BA8</v>
      </c>
      <c r="B4" s="24" t="s">
        <v>171</v>
      </c>
      <c r="C4" s="11" t="s">
        <v>119</v>
      </c>
      <c r="D4" s="10" t="s">
        <v>200</v>
      </c>
    </row>
    <row r="5" spans="1:7">
      <c r="A5" s="10" t="str">
        <f t="shared" si="0"/>
        <v>00009BAC</v>
      </c>
      <c r="B5" s="11">
        <v>26005013</v>
      </c>
      <c r="C5" s="10" t="s">
        <v>197</v>
      </c>
      <c r="D5" s="10" t="s">
        <v>201</v>
      </c>
    </row>
    <row r="6" spans="1:7">
      <c r="A6" s="10" t="str">
        <f t="shared" si="0"/>
        <v>00009BB0</v>
      </c>
      <c r="B6" s="11" t="s">
        <v>173</v>
      </c>
      <c r="C6" s="10" t="str">
        <f>_xlfn.CONCAT("beq 0x",A19)</f>
        <v>beq 0x00009BE4</v>
      </c>
      <c r="D6" s="10"/>
    </row>
    <row r="7" spans="1:7">
      <c r="A7" s="25" t="str">
        <f t="shared" si="0"/>
        <v>00009BB4</v>
      </c>
      <c r="B7" s="26" t="s">
        <v>7</v>
      </c>
      <c r="C7" s="25" t="s">
        <v>198</v>
      </c>
      <c r="D7" s="25" t="s">
        <v>203</v>
      </c>
    </row>
    <row r="8" spans="1:7">
      <c r="A8" s="25" t="str">
        <f t="shared" si="0"/>
        <v>00009BB8</v>
      </c>
      <c r="B8" s="26" t="s">
        <v>172</v>
      </c>
      <c r="C8" s="25" t="s">
        <v>120</v>
      </c>
      <c r="D8" s="25"/>
    </row>
    <row r="9" spans="1:7">
      <c r="A9" s="27" t="str">
        <f t="shared" si="0"/>
        <v>00009BBC</v>
      </c>
      <c r="B9" s="28" t="s">
        <v>176</v>
      </c>
      <c r="C9" s="27" t="s">
        <v>124</v>
      </c>
      <c r="D9" s="27" t="s">
        <v>202</v>
      </c>
    </row>
    <row r="10" spans="1:7">
      <c r="A10" s="27" t="str">
        <f t="shared" si="0"/>
        <v>00009BC0</v>
      </c>
      <c r="B10" s="28" t="s">
        <v>177</v>
      </c>
      <c r="C10" s="27" t="s">
        <v>125</v>
      </c>
      <c r="D10" s="27"/>
    </row>
    <row r="11" spans="1:7">
      <c r="A11" s="27" t="str">
        <f t="shared" si="0"/>
        <v>00009BC4</v>
      </c>
      <c r="B11" s="28" t="s">
        <v>178</v>
      </c>
      <c r="C11" s="27" t="s">
        <v>126</v>
      </c>
      <c r="D11" s="27"/>
    </row>
    <row r="12" spans="1:7">
      <c r="A12" s="27" t="str">
        <f t="shared" si="0"/>
        <v>00009BC8</v>
      </c>
      <c r="B12" s="28" t="s">
        <v>179</v>
      </c>
      <c r="C12" s="27" t="s">
        <v>127</v>
      </c>
      <c r="D12" s="27"/>
    </row>
    <row r="13" spans="1:7">
      <c r="A13" s="27" t="str">
        <f t="shared" si="0"/>
        <v>00009BCC</v>
      </c>
      <c r="B13" s="28" t="s">
        <v>180</v>
      </c>
      <c r="C13" s="27" t="s">
        <v>128</v>
      </c>
      <c r="D13" s="27"/>
    </row>
    <row r="14" spans="1:7">
      <c r="A14" s="27" t="str">
        <f t="shared" si="0"/>
        <v>00009BD0</v>
      </c>
      <c r="B14" s="29" t="s">
        <v>181</v>
      </c>
      <c r="C14" s="27" t="s">
        <v>129</v>
      </c>
      <c r="D14" s="27"/>
    </row>
    <row r="15" spans="1:7">
      <c r="A15" s="27" t="str">
        <f t="shared" si="0"/>
        <v>00009BD4</v>
      </c>
      <c r="B15" s="29" t="s">
        <v>182</v>
      </c>
      <c r="C15" s="27" t="s">
        <v>130</v>
      </c>
      <c r="D15" s="27"/>
    </row>
    <row r="16" spans="1:7">
      <c r="A16" s="27" t="str">
        <f t="shared" si="0"/>
        <v>00009BD8</v>
      </c>
      <c r="B16" s="30" t="s">
        <v>183</v>
      </c>
      <c r="C16" s="27" t="s">
        <v>131</v>
      </c>
      <c r="D16" s="27"/>
    </row>
    <row r="17" spans="1:6">
      <c r="A17" s="27" t="str">
        <f t="shared" si="0"/>
        <v>00009BDC</v>
      </c>
      <c r="B17" s="29" t="s">
        <v>184</v>
      </c>
      <c r="C17" s="27" t="s">
        <v>132</v>
      </c>
      <c r="D17" s="27"/>
    </row>
    <row r="18" spans="1:6">
      <c r="A18" s="27" t="str">
        <f t="shared" si="0"/>
        <v>00009BE0</v>
      </c>
      <c r="B18" s="29" t="s">
        <v>185</v>
      </c>
      <c r="C18" s="27" t="s">
        <v>133</v>
      </c>
      <c r="D18" s="27"/>
    </row>
    <row r="19" spans="1:6">
      <c r="A19" s="2" t="str">
        <f t="shared" si="0"/>
        <v>00009BE4</v>
      </c>
      <c r="B19" s="6" t="s">
        <v>147</v>
      </c>
      <c r="C19" s="2" t="s">
        <v>94</v>
      </c>
      <c r="D19" s="2" t="s">
        <v>204</v>
      </c>
      <c r="E19" s="2" t="s">
        <v>305</v>
      </c>
      <c r="F19" s="3" t="s">
        <v>171</v>
      </c>
    </row>
    <row r="20" spans="1:6">
      <c r="A20" s="2" t="str">
        <f>DEC2HEX(HEX2DEC(A19)+4,8)</f>
        <v>00009BE8</v>
      </c>
      <c r="B20" s="6" t="s">
        <v>293</v>
      </c>
      <c r="C20" s="2" t="s">
        <v>261</v>
      </c>
      <c r="D20" s="2" t="s">
        <v>262</v>
      </c>
      <c r="E20" s="2" t="s">
        <v>306</v>
      </c>
      <c r="F20" s="2" t="s">
        <v>308</v>
      </c>
    </row>
    <row r="21" spans="1:6">
      <c r="A21" s="2" t="str">
        <f t="shared" si="0"/>
        <v>00009BEC</v>
      </c>
      <c r="B21" s="6" t="s">
        <v>248</v>
      </c>
      <c r="C21" s="2" t="str">
        <f>_xlfn.CONCAT("ldr r0, [pc, #",HEX2DEC(A28)-HEX2DEC(A21)-8,"]")</f>
        <v>ldr r0, [pc, #20]</v>
      </c>
      <c r="D21" s="2" t="s">
        <v>207</v>
      </c>
      <c r="E21" s="2" t="s">
        <v>307</v>
      </c>
      <c r="F21" s="2" t="s">
        <v>309</v>
      </c>
    </row>
    <row r="22" spans="1:6">
      <c r="A22" s="2" t="str">
        <f t="shared" si="0"/>
        <v>00009BF0</v>
      </c>
      <c r="B22" s="7" t="s">
        <v>294</v>
      </c>
      <c r="C22" s="2" t="s">
        <v>266</v>
      </c>
      <c r="E22" s="2" t="s">
        <v>198</v>
      </c>
      <c r="F22" s="2" t="s">
        <v>7</v>
      </c>
    </row>
    <row r="23" spans="1:6">
      <c r="A23" s="2" t="str">
        <f t="shared" si="0"/>
        <v>00009BF4</v>
      </c>
      <c r="B23" s="7" t="s">
        <v>295</v>
      </c>
      <c r="C23" s="2" t="str">
        <f>_xlfn.CONCAT("b 0x",A32)</f>
        <v>b 0x0000EE7C</v>
      </c>
      <c r="D23" s="2" t="s">
        <v>310</v>
      </c>
      <c r="E23" s="2" t="str">
        <f>_xlfn.CONCAT("b 0x",A9)</f>
        <v>b 0x00009BBC</v>
      </c>
      <c r="F23" s="2" t="s">
        <v>190</v>
      </c>
    </row>
    <row r="24" spans="1:6">
      <c r="A24" s="2" t="str">
        <f t="shared" si="0"/>
        <v>00009BF8</v>
      </c>
      <c r="B24" s="7" t="s">
        <v>7</v>
      </c>
      <c r="C24" s="2" t="s">
        <v>198</v>
      </c>
    </row>
    <row r="25" spans="1:6">
      <c r="A25" s="2" t="str">
        <f t="shared" si="0"/>
        <v>00009BFC</v>
      </c>
      <c r="B25" s="3" t="s">
        <v>7</v>
      </c>
      <c r="C25" s="2" t="s">
        <v>198</v>
      </c>
    </row>
    <row r="26" spans="1:6">
      <c r="A26" s="2" t="str">
        <f t="shared" si="0"/>
        <v>00009C00</v>
      </c>
      <c r="B26" s="2" t="s">
        <v>7</v>
      </c>
      <c r="C26" s="2" t="s">
        <v>198</v>
      </c>
    </row>
    <row r="27" spans="1:6">
      <c r="A27" s="2" t="str">
        <f t="shared" si="0"/>
        <v>00009C04</v>
      </c>
      <c r="B27" s="2" t="s">
        <v>7</v>
      </c>
      <c r="C27" s="2" t="s">
        <v>198</v>
      </c>
    </row>
    <row r="28" spans="1:6">
      <c r="A28" s="2" t="str">
        <f t="shared" si="0"/>
        <v>00009C08</v>
      </c>
      <c r="B28" s="2" t="s">
        <v>205</v>
      </c>
      <c r="D28" s="2" t="s">
        <v>206</v>
      </c>
    </row>
    <row r="29" spans="1:6">
      <c r="A29" s="2" t="str">
        <f t="shared" si="0"/>
        <v>00009C0C</v>
      </c>
      <c r="B29" s="3" t="s">
        <v>31</v>
      </c>
      <c r="C29" s="2" t="s">
        <v>142</v>
      </c>
      <c r="D29" s="2" t="s">
        <v>318</v>
      </c>
    </row>
    <row r="31" spans="1:6">
      <c r="A31" s="1" t="s">
        <v>264</v>
      </c>
    </row>
    <row r="32" spans="1:6">
      <c r="A32" s="2" t="s">
        <v>238</v>
      </c>
      <c r="B32" s="3" t="s">
        <v>280</v>
      </c>
      <c r="C32" s="2" t="s">
        <v>263</v>
      </c>
      <c r="D32" s="2" t="s">
        <v>216</v>
      </c>
    </row>
    <row r="33" spans="1:4">
      <c r="A33" s="2" t="str">
        <f t="shared" ref="A33:A66" si="1">DEC2HEX(HEX2DEC(A32)+4,8)</f>
        <v>0000EE80</v>
      </c>
      <c r="B33" s="2" t="s">
        <v>239</v>
      </c>
      <c r="C33" s="2" t="s">
        <v>217</v>
      </c>
    </row>
    <row r="34" spans="1:4">
      <c r="A34" s="2" t="str">
        <f t="shared" si="1"/>
        <v>0000EE84</v>
      </c>
      <c r="B34" s="2" t="s">
        <v>240</v>
      </c>
      <c r="C34" s="2" t="s">
        <v>218</v>
      </c>
      <c r="D34" s="2" t="s">
        <v>219</v>
      </c>
    </row>
    <row r="35" spans="1:4">
      <c r="A35" s="2" t="str">
        <f t="shared" si="1"/>
        <v>0000EE88</v>
      </c>
      <c r="B35" s="2" t="s">
        <v>312</v>
      </c>
      <c r="C35" s="2" t="str">
        <f>_xlfn.CONCAT("add r1, pc, #",HEX2DEC(A59)-HEX2DEC(A35)-8)</f>
        <v>add r1, pc, #88</v>
      </c>
    </row>
    <row r="36" spans="1:4">
      <c r="A36" s="2" t="str">
        <f t="shared" si="1"/>
        <v>0000EE8C</v>
      </c>
      <c r="B36" s="2" t="s">
        <v>241</v>
      </c>
      <c r="C36" s="2" t="s">
        <v>220</v>
      </c>
      <c r="D36" s="2" t="s">
        <v>221</v>
      </c>
    </row>
    <row r="37" spans="1:4">
      <c r="A37" s="2" t="str">
        <f t="shared" si="1"/>
        <v>0000EE90</v>
      </c>
      <c r="B37" s="2" t="s">
        <v>242</v>
      </c>
      <c r="C37" s="2" t="s">
        <v>222</v>
      </c>
      <c r="D37" s="2" t="s">
        <v>224</v>
      </c>
    </row>
    <row r="38" spans="1:4">
      <c r="A38" s="2" t="str">
        <f t="shared" si="1"/>
        <v>0000EE94</v>
      </c>
      <c r="B38" s="3" t="s">
        <v>243</v>
      </c>
      <c r="C38" s="2" t="s">
        <v>225</v>
      </c>
      <c r="D38" s="2" t="s">
        <v>226</v>
      </c>
    </row>
    <row r="39" spans="1:4">
      <c r="A39" s="2" t="str">
        <f t="shared" si="1"/>
        <v>0000EE98</v>
      </c>
      <c r="B39" s="3" t="s">
        <v>244</v>
      </c>
      <c r="C39" s="2" t="s">
        <v>223</v>
      </c>
      <c r="D39" s="2" t="s">
        <v>227</v>
      </c>
    </row>
    <row r="40" spans="1:4">
      <c r="A40" s="2" t="str">
        <f t="shared" si="1"/>
        <v>0000EE9C</v>
      </c>
      <c r="B40" s="3" t="s">
        <v>281</v>
      </c>
      <c r="C40" s="2" t="s">
        <v>265</v>
      </c>
      <c r="D40" s="2" t="s">
        <v>267</v>
      </c>
    </row>
    <row r="41" spans="1:4">
      <c r="A41" s="2" t="str">
        <f t="shared" si="1"/>
        <v>0000EEA0</v>
      </c>
      <c r="B41" s="3" t="s">
        <v>282</v>
      </c>
      <c r="C41" s="2" t="s">
        <v>268</v>
      </c>
      <c r="D41" s="2" t="s">
        <v>273</v>
      </c>
    </row>
    <row r="42" spans="1:4">
      <c r="A42" s="2" t="str">
        <f t="shared" si="1"/>
        <v>0000EEA4</v>
      </c>
      <c r="B42" s="2" t="s">
        <v>246</v>
      </c>
      <c r="C42" s="2" t="s">
        <v>215</v>
      </c>
      <c r="D42" s="2" t="s">
        <v>275</v>
      </c>
    </row>
    <row r="43" spans="1:4">
      <c r="A43" s="2" t="str">
        <f t="shared" si="1"/>
        <v>0000EEA8</v>
      </c>
      <c r="B43" s="3" t="s">
        <v>249</v>
      </c>
      <c r="C43" s="2" t="s">
        <v>208</v>
      </c>
      <c r="D43" s="2" t="s">
        <v>276</v>
      </c>
    </row>
    <row r="44" spans="1:4">
      <c r="A44" s="2" t="str">
        <f t="shared" si="1"/>
        <v>0000EEAC</v>
      </c>
      <c r="B44" s="2" t="s">
        <v>283</v>
      </c>
      <c r="C44" s="2" t="s">
        <v>9</v>
      </c>
      <c r="D44" s="2" t="s">
        <v>272</v>
      </c>
    </row>
    <row r="45" spans="1:4">
      <c r="A45" s="2" t="str">
        <f t="shared" si="1"/>
        <v>0000EEB0</v>
      </c>
      <c r="B45" s="2" t="s">
        <v>284</v>
      </c>
      <c r="C45" s="2" t="str">
        <f>_xlfn.CONCAT("bl 0x",A69)</f>
        <v>bl 0x0000EF08</v>
      </c>
      <c r="D45" s="2" t="s">
        <v>274</v>
      </c>
    </row>
    <row r="46" spans="1:4">
      <c r="A46" s="2" t="str">
        <f t="shared" si="1"/>
        <v>0000EEB4</v>
      </c>
      <c r="B46" s="3" t="s">
        <v>245</v>
      </c>
      <c r="C46" s="2" t="s">
        <v>228</v>
      </c>
    </row>
    <row r="47" spans="1:4">
      <c r="A47" s="2" t="str">
        <f t="shared" si="1"/>
        <v>0000EEB8</v>
      </c>
      <c r="B47" s="2" t="s">
        <v>4</v>
      </c>
      <c r="C47" s="2" t="str">
        <f>_xlfn.CONCAT("bne 0x",A53)</f>
        <v>bne 0x0000EED0</v>
      </c>
      <c r="D47" s="2" t="s">
        <v>229</v>
      </c>
    </row>
    <row r="48" spans="1:4">
      <c r="A48" s="33" t="str">
        <f t="shared" si="1"/>
        <v>0000EEBC</v>
      </c>
      <c r="B48" s="35" t="s">
        <v>285</v>
      </c>
      <c r="C48" s="33" t="s">
        <v>270</v>
      </c>
      <c r="D48" s="33" t="s">
        <v>269</v>
      </c>
    </row>
    <row r="49" spans="1:4">
      <c r="A49" s="33" t="str">
        <f t="shared" si="1"/>
        <v>0000EEC0</v>
      </c>
      <c r="B49" s="35" t="s">
        <v>247</v>
      </c>
      <c r="C49" s="33" t="s">
        <v>231</v>
      </c>
      <c r="D49" s="33" t="s">
        <v>230</v>
      </c>
    </row>
    <row r="50" spans="1:4">
      <c r="A50" s="33" t="str">
        <f t="shared" si="1"/>
        <v>0000EEC4</v>
      </c>
      <c r="B50" s="33" t="s">
        <v>188</v>
      </c>
      <c r="C50" s="33" t="s">
        <v>232</v>
      </c>
      <c r="D50" s="33"/>
    </row>
    <row r="51" spans="1:4">
      <c r="A51" s="33" t="str">
        <f t="shared" si="1"/>
        <v>0000EEC8</v>
      </c>
      <c r="B51" s="33" t="s">
        <v>189</v>
      </c>
      <c r="C51" s="33" t="s">
        <v>235</v>
      </c>
      <c r="D51" s="33"/>
    </row>
    <row r="52" spans="1:4">
      <c r="A52" s="33" t="str">
        <f t="shared" si="1"/>
        <v>0000EECC</v>
      </c>
      <c r="B52" s="33" t="s">
        <v>286</v>
      </c>
      <c r="C52" s="33" t="str">
        <f>_xlfn.CONCAT("b 0x",A57)</f>
        <v>b 0x0000EEE0</v>
      </c>
      <c r="D52" s="33"/>
    </row>
    <row r="53" spans="1:4">
      <c r="A53" s="34" t="str">
        <f t="shared" si="1"/>
        <v>0000EED0</v>
      </c>
      <c r="B53" s="36" t="s">
        <v>287</v>
      </c>
      <c r="C53" s="34" t="s">
        <v>271</v>
      </c>
      <c r="D53" s="34"/>
    </row>
    <row r="54" spans="1:4">
      <c r="A54" s="34" t="str">
        <f t="shared" si="1"/>
        <v>0000EED4</v>
      </c>
      <c r="B54" s="36" t="s">
        <v>191</v>
      </c>
      <c r="C54" s="34" t="s">
        <v>233</v>
      </c>
      <c r="D54" s="34" t="s">
        <v>237</v>
      </c>
    </row>
    <row r="55" spans="1:4">
      <c r="A55" s="34" t="str">
        <f t="shared" si="1"/>
        <v>0000EED8</v>
      </c>
      <c r="B55" s="34" t="s">
        <v>192</v>
      </c>
      <c r="C55" s="34" t="s">
        <v>234</v>
      </c>
      <c r="D55" s="34"/>
    </row>
    <row r="56" spans="1:4">
      <c r="A56" s="34" t="str">
        <f t="shared" si="1"/>
        <v>0000EEDC</v>
      </c>
      <c r="B56" s="34" t="s">
        <v>193</v>
      </c>
      <c r="C56" s="34" t="s">
        <v>236</v>
      </c>
      <c r="D56" s="34"/>
    </row>
    <row r="57" spans="1:4">
      <c r="A57" s="2" t="str">
        <f t="shared" si="1"/>
        <v>0000EEE0</v>
      </c>
      <c r="B57" s="2" t="s">
        <v>304</v>
      </c>
      <c r="C57" s="2" t="s">
        <v>303</v>
      </c>
    </row>
    <row r="58" spans="1:4">
      <c r="A58" s="2" t="str">
        <f t="shared" si="1"/>
        <v>0000EEE4</v>
      </c>
      <c r="B58" s="2" t="s">
        <v>288</v>
      </c>
      <c r="C58" s="2" t="str">
        <f>_xlfn.CONCAT("b 0x",A9)</f>
        <v>b 0x00009BBC</v>
      </c>
    </row>
    <row r="59" spans="1:4">
      <c r="A59" s="2" t="str">
        <f t="shared" si="1"/>
        <v>0000EEE8</v>
      </c>
      <c r="B59" s="3" t="s">
        <v>31</v>
      </c>
      <c r="C59" s="3"/>
    </row>
    <row r="60" spans="1:4">
      <c r="A60" s="2" t="str">
        <f t="shared" si="1"/>
        <v>0000EEEC</v>
      </c>
      <c r="B60" s="3" t="s">
        <v>313</v>
      </c>
    </row>
    <row r="61" spans="1:4">
      <c r="A61" s="2" t="str">
        <f t="shared" si="1"/>
        <v>0000EEF0</v>
      </c>
      <c r="B61" s="3" t="s">
        <v>314</v>
      </c>
    </row>
    <row r="62" spans="1:4">
      <c r="A62" s="2" t="str">
        <f t="shared" si="1"/>
        <v>0000EEF4</v>
      </c>
      <c r="B62" s="3" t="s">
        <v>315</v>
      </c>
    </row>
    <row r="63" spans="1:4">
      <c r="A63" s="2" t="str">
        <f t="shared" si="1"/>
        <v>0000EEF8</v>
      </c>
      <c r="B63" s="3" t="s">
        <v>316</v>
      </c>
    </row>
    <row r="64" spans="1:4">
      <c r="A64" s="2" t="str">
        <f t="shared" si="1"/>
        <v>0000EEFC</v>
      </c>
      <c r="B64" s="3" t="s">
        <v>317</v>
      </c>
    </row>
    <row r="65" spans="1:4">
      <c r="A65" s="2" t="str">
        <f t="shared" si="1"/>
        <v>0000EF00</v>
      </c>
      <c r="B65" s="3" t="s">
        <v>31</v>
      </c>
    </row>
    <row r="66" spans="1:4">
      <c r="A66" s="2" t="str">
        <f t="shared" si="1"/>
        <v>0000EF04</v>
      </c>
      <c r="B66" s="3" t="s">
        <v>313</v>
      </c>
    </row>
    <row r="68" spans="1:4">
      <c r="A68" s="1" t="s">
        <v>319</v>
      </c>
    </row>
    <row r="69" spans="1:4">
      <c r="A69" s="2" t="str">
        <f>DEC2HEX(HEX2DEC(A66)+4,8)</f>
        <v>0000EF08</v>
      </c>
      <c r="B69" s="2" t="s">
        <v>302</v>
      </c>
      <c r="C69" s="2" t="s">
        <v>301</v>
      </c>
    </row>
    <row r="70" spans="1:4">
      <c r="A70" s="2" t="str">
        <f t="shared" ref="A70:A91" si="2">DEC2HEX(HEX2DEC(A69)+4,8)</f>
        <v>0000EF0C</v>
      </c>
      <c r="B70" s="2" t="s">
        <v>289</v>
      </c>
      <c r="C70" s="2" t="s">
        <v>277</v>
      </c>
      <c r="D70" s="2" t="s">
        <v>278</v>
      </c>
    </row>
    <row r="71" spans="1:4">
      <c r="A71" s="2" t="str">
        <f t="shared" si="2"/>
        <v>0000EF10</v>
      </c>
      <c r="B71" s="3" t="s">
        <v>290</v>
      </c>
      <c r="C71" s="2" t="s">
        <v>279</v>
      </c>
    </row>
    <row r="72" spans="1:4">
      <c r="A72" s="2" t="str">
        <f t="shared" si="2"/>
        <v>0000EF14</v>
      </c>
      <c r="B72" s="3" t="s">
        <v>61</v>
      </c>
      <c r="C72" s="2" t="s">
        <v>60</v>
      </c>
      <c r="D72" s="2" t="s">
        <v>216</v>
      </c>
    </row>
    <row r="73" spans="1:4">
      <c r="A73" s="2" t="str">
        <f t="shared" si="2"/>
        <v>0000EF18</v>
      </c>
      <c r="B73" s="3" t="s">
        <v>296</v>
      </c>
      <c r="C73" s="2" t="s">
        <v>297</v>
      </c>
    </row>
    <row r="74" spans="1:4">
      <c r="A74" s="2" t="str">
        <f t="shared" si="2"/>
        <v>0000EF1C</v>
      </c>
      <c r="B74" s="2" t="s">
        <v>291</v>
      </c>
      <c r="C74" s="2" t="str">
        <f>_xlfn.CONCAT("ldr r12, [pc, #",HEX2DEC(A83)-HEX2DEC(A74)-8,"]")</f>
        <v>ldr r12, [pc, #28]</v>
      </c>
    </row>
    <row r="75" spans="1:4">
      <c r="A75" s="2" t="str">
        <f t="shared" si="2"/>
        <v>0000EF20</v>
      </c>
      <c r="B75" s="2" t="s">
        <v>254</v>
      </c>
      <c r="C75" s="2" t="s">
        <v>251</v>
      </c>
    </row>
    <row r="76" spans="1:4">
      <c r="A76" s="2" t="str">
        <f t="shared" si="2"/>
        <v>0000EF24</v>
      </c>
      <c r="B76" s="3" t="s">
        <v>255</v>
      </c>
      <c r="C76" s="2" t="s">
        <v>252</v>
      </c>
    </row>
    <row r="77" spans="1:4">
      <c r="A77" s="2" t="str">
        <f t="shared" si="2"/>
        <v>0000EF28</v>
      </c>
      <c r="B77" s="3" t="s">
        <v>256</v>
      </c>
      <c r="C77" s="2" t="s">
        <v>258</v>
      </c>
    </row>
    <row r="78" spans="1:4">
      <c r="A78" s="2" t="str">
        <f t="shared" si="2"/>
        <v>0000EF2C</v>
      </c>
      <c r="B78" s="3" t="s">
        <v>257</v>
      </c>
      <c r="C78" s="2" t="s">
        <v>259</v>
      </c>
    </row>
    <row r="79" spans="1:4">
      <c r="A79" s="2" t="str">
        <f t="shared" si="2"/>
        <v>0000EF30</v>
      </c>
      <c r="B79" s="2" t="s">
        <v>253</v>
      </c>
      <c r="C79" s="2" t="s">
        <v>250</v>
      </c>
    </row>
    <row r="80" spans="1:4">
      <c r="A80" s="2" t="str">
        <f t="shared" si="2"/>
        <v>0000EF34</v>
      </c>
      <c r="B80" s="3" t="s">
        <v>298</v>
      </c>
      <c r="C80" s="2" t="str">
        <f>_xlfn.CONCAT("blt 0x",A75)</f>
        <v>blt 0x0000EF20</v>
      </c>
    </row>
    <row r="81" spans="1:5">
      <c r="A81" s="2" t="str">
        <f t="shared" si="2"/>
        <v>0000EF38</v>
      </c>
      <c r="B81" s="3" t="s">
        <v>300</v>
      </c>
      <c r="C81" s="2" t="s">
        <v>299</v>
      </c>
    </row>
    <row r="82" spans="1:5">
      <c r="A82" s="2" t="str">
        <f t="shared" si="2"/>
        <v>0000EF3C</v>
      </c>
      <c r="B82" s="2" t="s">
        <v>292</v>
      </c>
      <c r="C82" s="2" t="str">
        <f>SUBSTITUTE(SUBSTITUTE(C69,"push","pop"),"lr","pc")</f>
        <v>pop {r4, pc}</v>
      </c>
    </row>
    <row r="83" spans="1:5">
      <c r="A83" s="2" t="str">
        <f t="shared" si="2"/>
        <v>0000EF40</v>
      </c>
      <c r="B83" s="2" t="s">
        <v>260</v>
      </c>
    </row>
    <row r="92" spans="1:5">
      <c r="E92" s="3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2997-F246-4C5F-A8BD-F20C0C7FFDD2}">
  <dimension ref="A1:G63"/>
  <sheetViews>
    <sheetView zoomScale="115" zoomScaleNormal="115" workbookViewId="0">
      <pane ySplit="1" topLeftCell="A22" activePane="bottomLeft" state="frozen"/>
      <selection pane="bottomLeft" activeCell="A4" sqref="A1:XFD1048576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21.0703125" style="2" bestFit="1" customWidth="1"/>
    <col min="4" max="4" width="10.85546875" style="2" bestFit="1" customWidth="1"/>
    <col min="5" max="5" width="9.78515625" style="2" bestFit="1" customWidth="1"/>
    <col min="6" max="6" width="12.7109375" style="2" customWidth="1"/>
    <col min="7" max="7" width="13.640625" style="2" customWidth="1"/>
    <col min="8" max="8" width="15.42578125" style="2" bestFit="1" customWidth="1"/>
    <col min="9" max="9" width="12" style="2" bestFit="1" customWidth="1"/>
    <col min="10" max="11" width="9.2109375" style="2"/>
    <col min="12" max="12" width="9.7109375" style="2" bestFit="1" customWidth="1"/>
    <col min="13" max="16384" width="9.210937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>
        <v>0</v>
      </c>
    </row>
    <row r="2" spans="1:5">
      <c r="A2" s="1" t="s">
        <v>5</v>
      </c>
      <c r="B2" s="1"/>
      <c r="C2" s="1"/>
      <c r="D2" s="1"/>
    </row>
    <row r="3" spans="1:5">
      <c r="A3" s="3" t="s">
        <v>195</v>
      </c>
      <c r="B3" s="3" t="s">
        <v>143</v>
      </c>
      <c r="C3" s="2" t="s">
        <v>90</v>
      </c>
    </row>
    <row r="4" spans="1:5">
      <c r="A4" s="2" t="str">
        <f t="shared" ref="A4:A63" si="0">DEC2HEX(HEX2DEC(A3)+4,8)</f>
        <v>00009B20</v>
      </c>
      <c r="B4" s="3" t="s">
        <v>144</v>
      </c>
      <c r="C4" s="2" t="s">
        <v>91</v>
      </c>
    </row>
    <row r="5" spans="1:5">
      <c r="A5" s="2" t="str">
        <f t="shared" si="0"/>
        <v>00009B24</v>
      </c>
      <c r="B5" s="3" t="s">
        <v>145</v>
      </c>
      <c r="C5" s="2" t="s">
        <v>92</v>
      </c>
    </row>
    <row r="6" spans="1:5">
      <c r="A6" s="2" t="str">
        <f t="shared" si="0"/>
        <v>00009B28</v>
      </c>
      <c r="B6" s="3" t="s">
        <v>146</v>
      </c>
      <c r="C6" s="2" t="s">
        <v>93</v>
      </c>
    </row>
    <row r="7" spans="1:5">
      <c r="A7" s="2" t="str">
        <f t="shared" si="0"/>
        <v>00009B2C</v>
      </c>
      <c r="B7" s="3" t="s">
        <v>147</v>
      </c>
      <c r="C7" s="2" t="s">
        <v>94</v>
      </c>
    </row>
    <row r="8" spans="1:5">
      <c r="A8" s="2" t="str">
        <f t="shared" si="0"/>
        <v>00009B30</v>
      </c>
      <c r="B8" s="3" t="s">
        <v>148</v>
      </c>
      <c r="C8" s="2" t="s">
        <v>95</v>
      </c>
    </row>
    <row r="9" spans="1:5">
      <c r="A9" s="2" t="str">
        <f t="shared" si="0"/>
        <v>00009B34</v>
      </c>
      <c r="B9" s="3" t="s">
        <v>149</v>
      </c>
      <c r="C9" s="2" t="s">
        <v>96</v>
      </c>
    </row>
    <row r="10" spans="1:5">
      <c r="A10" s="2" t="str">
        <f t="shared" si="0"/>
        <v>00009B38</v>
      </c>
      <c r="B10" s="3" t="s">
        <v>150</v>
      </c>
      <c r="C10" s="2" t="s">
        <v>97</v>
      </c>
    </row>
    <row r="11" spans="1:5">
      <c r="A11" s="2" t="str">
        <f t="shared" si="0"/>
        <v>00009B3C</v>
      </c>
      <c r="B11" s="12" t="s">
        <v>151</v>
      </c>
      <c r="C11" s="2" t="s">
        <v>98</v>
      </c>
    </row>
    <row r="12" spans="1:5">
      <c r="A12" s="2" t="str">
        <f t="shared" si="0"/>
        <v>00009B40</v>
      </c>
      <c r="B12" s="12" t="s">
        <v>152</v>
      </c>
      <c r="C12" s="2" t="s">
        <v>99</v>
      </c>
    </row>
    <row r="13" spans="1:5">
      <c r="A13" s="2" t="str">
        <f t="shared" si="0"/>
        <v>00009B44</v>
      </c>
      <c r="B13" s="12" t="s">
        <v>153</v>
      </c>
      <c r="C13" s="2" t="s">
        <v>100</v>
      </c>
    </row>
    <row r="14" spans="1:5">
      <c r="A14" s="2" t="str">
        <f t="shared" si="0"/>
        <v>00009B48</v>
      </c>
      <c r="B14" s="12" t="s">
        <v>154</v>
      </c>
      <c r="C14" s="2" t="s">
        <v>101</v>
      </c>
    </row>
    <row r="15" spans="1:5">
      <c r="A15" s="2" t="str">
        <f t="shared" si="0"/>
        <v>00009B4C</v>
      </c>
      <c r="B15" s="3" t="s">
        <v>155</v>
      </c>
      <c r="C15" s="2" t="s">
        <v>102</v>
      </c>
    </row>
    <row r="16" spans="1:5">
      <c r="A16" s="2" t="str">
        <f t="shared" si="0"/>
        <v>00009B50</v>
      </c>
      <c r="B16" s="3" t="s">
        <v>156</v>
      </c>
      <c r="C16" s="2" t="s">
        <v>103</v>
      </c>
    </row>
    <row r="17" spans="1:6">
      <c r="A17" s="2" t="str">
        <f t="shared" si="0"/>
        <v>00009B54</v>
      </c>
      <c r="B17" s="3" t="s">
        <v>150</v>
      </c>
      <c r="C17" s="2" t="s">
        <v>104</v>
      </c>
    </row>
    <row r="18" spans="1:6">
      <c r="A18" s="2" t="str">
        <f t="shared" si="0"/>
        <v>00009B58</v>
      </c>
      <c r="B18" s="2" t="s">
        <v>151</v>
      </c>
      <c r="C18" s="2" t="s">
        <v>98</v>
      </c>
      <c r="F18" s="3"/>
    </row>
    <row r="19" spans="1:6">
      <c r="A19" s="2" t="str">
        <f t="shared" si="0"/>
        <v>00009B5C</v>
      </c>
      <c r="B19" s="3" t="s">
        <v>152</v>
      </c>
      <c r="C19" s="2" t="s">
        <v>99</v>
      </c>
      <c r="F19" s="3"/>
    </row>
    <row r="20" spans="1:6">
      <c r="A20" s="2" t="str">
        <f t="shared" si="0"/>
        <v>00009B60</v>
      </c>
      <c r="B20" s="3" t="s">
        <v>153</v>
      </c>
      <c r="C20" s="2" t="s">
        <v>100</v>
      </c>
    </row>
    <row r="21" spans="1:6">
      <c r="A21" s="2" t="str">
        <f t="shared" si="0"/>
        <v>00009B64</v>
      </c>
      <c r="B21" s="3" t="s">
        <v>154</v>
      </c>
      <c r="C21" s="2" t="s">
        <v>101</v>
      </c>
      <c r="D21"/>
    </row>
    <row r="22" spans="1:6">
      <c r="A22" s="2" t="str">
        <f t="shared" si="0"/>
        <v>00009B68</v>
      </c>
      <c r="B22" s="3" t="s">
        <v>157</v>
      </c>
      <c r="C22" s="2" t="s">
        <v>102</v>
      </c>
      <c r="D22"/>
    </row>
    <row r="23" spans="1:6">
      <c r="A23" s="2" t="str">
        <f t="shared" si="0"/>
        <v>00009B6C</v>
      </c>
      <c r="B23" s="3" t="s">
        <v>158</v>
      </c>
      <c r="C23" s="2" t="s">
        <v>105</v>
      </c>
    </row>
    <row r="24" spans="1:6">
      <c r="A24" s="2" t="str">
        <f t="shared" si="0"/>
        <v>00009B70</v>
      </c>
      <c r="B24" s="3" t="s">
        <v>159</v>
      </c>
      <c r="C24" s="2" t="s">
        <v>106</v>
      </c>
    </row>
    <row r="25" spans="1:6">
      <c r="A25" s="2" t="str">
        <f t="shared" si="0"/>
        <v>00009B74</v>
      </c>
      <c r="B25" s="9" t="s">
        <v>160</v>
      </c>
      <c r="C25" s="2" t="s">
        <v>107</v>
      </c>
      <c r="D25" s="8"/>
    </row>
    <row r="26" spans="1:6">
      <c r="A26" s="2" t="str">
        <f t="shared" si="0"/>
        <v>00009B78</v>
      </c>
      <c r="B26" s="9" t="s">
        <v>161</v>
      </c>
      <c r="C26" s="2" t="s">
        <v>108</v>
      </c>
      <c r="D26" s="8"/>
    </row>
    <row r="27" spans="1:6">
      <c r="A27" s="2" t="str">
        <f t="shared" si="0"/>
        <v>00009B7C</v>
      </c>
      <c r="B27" s="6" t="s">
        <v>162</v>
      </c>
      <c r="C27" s="2" t="s">
        <v>109</v>
      </c>
    </row>
    <row r="28" spans="1:6">
      <c r="A28" s="2" t="str">
        <f t="shared" si="0"/>
        <v>00009B80</v>
      </c>
      <c r="B28" s="7" t="s">
        <v>6</v>
      </c>
      <c r="C28" s="2" t="s">
        <v>110</v>
      </c>
    </row>
    <row r="29" spans="1:6">
      <c r="A29" s="2" t="str">
        <f t="shared" si="0"/>
        <v>00009B84</v>
      </c>
      <c r="B29" s="7" t="s">
        <v>163</v>
      </c>
      <c r="C29" s="8" t="s">
        <v>111</v>
      </c>
    </row>
    <row r="30" spans="1:6">
      <c r="A30" s="2" t="str">
        <f t="shared" si="0"/>
        <v>00009B88</v>
      </c>
      <c r="B30" s="7" t="s">
        <v>62</v>
      </c>
      <c r="C30" s="3" t="s">
        <v>8</v>
      </c>
    </row>
    <row r="31" spans="1:6">
      <c r="A31" s="2" t="str">
        <f t="shared" si="0"/>
        <v>00009B8C</v>
      </c>
      <c r="B31" s="7" t="s">
        <v>164</v>
      </c>
      <c r="C31" s="3" t="s">
        <v>112</v>
      </c>
    </row>
    <row r="32" spans="1:6">
      <c r="A32" s="2" t="str">
        <f t="shared" si="0"/>
        <v>00009B90</v>
      </c>
      <c r="B32" s="7" t="s">
        <v>165</v>
      </c>
      <c r="C32" s="3" t="s">
        <v>113</v>
      </c>
    </row>
    <row r="33" spans="1:7">
      <c r="A33" s="2" t="str">
        <f t="shared" si="0"/>
        <v>00009B94</v>
      </c>
      <c r="B33" s="7" t="s">
        <v>166</v>
      </c>
      <c r="C33" s="3" t="s">
        <v>114</v>
      </c>
    </row>
    <row r="34" spans="1:7">
      <c r="A34" s="2" t="str">
        <f t="shared" si="0"/>
        <v>00009B98</v>
      </c>
      <c r="B34" s="6" t="s">
        <v>167</v>
      </c>
      <c r="C34" s="3" t="s">
        <v>115</v>
      </c>
    </row>
    <row r="35" spans="1:7">
      <c r="A35" s="2" t="str">
        <f t="shared" si="0"/>
        <v>00009B9C</v>
      </c>
      <c r="B35" s="3" t="s">
        <v>168</v>
      </c>
      <c r="C35" s="3" t="s">
        <v>116</v>
      </c>
    </row>
    <row r="36" spans="1:7">
      <c r="A36" s="2" t="str">
        <f t="shared" si="0"/>
        <v>00009BA0</v>
      </c>
      <c r="B36" s="6" t="s">
        <v>169</v>
      </c>
      <c r="C36" s="3" t="s">
        <v>117</v>
      </c>
      <c r="E36" s="7"/>
    </row>
    <row r="37" spans="1:7">
      <c r="A37" s="2" t="str">
        <f t="shared" si="0"/>
        <v>00009BA4</v>
      </c>
      <c r="B37" s="6" t="s">
        <v>170</v>
      </c>
      <c r="C37" s="3" t="s">
        <v>118</v>
      </c>
      <c r="E37" s="7"/>
      <c r="G37" s="7"/>
    </row>
    <row r="38" spans="1:7">
      <c r="A38" s="2" t="str">
        <f t="shared" si="0"/>
        <v>00009BA8</v>
      </c>
      <c r="B38" s="6" t="s">
        <v>171</v>
      </c>
      <c r="C38" s="3" t="s">
        <v>119</v>
      </c>
    </row>
    <row r="39" spans="1:7">
      <c r="A39" s="2" t="str">
        <f t="shared" si="0"/>
        <v>00009BAC</v>
      </c>
      <c r="B39" s="3" t="s">
        <v>172</v>
      </c>
      <c r="C39" s="2" t="s">
        <v>120</v>
      </c>
    </row>
    <row r="40" spans="1:7">
      <c r="A40" s="2" t="str">
        <f t="shared" si="0"/>
        <v>00009BB0</v>
      </c>
      <c r="B40" s="3" t="s">
        <v>173</v>
      </c>
      <c r="C40" s="2" t="s">
        <v>121</v>
      </c>
    </row>
    <row r="41" spans="1:7">
      <c r="A41" s="2" t="str">
        <f t="shared" si="0"/>
        <v>00009BB4</v>
      </c>
      <c r="B41" s="3" t="s">
        <v>174</v>
      </c>
      <c r="C41" s="2" t="s">
        <v>122</v>
      </c>
    </row>
    <row r="42" spans="1:7">
      <c r="A42" s="2" t="str">
        <f t="shared" si="0"/>
        <v>00009BB8</v>
      </c>
      <c r="B42" s="3" t="s">
        <v>175</v>
      </c>
      <c r="C42" s="2" t="s">
        <v>123</v>
      </c>
    </row>
    <row r="43" spans="1:7">
      <c r="A43" s="2" t="str">
        <f t="shared" si="0"/>
        <v>00009BBC</v>
      </c>
      <c r="B43" s="3" t="s">
        <v>176</v>
      </c>
      <c r="C43" s="2" t="s">
        <v>124</v>
      </c>
    </row>
    <row r="44" spans="1:7">
      <c r="A44" s="2" t="str">
        <f t="shared" si="0"/>
        <v>00009BC0</v>
      </c>
      <c r="B44" s="3" t="s">
        <v>177</v>
      </c>
      <c r="C44" s="2" t="s">
        <v>125</v>
      </c>
    </row>
    <row r="45" spans="1:7">
      <c r="A45" s="2" t="str">
        <f t="shared" si="0"/>
        <v>00009BC4</v>
      </c>
      <c r="B45" s="3" t="s">
        <v>178</v>
      </c>
      <c r="C45" s="2" t="s">
        <v>126</v>
      </c>
    </row>
    <row r="46" spans="1:7">
      <c r="A46" s="2" t="str">
        <f t="shared" si="0"/>
        <v>00009BC8</v>
      </c>
      <c r="B46" s="3" t="s">
        <v>179</v>
      </c>
      <c r="C46" s="2" t="s">
        <v>127</v>
      </c>
    </row>
    <row r="47" spans="1:7">
      <c r="A47" s="2" t="str">
        <f t="shared" si="0"/>
        <v>00009BCC</v>
      </c>
      <c r="B47" s="3" t="s">
        <v>180</v>
      </c>
      <c r="C47" s="2" t="s">
        <v>128</v>
      </c>
    </row>
    <row r="48" spans="1:7">
      <c r="A48" s="2" t="str">
        <f t="shared" si="0"/>
        <v>00009BD0</v>
      </c>
      <c r="B48" s="7" t="s">
        <v>181</v>
      </c>
      <c r="C48" s="2" t="s">
        <v>129</v>
      </c>
    </row>
    <row r="49" spans="1:3">
      <c r="A49" s="2" t="str">
        <f t="shared" si="0"/>
        <v>00009BD4</v>
      </c>
      <c r="B49" s="7" t="s">
        <v>182</v>
      </c>
      <c r="C49" s="2" t="s">
        <v>130</v>
      </c>
    </row>
    <row r="50" spans="1:3">
      <c r="A50" s="2" t="str">
        <f t="shared" si="0"/>
        <v>00009BD8</v>
      </c>
      <c r="B50" s="6" t="s">
        <v>183</v>
      </c>
      <c r="C50" s="2" t="s">
        <v>131</v>
      </c>
    </row>
    <row r="51" spans="1:3">
      <c r="A51" s="2" t="str">
        <f t="shared" si="0"/>
        <v>00009BDC</v>
      </c>
      <c r="B51" s="7" t="s">
        <v>184</v>
      </c>
      <c r="C51" s="2" t="s">
        <v>132</v>
      </c>
    </row>
    <row r="52" spans="1:3">
      <c r="A52" s="2" t="str">
        <f t="shared" si="0"/>
        <v>00009BE0</v>
      </c>
      <c r="B52" s="7" t="s">
        <v>185</v>
      </c>
      <c r="C52" s="2" t="s">
        <v>133</v>
      </c>
    </row>
    <row r="53" spans="1:3">
      <c r="A53" s="2" t="str">
        <f t="shared" si="0"/>
        <v>00009BE4</v>
      </c>
      <c r="B53" s="6" t="s">
        <v>186</v>
      </c>
      <c r="C53" s="2" t="s">
        <v>134</v>
      </c>
    </row>
    <row r="54" spans="1:3">
      <c r="A54" s="2" t="str">
        <f t="shared" si="0"/>
        <v>00009BE8</v>
      </c>
      <c r="B54" s="6" t="s">
        <v>187</v>
      </c>
      <c r="C54" s="2" t="s">
        <v>135</v>
      </c>
    </row>
    <row r="55" spans="1:3">
      <c r="A55" s="2" t="str">
        <f t="shared" si="0"/>
        <v>00009BEC</v>
      </c>
      <c r="B55" s="6" t="s">
        <v>188</v>
      </c>
      <c r="C55" s="2" t="s">
        <v>136</v>
      </c>
    </row>
    <row r="56" spans="1:3">
      <c r="A56" s="2" t="str">
        <f t="shared" si="0"/>
        <v>00009BF0</v>
      </c>
      <c r="B56" s="7" t="s">
        <v>189</v>
      </c>
      <c r="C56" s="2" t="s">
        <v>137</v>
      </c>
    </row>
    <row r="57" spans="1:3">
      <c r="A57" s="2" t="str">
        <f t="shared" si="0"/>
        <v>00009BF4</v>
      </c>
      <c r="B57" s="7" t="s">
        <v>190</v>
      </c>
      <c r="C57" s="2" t="s">
        <v>138</v>
      </c>
    </row>
    <row r="58" spans="1:3">
      <c r="A58" s="2" t="str">
        <f t="shared" si="0"/>
        <v>00009BF8</v>
      </c>
      <c r="B58" s="7" t="s">
        <v>186</v>
      </c>
      <c r="C58" s="2" t="s">
        <v>134</v>
      </c>
    </row>
    <row r="59" spans="1:3">
      <c r="A59" s="2" t="str">
        <f t="shared" si="0"/>
        <v>00009BFC</v>
      </c>
      <c r="B59" s="3" t="s">
        <v>191</v>
      </c>
      <c r="C59" s="2" t="s">
        <v>139</v>
      </c>
    </row>
    <row r="60" spans="1:3">
      <c r="A60" s="2" t="str">
        <f t="shared" si="0"/>
        <v>00009C00</v>
      </c>
      <c r="B60" s="2" t="s">
        <v>192</v>
      </c>
      <c r="C60" s="2" t="s">
        <v>140</v>
      </c>
    </row>
    <row r="61" spans="1:3">
      <c r="A61" s="2" t="str">
        <f t="shared" si="0"/>
        <v>00009C04</v>
      </c>
      <c r="B61" s="2" t="s">
        <v>193</v>
      </c>
      <c r="C61" s="2" t="s">
        <v>141</v>
      </c>
    </row>
    <row r="62" spans="1:3">
      <c r="A62" s="2" t="str">
        <f t="shared" si="0"/>
        <v>00009C08</v>
      </c>
      <c r="B62" s="2" t="s">
        <v>194</v>
      </c>
      <c r="C62" s="2" t="s">
        <v>138</v>
      </c>
    </row>
    <row r="63" spans="1:3">
      <c r="A63" s="2" t="str">
        <f t="shared" si="0"/>
        <v>00009C0C</v>
      </c>
      <c r="B63" s="3" t="s">
        <v>31</v>
      </c>
      <c r="C63" s="2" t="s">
        <v>142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7B82-690D-4F1B-96E6-A9DA4F5FD3DE}">
  <dimension ref="A1:G58"/>
  <sheetViews>
    <sheetView tabSelected="1" zoomScale="115" zoomScaleNormal="115" workbookViewId="0">
      <pane ySplit="1" topLeftCell="A2" activePane="bottomLeft" state="frozen"/>
      <selection pane="bottomLeft" activeCell="B3" sqref="B3:B17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21.0703125" style="2" bestFit="1" customWidth="1"/>
    <col min="4" max="4" width="10.85546875" style="2" bestFit="1" customWidth="1"/>
    <col min="5" max="5" width="9.78515625" style="2" bestFit="1" customWidth="1"/>
    <col min="6" max="6" width="12.7109375" style="2" customWidth="1"/>
    <col min="7" max="7" width="13.640625" style="2" customWidth="1"/>
    <col min="8" max="8" width="15.42578125" style="2" bestFit="1" customWidth="1"/>
    <col min="9" max="9" width="12" style="2" bestFit="1" customWidth="1"/>
    <col min="10" max="11" width="9.2109375" style="2"/>
    <col min="12" max="12" width="9.7109375" style="2" bestFit="1" customWidth="1"/>
    <col min="13" max="16384" width="9.210937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>
        <v>0</v>
      </c>
    </row>
    <row r="2" spans="1:7">
      <c r="A2" s="1" t="s">
        <v>5</v>
      </c>
      <c r="B2" s="1"/>
      <c r="C2" s="1"/>
      <c r="D2" s="1"/>
    </row>
    <row r="3" spans="1:7">
      <c r="A3" s="3" t="s">
        <v>74</v>
      </c>
      <c r="B3" s="2" t="s">
        <v>76</v>
      </c>
      <c r="C3" s="2" t="str">
        <f>_xlfn.CONCAT("ldr r0, [pc, #",HEX2DEC(A17)-HEX2DEC(A3)-8,"]")</f>
        <v>ldr r0, [pc, #48]</v>
      </c>
      <c r="G3" s="2" t="str">
        <f>C3</f>
        <v>ldr r0, [pc, #48]</v>
      </c>
    </row>
    <row r="4" spans="1:7">
      <c r="A4" s="2" t="str">
        <f t="shared" ref="A4:A24" si="0">DEC2HEX(HEX2DEC(A3)+4,8)</f>
        <v>00009B2C</v>
      </c>
      <c r="B4" s="3" t="s">
        <v>62</v>
      </c>
      <c r="C4" s="2" t="str">
        <f t="shared" ref="C4:C15" si="1">_xlfn.CONCAT("ldr r",ROW(C4)-3,",[r0, #",$E$1+4*(ROW(C4)-4),"]")</f>
        <v>ldr r1,[r0, #0]</v>
      </c>
      <c r="D4" s="2" t="str">
        <f>DEC2HEX(HEX2DEC($C$17)+4*(ROW(D4)-4)+$E$1,8)</f>
        <v>330138D0</v>
      </c>
      <c r="E4" s="2" t="str">
        <f>DEC2HEX(HEX2DEC("27CC")+4*(ROW(D4)-4)+$E$1,8)</f>
        <v>000027CC</v>
      </c>
      <c r="G4" s="2" t="s">
        <v>322</v>
      </c>
    </row>
    <row r="5" spans="1:7">
      <c r="A5" s="2" t="str">
        <f t="shared" si="0"/>
        <v>00009B30</v>
      </c>
      <c r="B5" s="3" t="s">
        <v>63</v>
      </c>
      <c r="C5" s="2" t="str">
        <f t="shared" si="1"/>
        <v>ldr r2,[r0, #4]</v>
      </c>
      <c r="D5" s="2" t="str">
        <f t="shared" ref="D5:D15" si="2">DEC2HEX(HEX2DEC($C$17)+4*(ROW(D5)-4)+$E$1,8)</f>
        <v>330138D4</v>
      </c>
      <c r="E5" s="2" t="str">
        <f t="shared" ref="E5:E15" si="3">DEC2HEX(HEX2DEC("27CC")+4*(ROW(D5)-4)+$E$1,8)</f>
        <v>000027D0</v>
      </c>
      <c r="G5" s="2" t="s">
        <v>323</v>
      </c>
    </row>
    <row r="6" spans="1:7">
      <c r="A6" s="2" t="str">
        <f t="shared" si="0"/>
        <v>00009B34</v>
      </c>
      <c r="B6" s="3" t="s">
        <v>64</v>
      </c>
      <c r="C6" s="2" t="str">
        <f t="shared" si="1"/>
        <v>ldr r3,[r0, #8]</v>
      </c>
      <c r="D6" s="2" t="str">
        <f t="shared" si="2"/>
        <v>330138D8</v>
      </c>
      <c r="E6" s="2" t="str">
        <f t="shared" si="3"/>
        <v>000027D4</v>
      </c>
    </row>
    <row r="7" spans="1:7">
      <c r="A7" s="2" t="str">
        <f t="shared" si="0"/>
        <v>00009B38</v>
      </c>
      <c r="B7" s="3" t="s">
        <v>65</v>
      </c>
      <c r="C7" s="2" t="str">
        <f t="shared" si="1"/>
        <v>ldr r4,[r0, #12]</v>
      </c>
      <c r="D7" s="2" t="str">
        <f t="shared" si="2"/>
        <v>330138DC</v>
      </c>
      <c r="E7" s="2" t="str">
        <f t="shared" si="3"/>
        <v>000027D8</v>
      </c>
    </row>
    <row r="8" spans="1:7">
      <c r="A8" s="2" t="str">
        <f t="shared" si="0"/>
        <v>00009B3C</v>
      </c>
      <c r="B8" s="3" t="s">
        <v>66</v>
      </c>
      <c r="C8" s="2" t="str">
        <f t="shared" si="1"/>
        <v>ldr r5,[r0, #16]</v>
      </c>
      <c r="D8" s="2" t="str">
        <f t="shared" si="2"/>
        <v>330138E0</v>
      </c>
      <c r="E8" s="2" t="str">
        <f t="shared" si="3"/>
        <v>000027DC</v>
      </c>
    </row>
    <row r="9" spans="1:7">
      <c r="A9" s="2" t="str">
        <f t="shared" si="0"/>
        <v>00009B40</v>
      </c>
      <c r="B9" s="3" t="s">
        <v>67</v>
      </c>
      <c r="C9" s="2" t="str">
        <f t="shared" si="1"/>
        <v>ldr r6,[r0, #20]</v>
      </c>
      <c r="D9" s="2" t="str">
        <f t="shared" si="2"/>
        <v>330138E4</v>
      </c>
      <c r="E9" s="2" t="str">
        <f t="shared" si="3"/>
        <v>000027E0</v>
      </c>
    </row>
    <row r="10" spans="1:7">
      <c r="A10" s="2" t="str">
        <f t="shared" si="0"/>
        <v>00009B44</v>
      </c>
      <c r="B10" s="3" t="s">
        <v>68</v>
      </c>
      <c r="C10" s="2" t="str">
        <f t="shared" si="1"/>
        <v>ldr r7,[r0, #24]</v>
      </c>
      <c r="D10" s="2" t="str">
        <f t="shared" si="2"/>
        <v>330138E8</v>
      </c>
      <c r="E10" s="2" t="str">
        <f t="shared" si="3"/>
        <v>000027E4</v>
      </c>
    </row>
    <row r="11" spans="1:7">
      <c r="A11" s="2" t="str">
        <f t="shared" si="0"/>
        <v>00009B48</v>
      </c>
      <c r="B11" s="12" t="s">
        <v>69</v>
      </c>
      <c r="C11" s="2" t="str">
        <f t="shared" si="1"/>
        <v>ldr r8,[r0, #28]</v>
      </c>
      <c r="D11" s="2" t="str">
        <f t="shared" si="2"/>
        <v>330138EC</v>
      </c>
      <c r="E11" s="2" t="str">
        <f t="shared" si="3"/>
        <v>000027E8</v>
      </c>
    </row>
    <row r="12" spans="1:7">
      <c r="A12" s="2" t="str">
        <f t="shared" si="0"/>
        <v>00009B4C</v>
      </c>
      <c r="B12" s="12" t="s">
        <v>70</v>
      </c>
      <c r="C12" s="2" t="str">
        <f t="shared" si="1"/>
        <v>ldr r9,[r0, #32]</v>
      </c>
      <c r="D12" s="2" t="str">
        <f t="shared" si="2"/>
        <v>330138F0</v>
      </c>
      <c r="E12" s="2" t="str">
        <f t="shared" si="3"/>
        <v>000027EC</v>
      </c>
    </row>
    <row r="13" spans="1:7">
      <c r="A13" s="2" t="str">
        <f t="shared" si="0"/>
        <v>00009B50</v>
      </c>
      <c r="B13" s="12" t="s">
        <v>71</v>
      </c>
      <c r="C13" s="2" t="str">
        <f t="shared" si="1"/>
        <v>ldr r10,[r0, #36]</v>
      </c>
      <c r="D13" s="2" t="str">
        <f t="shared" si="2"/>
        <v>330138F4</v>
      </c>
      <c r="E13" s="2" t="str">
        <f t="shared" si="3"/>
        <v>000027F0</v>
      </c>
    </row>
    <row r="14" spans="1:7">
      <c r="A14" s="2" t="str">
        <f t="shared" si="0"/>
        <v>00009B54</v>
      </c>
      <c r="B14" s="12" t="s">
        <v>72</v>
      </c>
      <c r="C14" s="2" t="str">
        <f t="shared" si="1"/>
        <v>ldr r11,[r0, #40]</v>
      </c>
      <c r="D14" s="2" t="str">
        <f t="shared" si="2"/>
        <v>330138F8</v>
      </c>
      <c r="E14" s="2" t="str">
        <f t="shared" si="3"/>
        <v>000027F4</v>
      </c>
    </row>
    <row r="15" spans="1:7">
      <c r="A15" s="2" t="str">
        <f t="shared" si="0"/>
        <v>00009B58</v>
      </c>
      <c r="B15" s="3" t="s">
        <v>73</v>
      </c>
      <c r="C15" s="2" t="str">
        <f t="shared" si="1"/>
        <v>ldr r12,[r0, #44]</v>
      </c>
      <c r="D15" s="2" t="str">
        <f t="shared" si="2"/>
        <v>330138FC</v>
      </c>
      <c r="E15" s="2" t="str">
        <f t="shared" si="3"/>
        <v>000027F8</v>
      </c>
    </row>
    <row r="16" spans="1:7">
      <c r="A16" s="2" t="str">
        <f t="shared" si="0"/>
        <v>00009B5C</v>
      </c>
      <c r="B16" s="3" t="s">
        <v>45</v>
      </c>
      <c r="C16" s="2" t="str">
        <f>_xlfn.CONCAT("b 0x",A16)</f>
        <v>b 0x00009B5C</v>
      </c>
    </row>
    <row r="17" spans="1:6">
      <c r="A17" s="2" t="str">
        <f t="shared" si="0"/>
        <v>00009B60</v>
      </c>
      <c r="B17" s="3" t="str">
        <f>_xlfn.CONCAT(MID(C17,7,2),MID(C17,5,2),MID(C17,3,2),MID(C17,1,2))</f>
        <v>D0380133</v>
      </c>
      <c r="C17" s="2" t="s">
        <v>321</v>
      </c>
    </row>
    <row r="18" spans="1:6">
      <c r="A18" s="2" t="str">
        <f t="shared" si="0"/>
        <v>00009B64</v>
      </c>
      <c r="C18" s="2" t="s">
        <v>75</v>
      </c>
      <c r="D18" s="2">
        <v>1600</v>
      </c>
      <c r="F18" s="3"/>
    </row>
    <row r="19" spans="1:6">
      <c r="A19" s="2" t="str">
        <f t="shared" si="0"/>
        <v>00009B68</v>
      </c>
      <c r="B19" s="3"/>
      <c r="C19" s="2">
        <v>1600</v>
      </c>
      <c r="F19" s="3"/>
    </row>
    <row r="20" spans="1:6">
      <c r="A20" s="2" t="str">
        <f t="shared" si="0"/>
        <v>00009B6C</v>
      </c>
      <c r="B20" s="3"/>
    </row>
    <row r="21" spans="1:6">
      <c r="A21" s="2" t="str">
        <f t="shared" si="0"/>
        <v>00009B70</v>
      </c>
      <c r="B21" s="3"/>
      <c r="D21"/>
    </row>
    <row r="22" spans="1:6">
      <c r="A22" s="2" t="str">
        <f t="shared" si="0"/>
        <v>00009B74</v>
      </c>
      <c r="B22" s="3"/>
      <c r="D22"/>
    </row>
    <row r="23" spans="1:6">
      <c r="A23" s="2" t="str">
        <f t="shared" si="0"/>
        <v>00009B78</v>
      </c>
      <c r="B23" s="3"/>
    </row>
    <row r="24" spans="1:6">
      <c r="A24" s="2" t="str">
        <f t="shared" si="0"/>
        <v>00009B7C</v>
      </c>
      <c r="B24" s="3"/>
    </row>
    <row r="25" spans="1:6">
      <c r="B25" s="9"/>
      <c r="D25" s="8"/>
    </row>
    <row r="26" spans="1:6">
      <c r="B26" s="9"/>
      <c r="D26" s="8"/>
    </row>
    <row r="27" spans="1:6">
      <c r="B27" s="6"/>
    </row>
    <row r="28" spans="1:6">
      <c r="B28" s="7"/>
    </row>
    <row r="29" spans="1:6">
      <c r="A29" s="2" t="s">
        <v>46</v>
      </c>
      <c r="B29" s="7" t="s">
        <v>51</v>
      </c>
      <c r="C29" s="8" t="s">
        <v>52</v>
      </c>
    </row>
    <row r="30" spans="1:6">
      <c r="B30" s="7" t="s">
        <v>54</v>
      </c>
      <c r="C30" s="3" t="str">
        <f t="shared" ref="C30:C35" si="4">DEC2HEX(B30)</f>
        <v>41C</v>
      </c>
      <c r="D30" s="2">
        <f t="shared" ref="D30:D35" si="5">HEX2DEC(E30)</f>
        <v>21</v>
      </c>
      <c r="E30" s="2">
        <v>15</v>
      </c>
    </row>
    <row r="31" spans="1:6">
      <c r="B31" s="7" t="s">
        <v>55</v>
      </c>
      <c r="C31" s="3" t="str">
        <f t="shared" si="4"/>
        <v>420</v>
      </c>
      <c r="D31" s="2">
        <f t="shared" si="5"/>
        <v>23</v>
      </c>
      <c r="E31" s="2">
        <v>17</v>
      </c>
    </row>
    <row r="32" spans="1:6">
      <c r="B32" s="7" t="s">
        <v>56</v>
      </c>
      <c r="C32" s="3" t="str">
        <f t="shared" si="4"/>
        <v>424</v>
      </c>
      <c r="D32" s="2">
        <f t="shared" si="5"/>
        <v>24</v>
      </c>
      <c r="E32" s="2">
        <v>18</v>
      </c>
    </row>
    <row r="33" spans="2:7">
      <c r="B33" s="7" t="s">
        <v>57</v>
      </c>
      <c r="C33" s="3" t="str">
        <f t="shared" si="4"/>
        <v>428</v>
      </c>
      <c r="D33" s="2">
        <f t="shared" si="5"/>
        <v>29</v>
      </c>
      <c r="E33" s="2" t="s">
        <v>59</v>
      </c>
    </row>
    <row r="34" spans="2:7">
      <c r="B34" s="6" t="s">
        <v>58</v>
      </c>
      <c r="C34" s="3" t="str">
        <f t="shared" si="4"/>
        <v>42C</v>
      </c>
      <c r="D34" s="2">
        <f t="shared" si="5"/>
        <v>37</v>
      </c>
      <c r="E34" s="2">
        <v>25</v>
      </c>
    </row>
    <row r="35" spans="2:7">
      <c r="B35" s="3">
        <v>1072</v>
      </c>
      <c r="C35" s="3" t="str">
        <f t="shared" si="4"/>
        <v>430</v>
      </c>
      <c r="D35" s="2">
        <f t="shared" si="5"/>
        <v>38</v>
      </c>
      <c r="E35" s="2">
        <v>26</v>
      </c>
    </row>
    <row r="36" spans="2:7">
      <c r="B36" s="6" t="s">
        <v>47</v>
      </c>
      <c r="C36" s="3" t="str">
        <f>DEC2HEX(B36)</f>
        <v>474</v>
      </c>
      <c r="D36" s="2">
        <f>HEX2DEC(E36)</f>
        <v>24</v>
      </c>
      <c r="E36" s="7" t="s">
        <v>49</v>
      </c>
    </row>
    <row r="37" spans="2:7">
      <c r="B37" s="6" t="s">
        <v>48</v>
      </c>
      <c r="C37" s="3" t="str">
        <f>DEC2HEX(B37)</f>
        <v>478</v>
      </c>
      <c r="D37" s="2">
        <f>HEX2DEC(E37)</f>
        <v>35</v>
      </c>
      <c r="E37" s="7" t="s">
        <v>50</v>
      </c>
      <c r="G37" s="7"/>
    </row>
    <row r="38" spans="2:7">
      <c r="B38" s="6" t="s">
        <v>53</v>
      </c>
      <c r="C38" s="3" t="str">
        <f>DEC2HEX(B38)</f>
        <v>47C</v>
      </c>
      <c r="D38" s="2">
        <f>HEX2DEC(E38)</f>
        <v>1</v>
      </c>
      <c r="E38" s="2">
        <v>1</v>
      </c>
    </row>
    <row r="39" spans="2:7">
      <c r="B39" s="3"/>
    </row>
    <row r="40" spans="2:7">
      <c r="B40" s="3"/>
    </row>
    <row r="41" spans="2:7">
      <c r="B41" s="3"/>
    </row>
    <row r="42" spans="2:7">
      <c r="B42" s="3"/>
    </row>
    <row r="43" spans="2:7">
      <c r="B43" s="3"/>
    </row>
    <row r="44" spans="2:7">
      <c r="B44" s="3"/>
    </row>
    <row r="45" spans="2:7">
      <c r="B45" s="3"/>
    </row>
    <row r="46" spans="2:7">
      <c r="B46" s="3"/>
    </row>
    <row r="47" spans="2:7">
      <c r="B47" s="3"/>
    </row>
    <row r="48" spans="2:7">
      <c r="B48" s="7"/>
    </row>
    <row r="49" spans="2:2">
      <c r="B49" s="7"/>
    </row>
    <row r="50" spans="2:2">
      <c r="B50" s="6"/>
    </row>
    <row r="51" spans="2:2">
      <c r="B51" s="7"/>
    </row>
    <row r="52" spans="2:2">
      <c r="B52" s="7"/>
    </row>
    <row r="53" spans="2:2">
      <c r="B53" s="6"/>
    </row>
    <row r="54" spans="2:2">
      <c r="B54" s="6"/>
    </row>
    <row r="55" spans="2:2">
      <c r="B55" s="6"/>
    </row>
    <row r="56" spans="2:2">
      <c r="B56" s="7"/>
    </row>
    <row r="57" spans="2:2">
      <c r="B57" s="7"/>
    </row>
    <row r="58" spans="2:2">
      <c r="B58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D969-9A1B-4195-B165-DA69130713ED}">
  <dimension ref="A1:S134"/>
  <sheetViews>
    <sheetView workbookViewId="0">
      <selection activeCell="S43" sqref="S43"/>
    </sheetView>
  </sheetViews>
  <sheetFormatPr defaultRowHeight="14.15"/>
  <cols>
    <col min="1" max="2" width="16.2109375" customWidth="1"/>
    <col min="4" max="4" width="15.5" customWidth="1"/>
    <col min="5" max="5" width="12.0703125" customWidth="1"/>
    <col min="12" max="12" width="21.5703125" customWidth="1"/>
    <col min="14" max="14" width="10.78515625" bestFit="1" customWidth="1"/>
  </cols>
  <sheetData>
    <row r="1" spans="1:19">
      <c r="A1" s="13" t="s">
        <v>84</v>
      </c>
      <c r="B1" s="13"/>
      <c r="C1" s="13" t="s">
        <v>85</v>
      </c>
      <c r="D1" s="13" t="s">
        <v>87</v>
      </c>
      <c r="E1" s="13" t="s">
        <v>86</v>
      </c>
      <c r="L1" t="s">
        <v>77</v>
      </c>
      <c r="M1" t="s">
        <v>78</v>
      </c>
      <c r="N1">
        <f>HEX2DEC(M1)</f>
        <v>1103515245</v>
      </c>
      <c r="O1">
        <f t="shared" ref="O1:O6" si="0">LEN(M1)</f>
        <v>8</v>
      </c>
      <c r="P1">
        <f>O1/2</f>
        <v>4</v>
      </c>
      <c r="Q1" t="str">
        <f>DEC2HEX(P1,3)</f>
        <v>004</v>
      </c>
      <c r="R1">
        <f>QUOTIENT(N1,65536)</f>
        <v>16838</v>
      </c>
      <c r="S1">
        <f>MOD(N1,65536)</f>
        <v>20077</v>
      </c>
    </row>
    <row r="2" spans="1:19">
      <c r="A2" s="15">
        <v>8</v>
      </c>
      <c r="B2" s="15" t="str">
        <f t="shared" ref="B2:B9" si="1">_xlfn.LET(_xlpm.y,MID($M$6,1+4*(ROW(C2)-2),4),RIGHT(_xlpm.y,2)&amp;LEFT(_xlpm.y,2))</f>
        <v>DAA2</v>
      </c>
      <c r="C2" s="16" t="str">
        <f t="shared" ref="C2:C9" si="2">DEC2HEX(_xlfn.BITXOR(D2,HEX2DEC(B2)),4)</f>
        <v>0177</v>
      </c>
      <c r="D2" s="16">
        <f t="shared" ref="D2:D9" si="3">_xlfn.BITRSHIFT(E2,16)</f>
        <v>56277</v>
      </c>
      <c r="E2" s="16">
        <f>_xlfn.LET(_xlpm.seedhi,QUOTIENT(N5,65536),_xlpm.seedlo,MOD(N5,65536),_xlpm.constanthi,QUOTIENT($N$1,65536),_xlpm.constantlo,MOD($N$1,65536),MOD(MOD(_xlpm.constantlo*_xlpm.seedlo,65536)+65536*MOD(QUOTIENT(_xlpm.seedlo*_xlpm.constantlo,65536)+_xlpm.constantlo*_xlpm.seedhi+_xlpm.constanthi*_xlpm.seedlo,65536)+24691,2^32))</f>
        <v>3688209216</v>
      </c>
      <c r="F2" t="str">
        <f>DEC2HEX(E2,8)</f>
        <v>DBD59B40</v>
      </c>
      <c r="G2" t="str">
        <f>RIGHT(C2,2)&amp;LEFT(C2,2)</f>
        <v>7701</v>
      </c>
      <c r="L2" t="s">
        <v>79</v>
      </c>
      <c r="M2">
        <v>6073</v>
      </c>
      <c r="N2">
        <f>HEX2DEC(M2)</f>
        <v>24691</v>
      </c>
      <c r="O2">
        <f t="shared" si="0"/>
        <v>4</v>
      </c>
      <c r="P2">
        <f t="shared" ref="P2:P6" si="4">O2/2</f>
        <v>2</v>
      </c>
      <c r="Q2" t="str">
        <f t="shared" ref="Q2:Q6" si="5">DEC2HEX(P2,3)</f>
        <v>002</v>
      </c>
    </row>
    <row r="3" spans="1:19">
      <c r="A3" s="16" t="str">
        <f>DEC2HEX(2+HEX2DEC(A2),3)</f>
        <v>00A</v>
      </c>
      <c r="B3" s="15" t="str">
        <f t="shared" si="1"/>
        <v>00DA</v>
      </c>
      <c r="C3" s="16" t="str">
        <f t="shared" si="2"/>
        <v>021A</v>
      </c>
      <c r="D3" s="16">
        <f t="shared" si="3"/>
        <v>704</v>
      </c>
      <c r="E3" s="16">
        <f>_xlfn.LET(_xlpm.seedhi,QUOTIENT(E2,65536),_xlpm.seedlo,MOD(E2,65536),_xlpm.constanthi,QUOTIENT($N$1,65536),_xlpm.constantlo,MOD($N$1,65536),MOD(MOD(_xlpm.constantlo*_xlpm.seedlo,65536)+65536*MOD(QUOTIENT(_xlpm.seedlo*_xlpm.constantlo,65536)+_xlpm.constantlo*_xlpm.seedhi+_xlpm.constanthi*_xlpm.seedlo,65536)+24691,2^32))</f>
        <v>46201523</v>
      </c>
      <c r="F3" t="str">
        <f t="shared" ref="F3:F66" si="6">DEC2HEX(E3,8)</f>
        <v>02C0FAB3</v>
      </c>
      <c r="G3" t="str">
        <f t="shared" ref="G3:G66" si="7">RIGHT(C3,2)&amp;LEFT(C3,2)</f>
        <v>1A02</v>
      </c>
      <c r="L3" t="s">
        <v>80</v>
      </c>
      <c r="M3" t="str">
        <f>SUBSTITUTE(N3," ","")</f>
        <v>E1613F8C00004402A2DADA00EB808638867813674E7C8721A756C04374BB14CD82259C4ACC29988F45D11194C30BF608F4A3C196F13940BD354FBAE07DBB85EF625FBA4BBCE82D7E6D3927D1B60469980341750C84C775E231A534DF302D0ADBB1E2A6D5BE601724929090406F53B0A216535418448446AA9F184DFDB9BB7DA72C0620E9F2BFE9FB07B31966B244F3062D9E47032A9C1A8224EA4FCE8DEF69B2123663404AE9A93ADE3DCFE0086186A5378C16043D17F17AADAB9C8E5EADE4F2B7F8F21E13AC9B60AB487A346CE5089F07F6C99007A2A097C394687325ECCC45797C8521ADA1BA76D5DBC002D451BA6C1DE66B671778FE208596C40621BE14CD84D9604A</v>
      </c>
      <c r="N3" t="s">
        <v>311</v>
      </c>
      <c r="O3">
        <f t="shared" si="0"/>
        <v>520</v>
      </c>
      <c r="P3">
        <f t="shared" si="4"/>
        <v>260</v>
      </c>
      <c r="Q3" t="str">
        <f t="shared" si="5"/>
        <v>104</v>
      </c>
    </row>
    <row r="4" spans="1:19">
      <c r="A4" s="16" t="str">
        <f t="shared" ref="A4:A37" si="8">DEC2HEX(2+HEX2DEC(A3),3)</f>
        <v>00C</v>
      </c>
      <c r="B4" s="15" t="str">
        <f t="shared" si="1"/>
        <v>80EB</v>
      </c>
      <c r="C4" s="16" t="str">
        <f t="shared" si="2"/>
        <v>D114</v>
      </c>
      <c r="D4" s="16">
        <f t="shared" si="3"/>
        <v>20991</v>
      </c>
      <c r="E4" s="16">
        <f t="shared" ref="E4:E37" si="9">_xlfn.LET(_xlpm.seedhi,QUOTIENT(E3,65536),_xlpm.seedlo,MOD(E3,65536),_xlpm.constanthi,QUOTIENT($N$1,65536),_xlpm.constantlo,MOD($N$1,65536),MOD(MOD(_xlpm.constantlo*_xlpm.seedlo,65536)+65536*MOD(QUOTIENT(_xlpm.seedlo*_xlpm.constantlo,65536)+_xlpm.constantlo*_xlpm.seedhi+_xlpm.constanthi*_xlpm.seedlo,65536)+24691,2^32))</f>
        <v>1375709354</v>
      </c>
      <c r="F4" t="str">
        <f t="shared" si="6"/>
        <v>51FFA8AA</v>
      </c>
      <c r="G4" t="str">
        <f t="shared" si="7"/>
        <v>14D1</v>
      </c>
      <c r="L4" t="s">
        <v>81</v>
      </c>
      <c r="M4" t="str">
        <f>LEFT(M3,8)</f>
        <v>E1613F8C</v>
      </c>
      <c r="O4">
        <f t="shared" si="0"/>
        <v>8</v>
      </c>
      <c r="P4">
        <f t="shared" si="4"/>
        <v>4</v>
      </c>
      <c r="Q4" t="str">
        <f t="shared" si="5"/>
        <v>004</v>
      </c>
    </row>
    <row r="5" spans="1:19">
      <c r="A5" s="16" t="str">
        <f t="shared" si="8"/>
        <v>00E</v>
      </c>
      <c r="B5" s="15" t="str">
        <f t="shared" si="1"/>
        <v>3886</v>
      </c>
      <c r="C5" s="16" t="str">
        <f t="shared" si="2"/>
        <v>543C</v>
      </c>
      <c r="D5" s="16">
        <f t="shared" si="3"/>
        <v>27834</v>
      </c>
      <c r="E5" s="16">
        <f t="shared" si="9"/>
        <v>1824193749</v>
      </c>
      <c r="F5" t="str">
        <f t="shared" si="6"/>
        <v>6CBAFCD5</v>
      </c>
      <c r="G5" t="str">
        <f t="shared" si="7"/>
        <v>3C54</v>
      </c>
      <c r="L5" t="s">
        <v>82</v>
      </c>
      <c r="M5" t="str">
        <f>_xlfn.LET(_xlpm.x,M4,_xlfn.CONCAT(MID(_xlpm.x,7,2),MID(_xlpm.x,5,2),MID(_xlpm.x,3,2),MID(_xlpm.x,1,2)))</f>
        <v>8C3F61E1</v>
      </c>
      <c r="N5">
        <f>HEX2DEC(M5)</f>
        <v>2352964065</v>
      </c>
      <c r="O5">
        <f t="shared" si="0"/>
        <v>8</v>
      </c>
      <c r="P5">
        <f t="shared" si="4"/>
        <v>4</v>
      </c>
      <c r="Q5" t="str">
        <f t="shared" si="5"/>
        <v>004</v>
      </c>
    </row>
    <row r="6" spans="1:19">
      <c r="A6" s="16" t="str">
        <f t="shared" si="8"/>
        <v>010</v>
      </c>
      <c r="B6" s="15" t="str">
        <f t="shared" si="1"/>
        <v>7886</v>
      </c>
      <c r="C6" s="16" t="str">
        <f t="shared" si="2"/>
        <v>9EE2</v>
      </c>
      <c r="D6" s="16">
        <f t="shared" si="3"/>
        <v>58980</v>
      </c>
      <c r="E6" s="16">
        <f t="shared" si="9"/>
        <v>3865373988</v>
      </c>
      <c r="F6" t="str">
        <f t="shared" si="6"/>
        <v>E664ED24</v>
      </c>
      <c r="G6" t="str">
        <f t="shared" si="7"/>
        <v>E29E</v>
      </c>
      <c r="L6" t="s">
        <v>83</v>
      </c>
      <c r="M6" t="str">
        <f>MID(M3,17,O3-16)</f>
        <v>A2DADA00EB808638867813674E7C8721A756C04374BB14CD82259C4ACC29988F45D11194C30BF608F4A3C196F13940BD354FBAE07DBB85EF625FBA4BBCE82D7E6D3927D1B60469980341750C84C775E231A534DF302D0ADBB1E2A6D5BE601724929090406F53B0A216535418448446AA9F184DFDB9BB7DA72C0620E9F2BFE9FB07B31966B244F3062D9E47032A9C1A8224EA4FCE8DEF69B2123663404AE9A93ADE3DCFE0086186A5378C16043D17F17AADAB9C8E5EADE4F2B7F8F21E13AC9B60AB487A346CE5089F07F6C99007A2A097C394687325ECCC45797C8521ADA1BA76D5DBC002D451BA6C1DE66B671778FE208596C40621BE14CD84D9604A</v>
      </c>
      <c r="O6">
        <f t="shared" si="0"/>
        <v>504</v>
      </c>
      <c r="P6">
        <f t="shared" si="4"/>
        <v>252</v>
      </c>
      <c r="Q6" t="str">
        <f t="shared" si="5"/>
        <v>0FC</v>
      </c>
    </row>
    <row r="7" spans="1:19">
      <c r="A7" s="16" t="str">
        <f t="shared" si="8"/>
        <v>012</v>
      </c>
      <c r="B7" s="15" t="str">
        <f t="shared" si="1"/>
        <v>6713</v>
      </c>
      <c r="C7" s="16" t="str">
        <f t="shared" si="2"/>
        <v>0001</v>
      </c>
      <c r="D7" s="16">
        <f t="shared" si="3"/>
        <v>26386</v>
      </c>
      <c r="E7" s="16">
        <f t="shared" si="9"/>
        <v>1729253575</v>
      </c>
      <c r="F7" t="str">
        <f t="shared" si="6"/>
        <v>671250C7</v>
      </c>
      <c r="G7" t="str">
        <f t="shared" si="7"/>
        <v>0100</v>
      </c>
    </row>
    <row r="8" spans="1:19">
      <c r="A8" s="16" t="str">
        <f t="shared" si="8"/>
        <v>014</v>
      </c>
      <c r="B8" s="15" t="str">
        <f t="shared" si="1"/>
        <v>7C4E</v>
      </c>
      <c r="C8" s="16" t="str">
        <f t="shared" si="2"/>
        <v>041D</v>
      </c>
      <c r="D8" s="16">
        <f t="shared" si="3"/>
        <v>30803</v>
      </c>
      <c r="E8" s="16">
        <f t="shared" si="9"/>
        <v>2018731822</v>
      </c>
      <c r="F8" t="str">
        <f t="shared" si="6"/>
        <v>7853672E</v>
      </c>
      <c r="G8" t="str">
        <f t="shared" si="7"/>
        <v>1D04</v>
      </c>
      <c r="N8" t="str">
        <f>_xlfn.CONCAT(G2:G127)</f>
        <v>77011A0214D13C54E29E01001D04000146C064450A05000006FCFC00FFFFFFFFFFFF0010FCFFFFFFF7FFBF21E0BF0100280800000000000000000000000000000000000000000000000000000000000000000000000000000000000000000000000000000000000000000000000000004100720079006500680000000000000000000000000000000000FF5D00000000001607151A040C00397506001A01002031240102000000004F00680072006600EB006100000000000000000000000000000086005500F7026E000A0F0A14000000002100D8010000000000001FFCFFBF0E07F28A840389F3ACD48860EBF8A500DBDF9EFEBF988572C6F37A44</v>
      </c>
    </row>
    <row r="9" spans="1:19">
      <c r="A9" s="16" t="str">
        <f t="shared" si="8"/>
        <v>016</v>
      </c>
      <c r="B9" s="15" t="str">
        <f t="shared" si="1"/>
        <v>2187</v>
      </c>
      <c r="C9" s="16" t="str">
        <f t="shared" si="2"/>
        <v>0100</v>
      </c>
      <c r="D9" s="16">
        <f t="shared" si="3"/>
        <v>8327</v>
      </c>
      <c r="E9" s="16">
        <f t="shared" si="9"/>
        <v>545739529</v>
      </c>
      <c r="F9" t="str">
        <f t="shared" si="6"/>
        <v>20875309</v>
      </c>
      <c r="G9" t="str">
        <f t="shared" si="7"/>
        <v>0001</v>
      </c>
    </row>
    <row r="10" spans="1:19">
      <c r="A10" s="16" t="str">
        <f t="shared" si="8"/>
        <v>018</v>
      </c>
      <c r="B10" s="15" t="str">
        <f t="shared" ref="B10:B76" si="10">_xlfn.LET(_xlpm.y,MID($M$6,1+4*(ROW(C10)-2),4),RIGHT(_xlpm.y,2)&amp;LEFT(_xlpm.y,2))</f>
        <v>56A7</v>
      </c>
      <c r="C10" s="16" t="str">
        <f t="shared" ref="C10:C76" si="11">DEC2HEX(_xlfn.BITXOR(D10,HEX2DEC(B10)),4)</f>
        <v>C046</v>
      </c>
      <c r="D10" s="16">
        <f t="shared" ref="D10:D76" si="12">_xlfn.BITRSHIFT(E10,16)</f>
        <v>38625</v>
      </c>
      <c r="E10" s="16">
        <f t="shared" si="9"/>
        <v>2531359048</v>
      </c>
      <c r="F10" t="str">
        <f t="shared" si="6"/>
        <v>96E17948</v>
      </c>
      <c r="G10" t="str">
        <f t="shared" si="7"/>
        <v>46C0</v>
      </c>
      <c r="M10" t="s">
        <v>88</v>
      </c>
    </row>
    <row r="11" spans="1:19">
      <c r="A11" s="16" t="str">
        <f t="shared" si="8"/>
        <v>01A</v>
      </c>
      <c r="B11" s="15" t="str">
        <f t="shared" si="10"/>
        <v>43C0</v>
      </c>
      <c r="C11" s="16" t="str">
        <f t="shared" si="11"/>
        <v>4564</v>
      </c>
      <c r="D11" s="16">
        <f t="shared" si="12"/>
        <v>1700</v>
      </c>
      <c r="E11" s="16">
        <f t="shared" si="9"/>
        <v>111473691</v>
      </c>
      <c r="F11" t="str">
        <f t="shared" si="6"/>
        <v>06A4F41B</v>
      </c>
      <c r="G11" t="str">
        <f t="shared" si="7"/>
        <v>6445</v>
      </c>
    </row>
    <row r="12" spans="1:19">
      <c r="A12" s="16" t="str">
        <f t="shared" si="8"/>
        <v>01C</v>
      </c>
      <c r="B12" s="15" t="str">
        <f t="shared" si="10"/>
        <v>BB74</v>
      </c>
      <c r="C12" s="16" t="str">
        <f t="shared" si="11"/>
        <v>050A</v>
      </c>
      <c r="D12" s="16">
        <f t="shared" si="12"/>
        <v>48766</v>
      </c>
      <c r="E12" s="16">
        <f t="shared" si="9"/>
        <v>3195963890</v>
      </c>
      <c r="F12" t="str">
        <f t="shared" si="6"/>
        <v>BE7E89F2</v>
      </c>
      <c r="G12" t="str">
        <f t="shared" si="7"/>
        <v>0A05</v>
      </c>
      <c r="L12" t="s">
        <v>89</v>
      </c>
      <c r="N12">
        <f>_xlfn.BITAND(_xlfn.BITRSHIFT(N5,13),31)</f>
        <v>27</v>
      </c>
      <c r="O12" t="str">
        <f>_xlfn.XLOOKUP(N12,P12:P43,Q12:Q43)</f>
        <v>0312</v>
      </c>
      <c r="P12">
        <v>0</v>
      </c>
      <c r="Q12" s="31" t="s">
        <v>209</v>
      </c>
      <c r="R12" t="str">
        <f>DEC2HEX(VALUE(FIND("0",Q12))-1,2)</f>
        <v>00</v>
      </c>
    </row>
    <row r="13" spans="1:19">
      <c r="A13" s="16" t="str">
        <f t="shared" si="8"/>
        <v>01E</v>
      </c>
      <c r="B13" s="15" t="str">
        <f t="shared" si="10"/>
        <v>CD14</v>
      </c>
      <c r="C13" s="16" t="str">
        <f t="shared" si="11"/>
        <v>0000</v>
      </c>
      <c r="D13" s="16">
        <f t="shared" si="12"/>
        <v>52500</v>
      </c>
      <c r="E13" s="16">
        <f t="shared" si="9"/>
        <v>3440695421</v>
      </c>
      <c r="F13" t="str">
        <f t="shared" si="6"/>
        <v>CD14D87D</v>
      </c>
      <c r="G13" t="str">
        <f t="shared" si="7"/>
        <v>0000</v>
      </c>
      <c r="P13">
        <v>1</v>
      </c>
      <c r="Q13" s="31" t="s">
        <v>210</v>
      </c>
      <c r="R13" t="str">
        <f t="shared" ref="R13:R43" si="13">DEC2HEX(VALUE(FIND("0",Q13))-1,2)</f>
        <v>00</v>
      </c>
    </row>
    <row r="14" spans="1:19">
      <c r="A14" s="16" t="str">
        <f t="shared" si="8"/>
        <v>020</v>
      </c>
      <c r="B14" s="15" t="str">
        <f t="shared" si="10"/>
        <v>2582</v>
      </c>
      <c r="C14" s="16" t="str">
        <f t="shared" si="11"/>
        <v>FC06</v>
      </c>
      <c r="D14" s="16">
        <f t="shared" si="12"/>
        <v>55684</v>
      </c>
      <c r="E14" s="16">
        <f t="shared" si="9"/>
        <v>3649348524</v>
      </c>
      <c r="F14" t="str">
        <f t="shared" si="6"/>
        <v>D984A3AC</v>
      </c>
      <c r="G14" t="str">
        <f t="shared" si="7"/>
        <v>06FC</v>
      </c>
      <c r="P14">
        <f>P13+1</f>
        <v>2</v>
      </c>
      <c r="Q14" s="31" t="s">
        <v>211</v>
      </c>
      <c r="R14" t="str">
        <f t="shared" si="13"/>
        <v>00</v>
      </c>
    </row>
    <row r="15" spans="1:19">
      <c r="A15" s="16" t="str">
        <f t="shared" si="8"/>
        <v>022</v>
      </c>
      <c r="B15" s="15" t="str">
        <f t="shared" si="10"/>
        <v>4A9C</v>
      </c>
      <c r="C15" s="16" t="str">
        <f t="shared" si="11"/>
        <v>00FC</v>
      </c>
      <c r="D15" s="16">
        <f t="shared" si="12"/>
        <v>19040</v>
      </c>
      <c r="E15" s="16">
        <f t="shared" si="9"/>
        <v>1247836335</v>
      </c>
      <c r="F15" t="str">
        <f t="shared" si="6"/>
        <v>4A6078AF</v>
      </c>
      <c r="G15" t="str">
        <f t="shared" si="7"/>
        <v>FC00</v>
      </c>
      <c r="P15">
        <f t="shared" ref="P15:P43" si="14">P14+1</f>
        <v>3</v>
      </c>
      <c r="Q15" s="31" t="s">
        <v>212</v>
      </c>
      <c r="R15" t="str">
        <f t="shared" si="13"/>
        <v>00</v>
      </c>
    </row>
    <row r="16" spans="1:19">
      <c r="A16" s="16" t="str">
        <f t="shared" si="8"/>
        <v>024</v>
      </c>
      <c r="B16" s="15" t="str">
        <f t="shared" si="10"/>
        <v>29CC</v>
      </c>
      <c r="C16" s="16" t="str">
        <f t="shared" si="11"/>
        <v>FFFF</v>
      </c>
      <c r="D16" s="16">
        <f t="shared" si="12"/>
        <v>54835</v>
      </c>
      <c r="E16" s="16">
        <f t="shared" si="9"/>
        <v>3593671926</v>
      </c>
      <c r="F16" t="str">
        <f t="shared" si="6"/>
        <v>D63314F6</v>
      </c>
      <c r="G16" t="str">
        <f t="shared" si="7"/>
        <v>FFFF</v>
      </c>
      <c r="P16">
        <f t="shared" si="14"/>
        <v>4</v>
      </c>
      <c r="Q16" s="31" t="s">
        <v>213</v>
      </c>
      <c r="R16" t="str">
        <f t="shared" si="13"/>
        <v>00</v>
      </c>
    </row>
    <row r="17" spans="1:18">
      <c r="A17" s="16" t="str">
        <f t="shared" si="8"/>
        <v>026</v>
      </c>
      <c r="B17" s="15" t="str">
        <f t="shared" si="10"/>
        <v>8F98</v>
      </c>
      <c r="C17" s="16" t="str">
        <f t="shared" si="11"/>
        <v>FFFF</v>
      </c>
      <c r="D17" s="16">
        <f t="shared" si="12"/>
        <v>28775</v>
      </c>
      <c r="E17" s="16">
        <f t="shared" si="9"/>
        <v>1885815089</v>
      </c>
      <c r="F17" t="str">
        <f t="shared" si="6"/>
        <v>70674131</v>
      </c>
      <c r="G17" t="str">
        <f t="shared" si="7"/>
        <v>FFFF</v>
      </c>
      <c r="P17">
        <f t="shared" si="14"/>
        <v>5</v>
      </c>
      <c r="Q17" s="31" t="s">
        <v>214</v>
      </c>
      <c r="R17" t="str">
        <f t="shared" si="13"/>
        <v>00</v>
      </c>
    </row>
    <row r="18" spans="1:18">
      <c r="A18" s="16" t="str">
        <f t="shared" si="8"/>
        <v>028</v>
      </c>
      <c r="B18" s="15" t="str">
        <f t="shared" si="10"/>
        <v>D145</v>
      </c>
      <c r="C18" s="16" t="str">
        <f t="shared" si="11"/>
        <v>FFFF</v>
      </c>
      <c r="D18" s="16">
        <f t="shared" si="12"/>
        <v>11962</v>
      </c>
      <c r="E18" s="16">
        <f t="shared" si="9"/>
        <v>783945808</v>
      </c>
      <c r="F18" t="str">
        <f t="shared" si="6"/>
        <v>2EBA1050</v>
      </c>
      <c r="G18" t="str">
        <f t="shared" si="7"/>
        <v>FFFF</v>
      </c>
      <c r="P18">
        <f t="shared" si="14"/>
        <v>6</v>
      </c>
      <c r="Q18" s="32">
        <v>1023</v>
      </c>
      <c r="R18" t="str">
        <f t="shared" si="13"/>
        <v>01</v>
      </c>
    </row>
    <row r="19" spans="1:18">
      <c r="A19" s="16" t="str">
        <f t="shared" si="8"/>
        <v>02A</v>
      </c>
      <c r="B19" s="15" t="str">
        <f t="shared" si="10"/>
        <v>9411</v>
      </c>
      <c r="C19" s="16" t="str">
        <f t="shared" si="11"/>
        <v>1000</v>
      </c>
      <c r="D19" s="16">
        <f t="shared" si="12"/>
        <v>33809</v>
      </c>
      <c r="E19" s="16">
        <f t="shared" si="9"/>
        <v>2215752323</v>
      </c>
      <c r="F19" t="str">
        <f t="shared" si="6"/>
        <v>8411B283</v>
      </c>
      <c r="G19" t="str">
        <f t="shared" si="7"/>
        <v>0010</v>
      </c>
      <c r="P19">
        <f t="shared" si="14"/>
        <v>7</v>
      </c>
      <c r="Q19" s="32">
        <v>1032</v>
      </c>
      <c r="R19" t="str">
        <f t="shared" si="13"/>
        <v>01</v>
      </c>
    </row>
    <row r="20" spans="1:18">
      <c r="A20" s="16" t="str">
        <f t="shared" si="8"/>
        <v>02C</v>
      </c>
      <c r="B20" s="15" t="str">
        <f t="shared" si="10"/>
        <v>0BC3</v>
      </c>
      <c r="C20" s="16" t="str">
        <f t="shared" si="11"/>
        <v>FFFC</v>
      </c>
      <c r="D20" s="16">
        <f t="shared" si="12"/>
        <v>62527</v>
      </c>
      <c r="E20" s="16">
        <f t="shared" si="9"/>
        <v>4097788986</v>
      </c>
      <c r="F20" t="str">
        <f t="shared" si="6"/>
        <v>F43F4C3A</v>
      </c>
      <c r="G20" t="str">
        <f t="shared" si="7"/>
        <v>FCFF</v>
      </c>
      <c r="P20">
        <f t="shared" si="14"/>
        <v>8</v>
      </c>
      <c r="Q20" s="32">
        <v>2013</v>
      </c>
      <c r="R20" t="str">
        <f t="shared" si="13"/>
        <v>01</v>
      </c>
    </row>
    <row r="21" spans="1:18">
      <c r="A21" s="16" t="str">
        <f t="shared" si="8"/>
        <v>02E</v>
      </c>
      <c r="B21" s="15" t="str">
        <f t="shared" si="10"/>
        <v>08F6</v>
      </c>
      <c r="C21" s="16" t="str">
        <f t="shared" si="11"/>
        <v>FFFF</v>
      </c>
      <c r="D21" s="16">
        <f t="shared" si="12"/>
        <v>63241</v>
      </c>
      <c r="E21" s="16">
        <f t="shared" si="9"/>
        <v>4144595237</v>
      </c>
      <c r="F21" t="str">
        <f t="shared" si="6"/>
        <v>F7098125</v>
      </c>
      <c r="G21" t="str">
        <f t="shared" si="7"/>
        <v>FFFF</v>
      </c>
      <c r="P21">
        <f t="shared" si="14"/>
        <v>9</v>
      </c>
      <c r="Q21" s="32">
        <v>3012</v>
      </c>
      <c r="R21" t="str">
        <f t="shared" si="13"/>
        <v>01</v>
      </c>
    </row>
    <row r="22" spans="1:18">
      <c r="A22" s="16" t="str">
        <f t="shared" si="8"/>
        <v>030</v>
      </c>
      <c r="B22" s="15" t="str">
        <f t="shared" si="10"/>
        <v>A3F4</v>
      </c>
      <c r="C22" s="16" t="str">
        <f t="shared" si="11"/>
        <v>FFF7</v>
      </c>
      <c r="D22" s="16">
        <f t="shared" si="12"/>
        <v>23555</v>
      </c>
      <c r="E22" s="16">
        <f t="shared" si="9"/>
        <v>1543742260</v>
      </c>
      <c r="F22" t="str">
        <f t="shared" si="6"/>
        <v>5C03A334</v>
      </c>
      <c r="G22" t="str">
        <f t="shared" si="7"/>
        <v>F7FF</v>
      </c>
      <c r="P22">
        <f t="shared" si="14"/>
        <v>10</v>
      </c>
      <c r="Q22" s="32">
        <v>2031</v>
      </c>
      <c r="R22" t="str">
        <f t="shared" si="13"/>
        <v>01</v>
      </c>
    </row>
    <row r="23" spans="1:18">
      <c r="A23" s="16" t="str">
        <f t="shared" si="8"/>
        <v>032</v>
      </c>
      <c r="B23" s="15" t="str">
        <f t="shared" si="10"/>
        <v>96C1</v>
      </c>
      <c r="C23" s="16" t="str">
        <f t="shared" si="11"/>
        <v>21BF</v>
      </c>
      <c r="D23" s="16">
        <f t="shared" si="12"/>
        <v>46974</v>
      </c>
      <c r="E23" s="16">
        <f t="shared" si="9"/>
        <v>3078534551</v>
      </c>
      <c r="F23" t="str">
        <f t="shared" si="6"/>
        <v>B77EB597</v>
      </c>
      <c r="G23" t="str">
        <f t="shared" si="7"/>
        <v>BF21</v>
      </c>
      <c r="P23">
        <f t="shared" si="14"/>
        <v>11</v>
      </c>
      <c r="Q23" s="32">
        <v>3021</v>
      </c>
      <c r="R23" t="str">
        <f t="shared" si="13"/>
        <v>01</v>
      </c>
    </row>
    <row r="24" spans="1:18">
      <c r="A24" s="16" t="str">
        <f t="shared" si="8"/>
        <v>034</v>
      </c>
      <c r="B24" s="15" t="str">
        <f t="shared" si="10"/>
        <v>39F1</v>
      </c>
      <c r="C24" s="16" t="str">
        <f t="shared" si="11"/>
        <v>BFE0</v>
      </c>
      <c r="D24" s="16">
        <f t="shared" si="12"/>
        <v>34321</v>
      </c>
      <c r="E24" s="16">
        <f t="shared" si="9"/>
        <v>2249307070</v>
      </c>
      <c r="F24" t="str">
        <f t="shared" si="6"/>
        <v>8611B3BE</v>
      </c>
      <c r="G24" t="str">
        <f t="shared" si="7"/>
        <v>E0BF</v>
      </c>
      <c r="P24">
        <f t="shared" si="14"/>
        <v>12</v>
      </c>
      <c r="Q24" s="32">
        <v>1203</v>
      </c>
      <c r="R24" t="str">
        <f t="shared" si="13"/>
        <v>02</v>
      </c>
    </row>
    <row r="25" spans="1:18">
      <c r="A25" s="16" t="str">
        <f t="shared" si="8"/>
        <v>036</v>
      </c>
      <c r="B25" s="15" t="str">
        <f t="shared" si="10"/>
        <v>BD40</v>
      </c>
      <c r="C25" s="16" t="str">
        <f t="shared" si="11"/>
        <v>0001</v>
      </c>
      <c r="D25" s="16">
        <f t="shared" si="12"/>
        <v>48449</v>
      </c>
      <c r="E25" s="16">
        <f t="shared" si="9"/>
        <v>3175205977</v>
      </c>
      <c r="F25" t="str">
        <f t="shared" si="6"/>
        <v>BD41CC59</v>
      </c>
      <c r="G25" t="str">
        <f t="shared" si="7"/>
        <v>0100</v>
      </c>
      <c r="P25">
        <f t="shared" si="14"/>
        <v>13</v>
      </c>
      <c r="Q25" s="32">
        <v>1302</v>
      </c>
      <c r="R25" t="str">
        <f t="shared" si="13"/>
        <v>02</v>
      </c>
    </row>
    <row r="26" spans="1:18">
      <c r="A26" s="16" t="str">
        <f t="shared" si="8"/>
        <v>038</v>
      </c>
      <c r="B26" s="15" t="str">
        <f t="shared" si="10"/>
        <v>4F35</v>
      </c>
      <c r="C26" s="16" t="str">
        <f t="shared" si="11"/>
        <v>0828</v>
      </c>
      <c r="D26" s="16">
        <f t="shared" si="12"/>
        <v>18205</v>
      </c>
      <c r="E26" s="16">
        <f t="shared" si="9"/>
        <v>1193115736</v>
      </c>
      <c r="F26" t="str">
        <f t="shared" si="6"/>
        <v>471D8058</v>
      </c>
      <c r="G26" t="str">
        <f t="shared" si="7"/>
        <v>2808</v>
      </c>
      <c r="P26">
        <f t="shared" si="14"/>
        <v>14</v>
      </c>
      <c r="Q26" s="32">
        <v>2103</v>
      </c>
      <c r="R26" t="str">
        <f t="shared" si="13"/>
        <v>02</v>
      </c>
    </row>
    <row r="27" spans="1:18">
      <c r="A27" s="16" t="str">
        <f t="shared" si="8"/>
        <v>03A</v>
      </c>
      <c r="B27" s="15" t="str">
        <f t="shared" si="10"/>
        <v>E0BA</v>
      </c>
      <c r="C27" s="16" t="str">
        <f t="shared" si="11"/>
        <v>0000</v>
      </c>
      <c r="D27" s="16">
        <f t="shared" si="12"/>
        <v>57530</v>
      </c>
      <c r="E27" s="16">
        <f t="shared" si="9"/>
        <v>3770340843</v>
      </c>
      <c r="F27" t="str">
        <f t="shared" si="6"/>
        <v>E0BAD5EB</v>
      </c>
      <c r="G27" t="str">
        <f t="shared" si="7"/>
        <v>0000</v>
      </c>
      <c r="P27">
        <f t="shared" si="14"/>
        <v>15</v>
      </c>
      <c r="Q27" s="32">
        <v>3102</v>
      </c>
      <c r="R27" t="str">
        <f t="shared" si="13"/>
        <v>02</v>
      </c>
    </row>
    <row r="28" spans="1:18">
      <c r="A28" s="16" t="str">
        <f t="shared" si="8"/>
        <v>03C</v>
      </c>
      <c r="B28" s="15" t="str">
        <f t="shared" si="10"/>
        <v>BB7D</v>
      </c>
      <c r="C28" s="16" t="str">
        <f t="shared" si="11"/>
        <v>0000</v>
      </c>
      <c r="D28" s="16">
        <f t="shared" si="12"/>
        <v>47997</v>
      </c>
      <c r="E28" s="16">
        <f t="shared" si="9"/>
        <v>3145535362</v>
      </c>
      <c r="F28" t="str">
        <f t="shared" si="6"/>
        <v>BB7D0F82</v>
      </c>
      <c r="G28" t="str">
        <f t="shared" si="7"/>
        <v>0000</v>
      </c>
      <c r="P28">
        <f t="shared" si="14"/>
        <v>16</v>
      </c>
      <c r="Q28" s="32">
        <v>2301</v>
      </c>
      <c r="R28" t="str">
        <f t="shared" si="13"/>
        <v>02</v>
      </c>
    </row>
    <row r="29" spans="1:18">
      <c r="A29" s="16" t="str">
        <f t="shared" si="8"/>
        <v>03E</v>
      </c>
      <c r="B29" s="15" t="str">
        <f t="shared" si="10"/>
        <v>EF85</v>
      </c>
      <c r="C29" s="16" t="str">
        <f t="shared" si="11"/>
        <v>0000</v>
      </c>
      <c r="D29" s="16">
        <f t="shared" si="12"/>
        <v>61317</v>
      </c>
      <c r="E29" s="16">
        <f t="shared" si="9"/>
        <v>4018509517</v>
      </c>
      <c r="F29" t="str">
        <f t="shared" si="6"/>
        <v>EF8596CD</v>
      </c>
      <c r="G29" t="str">
        <f t="shared" si="7"/>
        <v>0000</v>
      </c>
      <c r="P29">
        <f t="shared" si="14"/>
        <v>17</v>
      </c>
      <c r="Q29" s="32">
        <v>3201</v>
      </c>
      <c r="R29" t="str">
        <f t="shared" si="13"/>
        <v>02</v>
      </c>
    </row>
    <row r="30" spans="1:18">
      <c r="A30" s="17" t="str">
        <f t="shared" si="8"/>
        <v>040</v>
      </c>
      <c r="B30" s="18" t="str">
        <f t="shared" si="10"/>
        <v>5F62</v>
      </c>
      <c r="C30" s="17" t="str">
        <f t="shared" si="11"/>
        <v>0000</v>
      </c>
      <c r="D30" s="17">
        <f t="shared" si="12"/>
        <v>24418</v>
      </c>
      <c r="E30" s="17">
        <f t="shared" si="9"/>
        <v>1600261052</v>
      </c>
      <c r="F30" t="str">
        <f t="shared" si="6"/>
        <v>5F620BBC</v>
      </c>
      <c r="G30" t="str">
        <f t="shared" si="7"/>
        <v>0000</v>
      </c>
      <c r="P30">
        <f t="shared" si="14"/>
        <v>18</v>
      </c>
      <c r="Q30" s="32">
        <v>1230</v>
      </c>
      <c r="R30" t="str">
        <f t="shared" si="13"/>
        <v>03</v>
      </c>
    </row>
    <row r="31" spans="1:18">
      <c r="A31" s="17" t="str">
        <f t="shared" si="8"/>
        <v>042</v>
      </c>
      <c r="B31" s="18" t="str">
        <f t="shared" si="10"/>
        <v>4BBA</v>
      </c>
      <c r="C31" s="17" t="str">
        <f t="shared" si="11"/>
        <v>0000</v>
      </c>
      <c r="D31" s="17">
        <f t="shared" si="12"/>
        <v>19386</v>
      </c>
      <c r="E31" s="17">
        <f t="shared" si="9"/>
        <v>1270523775</v>
      </c>
      <c r="F31" t="str">
        <f t="shared" si="6"/>
        <v>4BBAA77F</v>
      </c>
      <c r="G31" t="str">
        <f t="shared" si="7"/>
        <v>0000</v>
      </c>
      <c r="P31">
        <f t="shared" si="14"/>
        <v>19</v>
      </c>
      <c r="Q31" s="32">
        <v>1320</v>
      </c>
      <c r="R31" t="str">
        <f t="shared" si="13"/>
        <v>03</v>
      </c>
    </row>
    <row r="32" spans="1:18">
      <c r="A32" s="17" t="str">
        <f t="shared" si="8"/>
        <v>044</v>
      </c>
      <c r="B32" s="18" t="str">
        <f t="shared" si="10"/>
        <v>E8BC</v>
      </c>
      <c r="C32" s="17" t="str">
        <f t="shared" si="11"/>
        <v>0000</v>
      </c>
      <c r="D32" s="17">
        <f t="shared" si="12"/>
        <v>59580</v>
      </c>
      <c r="E32" s="17">
        <f t="shared" si="9"/>
        <v>3904660358</v>
      </c>
      <c r="F32" t="str">
        <f t="shared" si="6"/>
        <v>E8BC6386</v>
      </c>
      <c r="G32" t="str">
        <f t="shared" si="7"/>
        <v>0000</v>
      </c>
      <c r="P32">
        <f t="shared" si="14"/>
        <v>20</v>
      </c>
      <c r="Q32" s="32">
        <v>2130</v>
      </c>
      <c r="R32" t="str">
        <f t="shared" si="13"/>
        <v>03</v>
      </c>
    </row>
    <row r="33" spans="1:19">
      <c r="A33" s="17" t="str">
        <f t="shared" si="8"/>
        <v>046</v>
      </c>
      <c r="B33" s="18" t="str">
        <f t="shared" si="10"/>
        <v>7E2D</v>
      </c>
      <c r="C33" s="17" t="str">
        <f t="shared" si="11"/>
        <v>0000</v>
      </c>
      <c r="D33" s="17">
        <f t="shared" si="12"/>
        <v>32301</v>
      </c>
      <c r="E33" s="17">
        <f t="shared" si="9"/>
        <v>2116916353</v>
      </c>
      <c r="F33" t="str">
        <f t="shared" si="6"/>
        <v>7E2D9481</v>
      </c>
      <c r="G33" t="str">
        <f t="shared" si="7"/>
        <v>0000</v>
      </c>
      <c r="P33">
        <f t="shared" si="14"/>
        <v>21</v>
      </c>
      <c r="Q33" s="32">
        <v>3120</v>
      </c>
      <c r="R33" t="str">
        <f t="shared" si="13"/>
        <v>03</v>
      </c>
    </row>
    <row r="34" spans="1:19">
      <c r="A34" s="17" t="str">
        <f t="shared" si="8"/>
        <v>048</v>
      </c>
      <c r="B34" s="18" t="str">
        <f t="shared" si="10"/>
        <v>396D</v>
      </c>
      <c r="C34" s="17" t="str">
        <f t="shared" si="11"/>
        <v>0000</v>
      </c>
      <c r="D34" s="17">
        <f t="shared" si="12"/>
        <v>14701</v>
      </c>
      <c r="E34" s="17">
        <f t="shared" si="9"/>
        <v>963504480</v>
      </c>
      <c r="F34" t="str">
        <f t="shared" si="6"/>
        <v>396DE960</v>
      </c>
      <c r="G34" t="str">
        <f t="shared" si="7"/>
        <v>0000</v>
      </c>
      <c r="P34">
        <f t="shared" si="14"/>
        <v>22</v>
      </c>
      <c r="Q34" s="32">
        <v>2310</v>
      </c>
      <c r="R34" t="str">
        <f t="shared" si="13"/>
        <v>03</v>
      </c>
    </row>
    <row r="35" spans="1:19">
      <c r="A35" s="17" t="str">
        <f t="shared" si="8"/>
        <v>04A</v>
      </c>
      <c r="B35" s="18" t="str">
        <f t="shared" si="10"/>
        <v>D127</v>
      </c>
      <c r="C35" s="17" t="str">
        <f t="shared" si="11"/>
        <v>0000</v>
      </c>
      <c r="D35" s="17">
        <f t="shared" si="12"/>
        <v>53543</v>
      </c>
      <c r="E35" s="17">
        <f t="shared" si="9"/>
        <v>3509059155</v>
      </c>
      <c r="F35" t="str">
        <f t="shared" si="6"/>
        <v>D127FE53</v>
      </c>
      <c r="G35" t="str">
        <f t="shared" si="7"/>
        <v>0000</v>
      </c>
      <c r="P35">
        <f t="shared" si="14"/>
        <v>23</v>
      </c>
      <c r="Q35" s="32">
        <v>3210</v>
      </c>
      <c r="R35" t="str">
        <f t="shared" si="13"/>
        <v>03</v>
      </c>
    </row>
    <row r="36" spans="1:19">
      <c r="A36" s="17" t="str">
        <f t="shared" si="8"/>
        <v>04C</v>
      </c>
      <c r="B36" s="18" t="str">
        <f t="shared" si="10"/>
        <v>04B6</v>
      </c>
      <c r="C36" s="17" t="str">
        <f t="shared" si="11"/>
        <v>0000</v>
      </c>
      <c r="D36" s="17">
        <f t="shared" si="12"/>
        <v>1206</v>
      </c>
      <c r="E36" s="17">
        <f t="shared" si="9"/>
        <v>79098826</v>
      </c>
      <c r="F36" t="str">
        <f t="shared" si="6"/>
        <v>04B6F3CA</v>
      </c>
      <c r="G36" t="str">
        <f t="shared" si="7"/>
        <v>0000</v>
      </c>
      <c r="P36">
        <f t="shared" si="14"/>
        <v>24</v>
      </c>
      <c r="Q36" s="31" t="s">
        <v>209</v>
      </c>
      <c r="R36" t="str">
        <f t="shared" si="13"/>
        <v>00</v>
      </c>
    </row>
    <row r="37" spans="1:19">
      <c r="A37" s="17" t="str">
        <f t="shared" si="8"/>
        <v>04E</v>
      </c>
      <c r="B37" s="18" t="str">
        <f t="shared" si="10"/>
        <v>9869</v>
      </c>
      <c r="C37" s="17" t="str">
        <f t="shared" si="11"/>
        <v>0000</v>
      </c>
      <c r="D37" s="17">
        <f t="shared" si="12"/>
        <v>39017</v>
      </c>
      <c r="E37" s="17">
        <f t="shared" si="9"/>
        <v>2557065589</v>
      </c>
      <c r="F37" t="str">
        <f t="shared" si="6"/>
        <v>9869B975</v>
      </c>
      <c r="G37" t="str">
        <f t="shared" si="7"/>
        <v>0000</v>
      </c>
      <c r="P37">
        <f t="shared" si="14"/>
        <v>25</v>
      </c>
      <c r="Q37" s="31" t="s">
        <v>210</v>
      </c>
      <c r="R37" t="str">
        <f t="shared" si="13"/>
        <v>00</v>
      </c>
    </row>
    <row r="38" spans="1:19">
      <c r="A38" s="17" t="str">
        <f t="shared" ref="A38:A58" si="15">DEC2HEX(2+HEX2DEC(A37),3)</f>
        <v>050</v>
      </c>
      <c r="B38" s="18" t="str">
        <f t="shared" si="10"/>
        <v>4103</v>
      </c>
      <c r="C38" s="17" t="str">
        <f t="shared" si="11"/>
        <v>0000</v>
      </c>
      <c r="D38" s="17">
        <f t="shared" si="12"/>
        <v>16643</v>
      </c>
      <c r="E38" s="17">
        <f t="shared" ref="E38:E46" si="16">_xlfn.LET(_xlpm.seedhi,QUOTIENT(E37,65536),_xlpm.seedlo,MOD(E37,65536),_xlpm.constanthi,QUOTIENT($N$1,65536),_xlpm.constantlo,MOD($N$1,65536),MOD(MOD(_xlpm.constantlo*_xlpm.seedlo,65536)+65536*MOD(QUOTIENT(_xlpm.seedlo*_xlpm.constantlo,65536)+_xlpm.constantlo*_xlpm.seedhi+_xlpm.constanthi*_xlpm.seedlo,65536)+24691,2^32))</f>
        <v>1090780484</v>
      </c>
      <c r="F38" t="str">
        <f t="shared" si="6"/>
        <v>4103FD44</v>
      </c>
      <c r="G38" t="str">
        <f t="shared" si="7"/>
        <v>0000</v>
      </c>
      <c r="P38">
        <f t="shared" si="14"/>
        <v>26</v>
      </c>
      <c r="Q38" s="31" t="s">
        <v>211</v>
      </c>
      <c r="R38" t="str">
        <f t="shared" si="13"/>
        <v>00</v>
      </c>
    </row>
    <row r="39" spans="1:19">
      <c r="A39" s="17" t="str">
        <f t="shared" si="15"/>
        <v>052</v>
      </c>
      <c r="B39" s="18" t="str">
        <f t="shared" si="10"/>
        <v>0C75</v>
      </c>
      <c r="C39" s="17" t="str">
        <f t="shared" si="11"/>
        <v>0000</v>
      </c>
      <c r="D39" s="17">
        <f t="shared" si="12"/>
        <v>3189</v>
      </c>
      <c r="E39" s="17">
        <f t="shared" si="16"/>
        <v>209055335</v>
      </c>
      <c r="F39" t="str">
        <f t="shared" si="6"/>
        <v>0C75EE67</v>
      </c>
      <c r="G39" t="str">
        <f t="shared" si="7"/>
        <v>0000</v>
      </c>
      <c r="P39">
        <f t="shared" si="14"/>
        <v>27</v>
      </c>
      <c r="Q39" s="31" t="s">
        <v>212</v>
      </c>
      <c r="R39" t="str">
        <f t="shared" si="13"/>
        <v>00</v>
      </c>
    </row>
    <row r="40" spans="1:19">
      <c r="A40" s="17" t="str">
        <f t="shared" si="15"/>
        <v>054</v>
      </c>
      <c r="B40" s="18" t="str">
        <f t="shared" si="10"/>
        <v>C784</v>
      </c>
      <c r="C40" s="17" t="str">
        <f t="shared" si="11"/>
        <v>0000</v>
      </c>
      <c r="D40" s="17">
        <f t="shared" si="12"/>
        <v>51076</v>
      </c>
      <c r="E40" s="17">
        <f t="shared" si="16"/>
        <v>3347334222</v>
      </c>
      <c r="F40" t="str">
        <f t="shared" si="6"/>
        <v>C784444E</v>
      </c>
      <c r="G40" t="str">
        <f t="shared" si="7"/>
        <v>0000</v>
      </c>
      <c r="P40">
        <f t="shared" si="14"/>
        <v>28</v>
      </c>
      <c r="Q40" s="31" t="s">
        <v>213</v>
      </c>
      <c r="R40" t="str">
        <f t="shared" si="13"/>
        <v>00</v>
      </c>
    </row>
    <row r="41" spans="1:19">
      <c r="A41" s="17" t="str">
        <f t="shared" si="15"/>
        <v>056</v>
      </c>
      <c r="B41" s="18" t="str">
        <f t="shared" si="10"/>
        <v>E275</v>
      </c>
      <c r="C41" s="17" t="str">
        <f t="shared" si="11"/>
        <v>0000</v>
      </c>
      <c r="D41" s="17">
        <f t="shared" si="12"/>
        <v>57973</v>
      </c>
      <c r="E41" s="17">
        <f t="shared" si="16"/>
        <v>3799333289</v>
      </c>
      <c r="F41" t="str">
        <f t="shared" si="6"/>
        <v>E27539A9</v>
      </c>
      <c r="G41" t="str">
        <f t="shared" si="7"/>
        <v>0000</v>
      </c>
      <c r="P41">
        <f t="shared" si="14"/>
        <v>29</v>
      </c>
      <c r="Q41" s="31" t="s">
        <v>214</v>
      </c>
      <c r="R41" t="str">
        <f t="shared" si="13"/>
        <v>00</v>
      </c>
    </row>
    <row r="42" spans="1:19">
      <c r="A42" s="17" t="str">
        <f t="shared" si="15"/>
        <v>058</v>
      </c>
      <c r="B42" s="18" t="str">
        <f t="shared" si="10"/>
        <v>A531</v>
      </c>
      <c r="C42" s="17" t="str">
        <f t="shared" si="11"/>
        <v>0000</v>
      </c>
      <c r="D42" s="17">
        <f t="shared" si="12"/>
        <v>42289</v>
      </c>
      <c r="E42" s="17">
        <f t="shared" si="16"/>
        <v>2771479400</v>
      </c>
      <c r="F42" t="str">
        <f t="shared" si="6"/>
        <v>A5316B68</v>
      </c>
      <c r="G42" t="str">
        <f t="shared" si="7"/>
        <v>0000</v>
      </c>
      <c r="P42">
        <f t="shared" si="14"/>
        <v>30</v>
      </c>
      <c r="Q42" s="32">
        <v>1023</v>
      </c>
      <c r="R42" t="str">
        <f t="shared" si="13"/>
        <v>01</v>
      </c>
    </row>
    <row r="43" spans="1:19">
      <c r="A43" s="17" t="str">
        <f t="shared" si="15"/>
        <v>05A</v>
      </c>
      <c r="B43" s="18" t="str">
        <f t="shared" si="10"/>
        <v>DF34</v>
      </c>
      <c r="C43" s="17" t="str">
        <f t="shared" si="11"/>
        <v>0000</v>
      </c>
      <c r="D43" s="17">
        <f t="shared" si="12"/>
        <v>57140</v>
      </c>
      <c r="E43" s="17">
        <f t="shared" si="16"/>
        <v>3744779195</v>
      </c>
      <c r="F43" t="str">
        <f t="shared" si="6"/>
        <v>DF34CBBB</v>
      </c>
      <c r="G43" t="str">
        <f t="shared" si="7"/>
        <v>0000</v>
      </c>
      <c r="P43">
        <f t="shared" si="14"/>
        <v>31</v>
      </c>
      <c r="Q43" s="32">
        <v>1032</v>
      </c>
      <c r="R43" t="str">
        <f t="shared" si="13"/>
        <v>01</v>
      </c>
      <c r="S43" t="str">
        <f>_xlfn.CONCAT(R12:R43)</f>
        <v>0000000000000101010101010202020202020303030303030000000000000101</v>
      </c>
    </row>
    <row r="44" spans="1:19">
      <c r="A44" s="17" t="str">
        <f t="shared" si="15"/>
        <v>05C</v>
      </c>
      <c r="B44" s="18" t="str">
        <f t="shared" si="10"/>
        <v>2D30</v>
      </c>
      <c r="C44" s="17" t="str">
        <f t="shared" si="11"/>
        <v>0000</v>
      </c>
      <c r="D44" s="17">
        <f t="shared" si="12"/>
        <v>11568</v>
      </c>
      <c r="E44" s="17">
        <f t="shared" si="16"/>
        <v>758126866</v>
      </c>
      <c r="F44" t="str">
        <f t="shared" si="6"/>
        <v>2D301912</v>
      </c>
      <c r="G44" t="str">
        <f t="shared" si="7"/>
        <v>0000</v>
      </c>
    </row>
    <row r="45" spans="1:19">
      <c r="A45" s="17" t="str">
        <f t="shared" si="15"/>
        <v>05E</v>
      </c>
      <c r="B45" s="18" t="str">
        <f t="shared" si="10"/>
        <v>DB0A</v>
      </c>
      <c r="C45" s="17" t="str">
        <f t="shared" si="11"/>
        <v>0000</v>
      </c>
      <c r="D45" s="17">
        <f t="shared" si="12"/>
        <v>56074</v>
      </c>
      <c r="E45" s="17">
        <f t="shared" si="16"/>
        <v>3674900765</v>
      </c>
      <c r="F45" t="str">
        <f t="shared" si="6"/>
        <v>DB0A891D</v>
      </c>
      <c r="G45" t="str">
        <f t="shared" si="7"/>
        <v>0000</v>
      </c>
    </row>
    <row r="46" spans="1:19">
      <c r="A46" s="17" t="str">
        <f t="shared" si="15"/>
        <v>060</v>
      </c>
      <c r="B46" s="18" t="str">
        <f t="shared" si="10"/>
        <v>E2B1</v>
      </c>
      <c r="C46" s="17" t="str">
        <f t="shared" si="11"/>
        <v>0000</v>
      </c>
      <c r="D46" s="17">
        <f t="shared" si="12"/>
        <v>58033</v>
      </c>
      <c r="E46" s="17">
        <f t="shared" si="16"/>
        <v>3803289548</v>
      </c>
      <c r="F46" t="str">
        <f t="shared" si="6"/>
        <v>E2B197CC</v>
      </c>
      <c r="G46" t="str">
        <f t="shared" si="7"/>
        <v>0000</v>
      </c>
    </row>
    <row r="47" spans="1:19">
      <c r="A47" s="17" t="str">
        <f t="shared" si="15"/>
        <v>062</v>
      </c>
      <c r="B47" s="18" t="str">
        <f t="shared" si="10"/>
        <v>D5A6</v>
      </c>
      <c r="C47" s="17" t="str">
        <f t="shared" si="11"/>
        <v>0000</v>
      </c>
      <c r="D47" s="17">
        <f t="shared" si="12"/>
        <v>54694</v>
      </c>
      <c r="E47" s="17">
        <f t="shared" ref="E47:E58" si="17">_xlfn.LET(_xlpm.seedhi,QUOTIENT(E46,65536),_xlpm.seedlo,MOD(E46,65536),_xlpm.constanthi,QUOTIENT($N$1,65536),_xlpm.constantlo,MOD($N$1,65536),MOD(MOD(_xlpm.constantlo*_xlpm.seedlo,65536)+65536*MOD(QUOTIENT(_xlpm.seedlo*_xlpm.constantlo,65536)+_xlpm.constantlo*_xlpm.seedhi+_xlpm.constanthi*_xlpm.seedlo,65536)+24691,2^32))</f>
        <v>3584436815</v>
      </c>
      <c r="F47" t="str">
        <f t="shared" si="6"/>
        <v>D5A62A4F</v>
      </c>
      <c r="G47" t="str">
        <f t="shared" si="7"/>
        <v>0000</v>
      </c>
    </row>
    <row r="48" spans="1:19">
      <c r="A48" s="17" t="str">
        <f t="shared" si="15"/>
        <v>064</v>
      </c>
      <c r="B48" s="18" t="str">
        <f t="shared" si="10"/>
        <v>60BE</v>
      </c>
      <c r="C48" s="17" t="str">
        <f t="shared" si="11"/>
        <v>0000</v>
      </c>
      <c r="D48" s="17">
        <f t="shared" si="12"/>
        <v>24766</v>
      </c>
      <c r="E48" s="17">
        <f t="shared" si="17"/>
        <v>1623094806</v>
      </c>
      <c r="F48" t="str">
        <f t="shared" si="6"/>
        <v>60BE7616</v>
      </c>
      <c r="G48" t="str">
        <f t="shared" si="7"/>
        <v>0000</v>
      </c>
    </row>
    <row r="49" spans="1:9">
      <c r="A49" s="17" t="str">
        <f t="shared" si="15"/>
        <v>066</v>
      </c>
      <c r="B49" s="18" t="str">
        <f t="shared" si="10"/>
        <v>2417</v>
      </c>
      <c r="C49" s="17" t="str">
        <f t="shared" si="11"/>
        <v>0000</v>
      </c>
      <c r="D49" s="17">
        <f t="shared" si="12"/>
        <v>9239</v>
      </c>
      <c r="E49" s="17">
        <f t="shared" si="17"/>
        <v>605510609</v>
      </c>
      <c r="F49" t="str">
        <f t="shared" si="6"/>
        <v>24175BD1</v>
      </c>
      <c r="G49" t="str">
        <f t="shared" si="7"/>
        <v>0000</v>
      </c>
    </row>
    <row r="50" spans="1:9">
      <c r="A50" s="17" t="str">
        <f t="shared" si="15"/>
        <v>068</v>
      </c>
      <c r="B50" s="18" t="str">
        <f t="shared" si="10"/>
        <v>9092</v>
      </c>
      <c r="C50" s="17" t="str">
        <f t="shared" si="11"/>
        <v>0000</v>
      </c>
      <c r="D50" s="17">
        <f t="shared" si="12"/>
        <v>37010</v>
      </c>
      <c r="E50" s="17">
        <f t="shared" si="17"/>
        <v>2425497200</v>
      </c>
      <c r="F50" t="str">
        <f t="shared" si="6"/>
        <v>90922670</v>
      </c>
      <c r="G50" t="str">
        <f t="shared" si="7"/>
        <v>0000</v>
      </c>
    </row>
    <row r="51" spans="1:9">
      <c r="A51" s="17" t="str">
        <f t="shared" si="15"/>
        <v>06A</v>
      </c>
      <c r="B51" s="18" t="str">
        <f t="shared" si="10"/>
        <v>4090</v>
      </c>
      <c r="C51" s="17" t="str">
        <f t="shared" si="11"/>
        <v>0000</v>
      </c>
      <c r="D51" s="17">
        <f t="shared" si="12"/>
        <v>16528</v>
      </c>
      <c r="E51" s="17">
        <f t="shared" si="17"/>
        <v>1083235875</v>
      </c>
      <c r="F51" t="str">
        <f t="shared" si="6"/>
        <v>4090DE23</v>
      </c>
      <c r="G51" t="str">
        <f t="shared" si="7"/>
        <v>0000</v>
      </c>
    </row>
    <row r="52" spans="1:9">
      <c r="A52" s="17" t="str">
        <f t="shared" si="15"/>
        <v>06C</v>
      </c>
      <c r="B52" s="18" t="str">
        <f t="shared" si="10"/>
        <v>536F</v>
      </c>
      <c r="C52" s="17" t="str">
        <f t="shared" si="11"/>
        <v>0000</v>
      </c>
      <c r="D52" s="17">
        <f t="shared" si="12"/>
        <v>21359</v>
      </c>
      <c r="E52" s="17">
        <f t="shared" si="17"/>
        <v>1399824218</v>
      </c>
      <c r="F52" t="str">
        <f t="shared" si="6"/>
        <v>536F9F5A</v>
      </c>
      <c r="G52" t="str">
        <f t="shared" si="7"/>
        <v>0000</v>
      </c>
    </row>
    <row r="53" spans="1:9">
      <c r="A53" s="17" t="str">
        <f t="shared" si="15"/>
        <v>06E</v>
      </c>
      <c r="B53" s="18" t="str">
        <f t="shared" si="10"/>
        <v>A2B0</v>
      </c>
      <c r="C53" s="17" t="str">
        <f t="shared" si="11"/>
        <v>0000</v>
      </c>
      <c r="D53" s="17">
        <f t="shared" si="12"/>
        <v>41648</v>
      </c>
      <c r="E53" s="17">
        <f t="shared" si="17"/>
        <v>2729485765</v>
      </c>
      <c r="F53" t="str">
        <f t="shared" si="6"/>
        <v>A2B0A5C5</v>
      </c>
      <c r="G53" t="str">
        <f t="shared" si="7"/>
        <v>0000</v>
      </c>
    </row>
    <row r="54" spans="1:9">
      <c r="A54" s="21" t="str">
        <f t="shared" si="15"/>
        <v>070</v>
      </c>
      <c r="B54" s="22" t="str">
        <f t="shared" si="10"/>
        <v>5316</v>
      </c>
      <c r="C54" s="21" t="str">
        <f t="shared" si="11"/>
        <v>0000</v>
      </c>
      <c r="D54" s="21">
        <f t="shared" si="12"/>
        <v>21270</v>
      </c>
      <c r="E54" s="21">
        <f t="shared" si="17"/>
        <v>1394015060</v>
      </c>
      <c r="F54" t="str">
        <f t="shared" si="6"/>
        <v>5316FB54</v>
      </c>
      <c r="G54" s="21" t="str">
        <f t="shared" si="7"/>
        <v>0000</v>
      </c>
      <c r="H54" s="21"/>
      <c r="I54" s="21"/>
    </row>
    <row r="55" spans="1:9">
      <c r="A55" s="17" t="str">
        <f t="shared" si="15"/>
        <v>072</v>
      </c>
      <c r="B55" s="18" t="str">
        <f t="shared" si="10"/>
        <v>1854</v>
      </c>
      <c r="C55" s="17" t="str">
        <f t="shared" si="11"/>
        <v>0000</v>
      </c>
      <c r="D55" s="17">
        <f t="shared" si="12"/>
        <v>6228</v>
      </c>
      <c r="E55" s="17">
        <f t="shared" si="17"/>
        <v>408222519</v>
      </c>
      <c r="F55" t="str">
        <f t="shared" si="6"/>
        <v>1854FB37</v>
      </c>
      <c r="G55" t="str">
        <f t="shared" si="7"/>
        <v>0000</v>
      </c>
    </row>
    <row r="56" spans="1:9">
      <c r="A56" s="17" t="str">
        <f t="shared" si="15"/>
        <v>074</v>
      </c>
      <c r="B56" s="18" t="str">
        <f t="shared" si="10"/>
        <v>8444</v>
      </c>
      <c r="C56" s="17" t="str">
        <f t="shared" si="11"/>
        <v>0000</v>
      </c>
      <c r="D56" s="17">
        <f t="shared" si="12"/>
        <v>33860</v>
      </c>
      <c r="E56" s="17">
        <f t="shared" si="17"/>
        <v>2219055326</v>
      </c>
      <c r="F56" t="str">
        <f t="shared" si="6"/>
        <v>844418DE</v>
      </c>
      <c r="G56" t="str">
        <f t="shared" si="7"/>
        <v>0000</v>
      </c>
    </row>
    <row r="57" spans="1:9">
      <c r="A57" s="17" t="str">
        <f t="shared" si="15"/>
        <v>076</v>
      </c>
      <c r="B57" s="18" t="str">
        <f t="shared" si="10"/>
        <v>AA46</v>
      </c>
      <c r="C57" s="17" t="str">
        <f t="shared" si="11"/>
        <v>0000</v>
      </c>
      <c r="D57" s="17">
        <f t="shared" si="12"/>
        <v>43590</v>
      </c>
      <c r="E57" s="17">
        <f t="shared" si="17"/>
        <v>2856753913</v>
      </c>
      <c r="F57" t="str">
        <f t="shared" si="6"/>
        <v>AA469AF9</v>
      </c>
      <c r="G57" t="str">
        <f t="shared" si="7"/>
        <v>0000</v>
      </c>
    </row>
    <row r="58" spans="1:9">
      <c r="A58" s="19" t="str">
        <f t="shared" si="15"/>
        <v>078</v>
      </c>
      <c r="B58" s="20" t="str">
        <f t="shared" si="10"/>
        <v>189F</v>
      </c>
      <c r="C58" s="19" t="str">
        <f t="shared" si="11"/>
        <v>0041</v>
      </c>
      <c r="D58" s="19">
        <f t="shared" si="12"/>
        <v>6366</v>
      </c>
      <c r="E58" s="19">
        <f t="shared" si="17"/>
        <v>417217144</v>
      </c>
      <c r="F58" t="str">
        <f t="shared" si="6"/>
        <v>18DE3A78</v>
      </c>
      <c r="G58" t="str">
        <f t="shared" si="7"/>
        <v>4100</v>
      </c>
    </row>
    <row r="59" spans="1:9">
      <c r="A59" s="19" t="str">
        <f t="shared" ref="A59:A75" si="18">DEC2HEX(2+HEX2DEC(A58),3)</f>
        <v>07A</v>
      </c>
      <c r="B59" s="20" t="str">
        <f t="shared" si="10"/>
        <v>FD4D</v>
      </c>
      <c r="C59" s="19" t="str">
        <f t="shared" si="11"/>
        <v>0072</v>
      </c>
      <c r="D59" s="19">
        <f t="shared" si="12"/>
        <v>64831</v>
      </c>
      <c r="E59" s="19">
        <f t="shared" ref="E59:E75" si="19">_xlfn.LET(_xlpm.seedhi,QUOTIENT(E58,65536),_xlpm.seedlo,MOD(E58,65536),_xlpm.constanthi,QUOTIENT($N$1,65536),_xlpm.constantlo,MOD($N$1,65536),MOD(MOD(_xlpm.constantlo*_xlpm.seedlo,65536)+65536*MOD(QUOTIENT(_xlpm.seedlo*_xlpm.constantlo,65536)+_xlpm.constantlo*_xlpm.seedhi+_xlpm.constanthi*_xlpm.seedlo,65536)+24691,2^32))</f>
        <v>4248819083</v>
      </c>
      <c r="F59" t="str">
        <f t="shared" si="6"/>
        <v>FD3FD58B</v>
      </c>
      <c r="G59" t="str">
        <f t="shared" si="7"/>
        <v>7200</v>
      </c>
    </row>
    <row r="60" spans="1:9">
      <c r="A60" s="19" t="str">
        <f t="shared" si="18"/>
        <v>07C</v>
      </c>
      <c r="B60" s="20" t="str">
        <f t="shared" si="10"/>
        <v>BBB9</v>
      </c>
      <c r="C60" s="19" t="str">
        <f t="shared" si="11"/>
        <v>0079</v>
      </c>
      <c r="D60" s="19">
        <f t="shared" si="12"/>
        <v>48064</v>
      </c>
      <c r="E60" s="19">
        <f t="shared" si="19"/>
        <v>3149964962</v>
      </c>
      <c r="F60" t="str">
        <f t="shared" si="6"/>
        <v>BBC0A6A2</v>
      </c>
      <c r="G60" t="str">
        <f t="shared" si="7"/>
        <v>7900</v>
      </c>
    </row>
    <row r="61" spans="1:9">
      <c r="A61" s="19" t="str">
        <f t="shared" si="18"/>
        <v>07E</v>
      </c>
      <c r="B61" s="20" t="str">
        <f t="shared" si="10"/>
        <v>A77D</v>
      </c>
      <c r="C61" s="19" t="str">
        <f t="shared" si="11"/>
        <v>0065</v>
      </c>
      <c r="D61" s="19">
        <f t="shared" si="12"/>
        <v>42776</v>
      </c>
      <c r="E61" s="19">
        <f t="shared" si="19"/>
        <v>2803412845</v>
      </c>
      <c r="F61" t="str">
        <f t="shared" si="6"/>
        <v>A718AF6D</v>
      </c>
      <c r="G61" t="str">
        <f t="shared" si="7"/>
        <v>6500</v>
      </c>
    </row>
    <row r="62" spans="1:9">
      <c r="A62" s="19" t="str">
        <f t="shared" si="18"/>
        <v>080</v>
      </c>
      <c r="B62" s="20" t="str">
        <f t="shared" si="10"/>
        <v>062C</v>
      </c>
      <c r="C62" s="19" t="str">
        <f t="shared" si="11"/>
        <v>0068</v>
      </c>
      <c r="D62" s="19">
        <f t="shared" si="12"/>
        <v>1604</v>
      </c>
      <c r="E62" s="19">
        <f t="shared" si="19"/>
        <v>105138140</v>
      </c>
      <c r="F62" t="str">
        <f t="shared" si="6"/>
        <v>064447DC</v>
      </c>
      <c r="G62" t="str">
        <f t="shared" si="7"/>
        <v>6800</v>
      </c>
    </row>
    <row r="63" spans="1:9">
      <c r="A63" s="19" t="str">
        <f t="shared" si="18"/>
        <v>082</v>
      </c>
      <c r="B63" s="20" t="str">
        <f t="shared" si="10"/>
        <v>E920</v>
      </c>
      <c r="C63" s="19" t="str">
        <f t="shared" si="11"/>
        <v>0000</v>
      </c>
      <c r="D63" s="19">
        <f t="shared" si="12"/>
        <v>59680</v>
      </c>
      <c r="E63" s="19">
        <f t="shared" si="19"/>
        <v>3911188767</v>
      </c>
      <c r="F63" t="str">
        <f t="shared" si="6"/>
        <v>E920011F</v>
      </c>
      <c r="G63" t="str">
        <f t="shared" si="7"/>
        <v>0000</v>
      </c>
    </row>
    <row r="64" spans="1:9">
      <c r="A64" s="19" t="str">
        <f t="shared" si="18"/>
        <v>084</v>
      </c>
      <c r="B64" s="20" t="str">
        <f t="shared" si="10"/>
        <v>BFF2</v>
      </c>
      <c r="C64" s="19" t="str">
        <f t="shared" si="11"/>
        <v>0000</v>
      </c>
      <c r="D64" s="19">
        <f t="shared" si="12"/>
        <v>49138</v>
      </c>
      <c r="E64" s="19">
        <f t="shared" si="19"/>
        <v>3220327590</v>
      </c>
      <c r="F64" t="str">
        <f t="shared" si="6"/>
        <v>BFF24CA6</v>
      </c>
      <c r="G64" t="str">
        <f t="shared" si="7"/>
        <v>0000</v>
      </c>
    </row>
    <row r="65" spans="1:7">
      <c r="A65" s="19" t="str">
        <f t="shared" si="18"/>
        <v>086</v>
      </c>
      <c r="B65" s="20" t="str">
        <f t="shared" si="10"/>
        <v>FBE9</v>
      </c>
      <c r="C65" s="19" t="str">
        <f t="shared" si="11"/>
        <v>0000</v>
      </c>
      <c r="D65" s="19">
        <f t="shared" si="12"/>
        <v>64489</v>
      </c>
      <c r="E65" s="19">
        <f t="shared" si="19"/>
        <v>4226389793</v>
      </c>
      <c r="F65" t="str">
        <f t="shared" si="6"/>
        <v>FBE99721</v>
      </c>
      <c r="G65" t="str">
        <f t="shared" si="7"/>
        <v>0000</v>
      </c>
    </row>
    <row r="66" spans="1:7">
      <c r="A66" s="19" t="str">
        <f t="shared" si="18"/>
        <v>088</v>
      </c>
      <c r="B66" s="20" t="str">
        <f t="shared" si="10"/>
        <v>B307</v>
      </c>
      <c r="C66" s="19" t="str">
        <f t="shared" si="11"/>
        <v>0000</v>
      </c>
      <c r="D66" s="19">
        <f t="shared" si="12"/>
        <v>45831</v>
      </c>
      <c r="E66" s="19">
        <f t="shared" si="19"/>
        <v>3003631488</v>
      </c>
      <c r="F66" t="str">
        <f t="shared" si="6"/>
        <v>B307C780</v>
      </c>
      <c r="G66" t="str">
        <f t="shared" si="7"/>
        <v>0000</v>
      </c>
    </row>
    <row r="67" spans="1:7">
      <c r="A67" s="19" t="str">
        <f t="shared" si="18"/>
        <v>08A</v>
      </c>
      <c r="B67" s="20" t="str">
        <f t="shared" si="10"/>
        <v>6619</v>
      </c>
      <c r="C67" s="19" t="str">
        <f t="shared" si="11"/>
        <v>0000</v>
      </c>
      <c r="D67" s="19">
        <f t="shared" si="12"/>
        <v>26137</v>
      </c>
      <c r="E67" s="19">
        <f t="shared" si="19"/>
        <v>1712935411</v>
      </c>
      <c r="F67" t="str">
        <f t="shared" ref="F67:F127" si="20">DEC2HEX(E67,8)</f>
        <v>661951F3</v>
      </c>
      <c r="G67" t="str">
        <f t="shared" ref="G67:G127" si="21">RIGHT(C67,2)&amp;LEFT(C67,2)</f>
        <v>0000</v>
      </c>
    </row>
    <row r="68" spans="1:7">
      <c r="A68" s="19" t="str">
        <f t="shared" si="18"/>
        <v>08C</v>
      </c>
      <c r="B68" s="20" t="str">
        <f t="shared" si="10"/>
        <v>44B2</v>
      </c>
      <c r="C68" s="19" t="str">
        <f t="shared" si="11"/>
        <v>0000</v>
      </c>
      <c r="D68" s="19">
        <f t="shared" si="12"/>
        <v>17586</v>
      </c>
      <c r="E68" s="19">
        <f t="shared" si="19"/>
        <v>1152536298</v>
      </c>
      <c r="F68" t="str">
        <f t="shared" si="20"/>
        <v>44B24EEA</v>
      </c>
      <c r="G68" t="str">
        <f t="shared" si="21"/>
        <v>0000</v>
      </c>
    </row>
    <row r="69" spans="1:7">
      <c r="A69" s="19" t="str">
        <f t="shared" si="18"/>
        <v>08E</v>
      </c>
      <c r="B69" s="20" t="str">
        <f t="shared" si="10"/>
        <v>06F3</v>
      </c>
      <c r="C69" s="19" t="str">
        <f t="shared" si="11"/>
        <v>0000</v>
      </c>
      <c r="D69" s="19">
        <f t="shared" si="12"/>
        <v>1779</v>
      </c>
      <c r="E69" s="19">
        <f t="shared" si="19"/>
        <v>116606485</v>
      </c>
      <c r="F69" t="str">
        <f t="shared" si="20"/>
        <v>06F34615</v>
      </c>
      <c r="G69" t="str">
        <f t="shared" si="21"/>
        <v>0000</v>
      </c>
    </row>
    <row r="70" spans="1:7">
      <c r="A70" s="19" t="str">
        <f t="shared" si="18"/>
        <v>090</v>
      </c>
      <c r="B70" s="20" t="str">
        <f t="shared" si="10"/>
        <v>9E2D</v>
      </c>
      <c r="C70" s="19" t="str">
        <f t="shared" si="11"/>
        <v>0000</v>
      </c>
      <c r="D70" s="19">
        <f t="shared" si="12"/>
        <v>40493</v>
      </c>
      <c r="E70" s="19">
        <f t="shared" si="19"/>
        <v>2653789540</v>
      </c>
      <c r="F70" t="str">
        <f t="shared" si="20"/>
        <v>9E2D9D64</v>
      </c>
      <c r="G70" t="str">
        <f t="shared" si="21"/>
        <v>0000</v>
      </c>
    </row>
    <row r="71" spans="1:7">
      <c r="A71" s="19" t="str">
        <f t="shared" si="18"/>
        <v>092</v>
      </c>
      <c r="B71" s="20" t="str">
        <f t="shared" si="10"/>
        <v>0347</v>
      </c>
      <c r="C71" s="19" t="str">
        <f t="shared" si="11"/>
        <v>5DFF</v>
      </c>
      <c r="D71" s="19">
        <f t="shared" si="12"/>
        <v>24248</v>
      </c>
      <c r="E71" s="19">
        <f t="shared" si="19"/>
        <v>1589173255</v>
      </c>
      <c r="F71" t="str">
        <f t="shared" si="20"/>
        <v>5EB8DC07</v>
      </c>
      <c r="G71" t="str">
        <f t="shared" si="21"/>
        <v>FF5D</v>
      </c>
    </row>
    <row r="72" spans="1:7">
      <c r="A72" s="19" t="str">
        <f t="shared" si="18"/>
        <v>094</v>
      </c>
      <c r="B72" s="20" t="str">
        <f t="shared" si="10"/>
        <v>9C2A</v>
      </c>
      <c r="C72" s="19" t="str">
        <f t="shared" si="11"/>
        <v>0000</v>
      </c>
      <c r="D72" s="19">
        <f t="shared" si="12"/>
        <v>39978</v>
      </c>
      <c r="E72" s="19">
        <f t="shared" si="19"/>
        <v>2620010862</v>
      </c>
      <c r="F72" t="str">
        <f t="shared" si="20"/>
        <v>9C2A316E</v>
      </c>
      <c r="G72" t="str">
        <f t="shared" si="21"/>
        <v>0000</v>
      </c>
    </row>
    <row r="73" spans="1:7">
      <c r="A73" s="19" t="str">
        <f t="shared" si="18"/>
        <v>096</v>
      </c>
      <c r="B73" s="20" t="str">
        <f t="shared" si="10"/>
        <v>821A</v>
      </c>
      <c r="C73" s="19" t="str">
        <f t="shared" si="11"/>
        <v>0000</v>
      </c>
      <c r="D73" s="19">
        <f t="shared" si="12"/>
        <v>33306</v>
      </c>
      <c r="E73" s="19">
        <f t="shared" si="19"/>
        <v>2182803529</v>
      </c>
      <c r="F73" t="str">
        <f t="shared" si="20"/>
        <v>821AF049</v>
      </c>
      <c r="G73" t="str">
        <f t="shared" si="21"/>
        <v>0000</v>
      </c>
    </row>
    <row r="74" spans="1:7">
      <c r="A74" s="19" t="str">
        <f t="shared" si="18"/>
        <v>098</v>
      </c>
      <c r="B74" s="20" t="str">
        <f t="shared" ref="B74" si="22">_xlfn.LET(_xlpm.y,MID($M$6,1+4*(ROW(C74)-2),4),RIGHT(_xlpm.y,2)&amp;LEFT(_xlpm.y,2))</f>
        <v>EA24</v>
      </c>
      <c r="C74" s="19" t="str">
        <f t="shared" ref="C74" si="23">DEC2HEX(_xlfn.BITXOR(D74,HEX2DEC(B74)),4)</f>
        <v>1600</v>
      </c>
      <c r="D74" s="19">
        <f t="shared" ref="D74" si="24">_xlfn.BITRSHIFT(E74,16)</f>
        <v>64548</v>
      </c>
      <c r="E74" s="19">
        <f t="shared" si="19"/>
        <v>4230278536</v>
      </c>
      <c r="F74" t="str">
        <f t="shared" si="20"/>
        <v>FC24ED88</v>
      </c>
      <c r="G74" t="str">
        <f t="shared" si="21"/>
        <v>0016</v>
      </c>
    </row>
    <row r="75" spans="1:7">
      <c r="A75" s="19" t="str">
        <f t="shared" si="18"/>
        <v>09A</v>
      </c>
      <c r="B75" s="20" t="str">
        <f t="shared" si="10"/>
        <v>CE4F</v>
      </c>
      <c r="C75" s="19" t="str">
        <f t="shared" si="11"/>
        <v>1507</v>
      </c>
      <c r="D75" s="19">
        <f t="shared" si="12"/>
        <v>56136</v>
      </c>
      <c r="E75" s="19">
        <f t="shared" si="19"/>
        <v>3678991195</v>
      </c>
      <c r="F75" t="str">
        <f t="shared" si="20"/>
        <v>DB48F35B</v>
      </c>
      <c r="G75" t="str">
        <f t="shared" si="21"/>
        <v>0715</v>
      </c>
    </row>
    <row r="76" spans="1:7">
      <c r="A76" s="19" t="str">
        <f t="shared" ref="A76:A127" si="25">DEC2HEX(2+HEX2DEC(A75),3)</f>
        <v>09C</v>
      </c>
      <c r="B76" s="20" t="str">
        <f t="shared" si="10"/>
        <v>EF8D</v>
      </c>
      <c r="C76" s="19" t="str">
        <f t="shared" si="11"/>
        <v>041A</v>
      </c>
      <c r="D76" s="19">
        <f t="shared" si="12"/>
        <v>60311</v>
      </c>
      <c r="E76" s="19">
        <f t="shared" ref="E76:E127" si="26">_xlfn.LET(_xlpm.seedhi,QUOTIENT(E75,65536),_xlpm.seedlo,MOD(E75,65536),_xlpm.constanthi,QUOTIENT($N$1,65536),_xlpm.constantlo,MOD($N$1,65536),MOD(MOD(_xlpm.constantlo*_xlpm.seedlo,65536)+65536*MOD(QUOTIENT(_xlpm.seedlo*_xlpm.constantlo,65536)+_xlpm.constantlo*_xlpm.seedhi+_xlpm.constanthi*_xlpm.seedlo,65536)+24691,2^32))</f>
        <v>3952588850</v>
      </c>
      <c r="F76" t="str">
        <f t="shared" si="20"/>
        <v>EB97B832</v>
      </c>
      <c r="G76" t="str">
        <f t="shared" si="21"/>
        <v>1A04</v>
      </c>
    </row>
    <row r="77" spans="1:7">
      <c r="A77" s="19" t="str">
        <f t="shared" si="25"/>
        <v>09E</v>
      </c>
      <c r="B77" s="20" t="str">
        <f t="shared" ref="B77:B127" si="27">_xlfn.LET(_xlpm.y,MID($M$6,1+4*(ROW(C77)-2),4),RIGHT(_xlpm.y,2)&amp;LEFT(_xlpm.y,2))</f>
        <v>B269</v>
      </c>
      <c r="C77" s="19" t="str">
        <f t="shared" ref="C77:C127" si="28">DEC2HEX(_xlfn.BITXOR(D77,HEX2DEC(B77)),4)</f>
        <v>000C</v>
      </c>
      <c r="D77" s="19">
        <f t="shared" ref="D77:D127" si="29">_xlfn.BITRSHIFT(E77,16)</f>
        <v>45669</v>
      </c>
      <c r="E77" s="19">
        <f t="shared" si="26"/>
        <v>2992966077</v>
      </c>
      <c r="F77" t="str">
        <f t="shared" si="20"/>
        <v>B26509BD</v>
      </c>
      <c r="G77" t="str">
        <f t="shared" si="21"/>
        <v>0C00</v>
      </c>
    </row>
    <row r="78" spans="1:7">
      <c r="A78" s="19" t="str">
        <f t="shared" si="25"/>
        <v>0A0</v>
      </c>
      <c r="B78" s="20" t="str">
        <f t="shared" si="27"/>
        <v>3612</v>
      </c>
      <c r="C78" s="19" t="str">
        <f t="shared" si="28"/>
        <v>7539</v>
      </c>
      <c r="D78" s="19">
        <f t="shared" si="29"/>
        <v>17195</v>
      </c>
      <c r="E78" s="19">
        <f t="shared" si="26"/>
        <v>1126898668</v>
      </c>
      <c r="F78" t="str">
        <f t="shared" si="20"/>
        <v>432B1BEC</v>
      </c>
      <c r="G78" t="str">
        <f t="shared" si="21"/>
        <v>3975</v>
      </c>
    </row>
    <row r="79" spans="1:7">
      <c r="A79" s="19" t="str">
        <f t="shared" si="25"/>
        <v>0A2</v>
      </c>
      <c r="B79" s="20" t="str">
        <f t="shared" si="27"/>
        <v>4063</v>
      </c>
      <c r="C79" s="19" t="str">
        <f t="shared" si="28"/>
        <v>0006</v>
      </c>
      <c r="D79" s="19">
        <f t="shared" si="29"/>
        <v>16485</v>
      </c>
      <c r="E79" s="19">
        <f t="shared" si="26"/>
        <v>1080372207</v>
      </c>
      <c r="F79" t="str">
        <f t="shared" si="20"/>
        <v>40652BEF</v>
      </c>
      <c r="G79" t="str">
        <f t="shared" si="21"/>
        <v>0600</v>
      </c>
    </row>
    <row r="80" spans="1:7">
      <c r="A80" s="19" t="str">
        <f t="shared" si="25"/>
        <v>0A4</v>
      </c>
      <c r="B80" s="20" t="str">
        <f t="shared" si="27"/>
        <v>E94A</v>
      </c>
      <c r="C80" s="19" t="str">
        <f t="shared" si="28"/>
        <v>011A</v>
      </c>
      <c r="D80" s="19">
        <f t="shared" si="29"/>
        <v>59472</v>
      </c>
      <c r="E80" s="19">
        <f t="shared" si="26"/>
        <v>3897616182</v>
      </c>
      <c r="F80" t="str">
        <f t="shared" si="20"/>
        <v>E850E736</v>
      </c>
      <c r="G80" t="str">
        <f t="shared" si="21"/>
        <v>1A01</v>
      </c>
    </row>
    <row r="81" spans="1:7">
      <c r="A81" s="19" t="str">
        <f t="shared" si="25"/>
        <v>0A6</v>
      </c>
      <c r="B81" s="20" t="str">
        <f t="shared" si="27"/>
        <v>3AA9</v>
      </c>
      <c r="C81" s="19" t="str">
        <f t="shared" si="28"/>
        <v>2000</v>
      </c>
      <c r="D81" s="19">
        <f t="shared" si="29"/>
        <v>6825</v>
      </c>
      <c r="E81" s="19">
        <f t="shared" si="26"/>
        <v>447301233</v>
      </c>
      <c r="F81" t="str">
        <f t="shared" si="20"/>
        <v>1AA94671</v>
      </c>
      <c r="G81" t="str">
        <f t="shared" si="21"/>
        <v>0020</v>
      </c>
    </row>
    <row r="82" spans="1:7">
      <c r="A82" s="19" t="str">
        <f t="shared" si="25"/>
        <v>0A8</v>
      </c>
      <c r="B82" s="20" t="str">
        <f t="shared" si="27"/>
        <v>3DDE</v>
      </c>
      <c r="C82" s="19" t="str">
        <f t="shared" si="28"/>
        <v>2431</v>
      </c>
      <c r="D82" s="19">
        <f t="shared" si="29"/>
        <v>6639</v>
      </c>
      <c r="E82" s="19">
        <f t="shared" si="26"/>
        <v>435145872</v>
      </c>
      <c r="F82" t="str">
        <f t="shared" si="20"/>
        <v>19EFCC90</v>
      </c>
      <c r="G82" t="str">
        <f t="shared" si="21"/>
        <v>3124</v>
      </c>
    </row>
    <row r="83" spans="1:7">
      <c r="A83" s="19" t="str">
        <f t="shared" si="25"/>
        <v>0AA</v>
      </c>
      <c r="B83" s="20" t="str">
        <f t="shared" si="27"/>
        <v>E0CF</v>
      </c>
      <c r="C83" s="19" t="str">
        <f t="shared" si="28"/>
        <v>0201</v>
      </c>
      <c r="D83" s="19">
        <f t="shared" si="29"/>
        <v>58062</v>
      </c>
      <c r="E83" s="19">
        <f t="shared" si="26"/>
        <v>3805174211</v>
      </c>
      <c r="F83" t="str">
        <f t="shared" si="20"/>
        <v>E2CE59C3</v>
      </c>
      <c r="G83" t="str">
        <f t="shared" si="21"/>
        <v>0102</v>
      </c>
    </row>
    <row r="84" spans="1:7">
      <c r="A84" s="19" t="str">
        <f t="shared" si="25"/>
        <v>0AC</v>
      </c>
      <c r="B84" s="20" t="str">
        <f t="shared" si="27"/>
        <v>6108</v>
      </c>
      <c r="C84" s="19" t="str">
        <f t="shared" si="28"/>
        <v>0000</v>
      </c>
      <c r="D84" s="19">
        <f t="shared" si="29"/>
        <v>24840</v>
      </c>
      <c r="E84" s="19">
        <f t="shared" si="26"/>
        <v>1627914874</v>
      </c>
      <c r="F84" t="str">
        <f t="shared" si="20"/>
        <v>6108027A</v>
      </c>
      <c r="G84" t="str">
        <f t="shared" si="21"/>
        <v>0000</v>
      </c>
    </row>
    <row r="85" spans="1:7">
      <c r="A85" s="19" t="str">
        <f t="shared" si="25"/>
        <v>0AE</v>
      </c>
      <c r="B85" s="20" t="str">
        <f t="shared" si="27"/>
        <v>A586</v>
      </c>
      <c r="C85" s="19" t="str">
        <f t="shared" si="28"/>
        <v>0000</v>
      </c>
      <c r="D85" s="19">
        <f t="shared" si="29"/>
        <v>42374</v>
      </c>
      <c r="E85" s="19">
        <f t="shared" si="26"/>
        <v>2777061989</v>
      </c>
      <c r="F85" t="str">
        <f t="shared" si="20"/>
        <v>A5869A65</v>
      </c>
      <c r="G85" t="str">
        <f t="shared" si="21"/>
        <v>0000</v>
      </c>
    </row>
    <row r="86" spans="1:7">
      <c r="A86" s="21" t="str">
        <f t="shared" si="25"/>
        <v>0B0</v>
      </c>
      <c r="B86" s="22" t="str">
        <f t="shared" si="27"/>
        <v>8C37</v>
      </c>
      <c r="C86" s="21" t="str">
        <f t="shared" si="28"/>
        <v>004F</v>
      </c>
      <c r="D86" s="21">
        <f t="shared" si="29"/>
        <v>35960</v>
      </c>
      <c r="E86" s="21">
        <f t="shared" si="26"/>
        <v>2356732788</v>
      </c>
      <c r="F86" t="str">
        <f t="shared" si="20"/>
        <v>8C78E374</v>
      </c>
      <c r="G86" t="str">
        <f t="shared" si="21"/>
        <v>4F00</v>
      </c>
    </row>
    <row r="87" spans="1:7">
      <c r="A87" s="21" t="str">
        <f t="shared" si="25"/>
        <v>0B2</v>
      </c>
      <c r="B87" s="22" t="str">
        <f t="shared" si="27"/>
        <v>0416</v>
      </c>
      <c r="C87" s="21" t="str">
        <f t="shared" si="28"/>
        <v>0068</v>
      </c>
      <c r="D87" s="21">
        <f t="shared" si="29"/>
        <v>1150</v>
      </c>
      <c r="E87" s="21">
        <f t="shared" si="26"/>
        <v>75403479</v>
      </c>
      <c r="F87" t="str">
        <f t="shared" si="20"/>
        <v>047E90D7</v>
      </c>
      <c r="G87" t="str">
        <f t="shared" si="21"/>
        <v>6800</v>
      </c>
    </row>
    <row r="88" spans="1:7">
      <c r="A88" s="21" t="str">
        <f t="shared" si="25"/>
        <v>0B4</v>
      </c>
      <c r="B88" s="22" t="str">
        <f t="shared" si="27"/>
        <v>173D</v>
      </c>
      <c r="C88" s="21" t="str">
        <f t="shared" si="28"/>
        <v>0072</v>
      </c>
      <c r="D88" s="21">
        <f t="shared" si="29"/>
        <v>5967</v>
      </c>
      <c r="E88" s="21">
        <f t="shared" si="26"/>
        <v>391089662</v>
      </c>
      <c r="F88" t="str">
        <f t="shared" si="20"/>
        <v>174F8DFE</v>
      </c>
      <c r="G88" t="str">
        <f t="shared" si="21"/>
        <v>7200</v>
      </c>
    </row>
    <row r="89" spans="1:7">
      <c r="A89" s="21" t="str">
        <f t="shared" si="25"/>
        <v>0B6</v>
      </c>
      <c r="B89" s="22" t="str">
        <f t="shared" si="27"/>
        <v>7AF1</v>
      </c>
      <c r="C89" s="21" t="str">
        <f t="shared" si="28"/>
        <v>0066</v>
      </c>
      <c r="D89" s="21">
        <f t="shared" si="29"/>
        <v>31383</v>
      </c>
      <c r="E89" s="21">
        <f t="shared" si="26"/>
        <v>2056731033</v>
      </c>
      <c r="F89" t="str">
        <f t="shared" si="20"/>
        <v>7A973999</v>
      </c>
      <c r="G89" t="str">
        <f t="shared" si="21"/>
        <v>6600</v>
      </c>
    </row>
    <row r="90" spans="1:7">
      <c r="A90" s="21" t="str">
        <f t="shared" si="25"/>
        <v>0B8</v>
      </c>
      <c r="B90" s="22" t="str">
        <f t="shared" si="27"/>
        <v>ABAD</v>
      </c>
      <c r="C90" s="21" t="str">
        <f t="shared" si="28"/>
        <v>00EB</v>
      </c>
      <c r="D90" s="21">
        <f t="shared" si="29"/>
        <v>43846</v>
      </c>
      <c r="E90" s="21">
        <f t="shared" si="26"/>
        <v>2873525400</v>
      </c>
      <c r="F90" t="str">
        <f t="shared" si="20"/>
        <v>AB468498</v>
      </c>
      <c r="G90" t="str">
        <f t="shared" si="21"/>
        <v>EB00</v>
      </c>
    </row>
    <row r="91" spans="1:7">
      <c r="A91" s="21" t="str">
        <f t="shared" si="25"/>
        <v>0BA</v>
      </c>
      <c r="B91" s="22" t="str">
        <f t="shared" si="27"/>
        <v>8E9C</v>
      </c>
      <c r="C91" s="21" t="str">
        <f t="shared" si="28"/>
        <v>0061</v>
      </c>
      <c r="D91" s="21">
        <f t="shared" si="29"/>
        <v>36605</v>
      </c>
      <c r="E91" s="21">
        <f t="shared" si="26"/>
        <v>2398954795</v>
      </c>
      <c r="F91" t="str">
        <f t="shared" si="20"/>
        <v>8EFD252B</v>
      </c>
      <c r="G91" t="str">
        <f t="shared" si="21"/>
        <v>6100</v>
      </c>
    </row>
    <row r="92" spans="1:7">
      <c r="A92" s="21" t="str">
        <f t="shared" si="25"/>
        <v>0BC</v>
      </c>
      <c r="B92" s="22" t="str">
        <f t="shared" si="27"/>
        <v>AD5E</v>
      </c>
      <c r="C92" s="21" t="str">
        <f t="shared" si="28"/>
        <v>0000</v>
      </c>
      <c r="D92" s="21">
        <f t="shared" si="29"/>
        <v>44382</v>
      </c>
      <c r="E92" s="21">
        <f t="shared" si="26"/>
        <v>2908638658</v>
      </c>
      <c r="F92" t="str">
        <f t="shared" si="20"/>
        <v>AD5E4DC2</v>
      </c>
      <c r="G92" t="str">
        <f t="shared" si="21"/>
        <v>0000</v>
      </c>
    </row>
    <row r="93" spans="1:7">
      <c r="A93" s="21" t="str">
        <f t="shared" si="25"/>
        <v>0BE</v>
      </c>
      <c r="B93" s="22" t="str">
        <f t="shared" si="27"/>
        <v>F2E4</v>
      </c>
      <c r="C93" s="21" t="str">
        <f t="shared" si="28"/>
        <v>0000</v>
      </c>
      <c r="D93" s="21">
        <f t="shared" si="29"/>
        <v>62180</v>
      </c>
      <c r="E93" s="21">
        <f t="shared" si="26"/>
        <v>4075067405</v>
      </c>
      <c r="F93" t="str">
        <f t="shared" si="20"/>
        <v>F2E4980D</v>
      </c>
      <c r="G93" t="str">
        <f t="shared" si="21"/>
        <v>0000</v>
      </c>
    </row>
    <row r="94" spans="1:7">
      <c r="A94" s="21" t="str">
        <f t="shared" si="25"/>
        <v>0C0</v>
      </c>
      <c r="B94" s="22" t="str">
        <f t="shared" si="27"/>
        <v>F8B7</v>
      </c>
      <c r="C94" s="21" t="str">
        <f t="shared" si="28"/>
        <v>0000</v>
      </c>
      <c r="D94" s="21">
        <f t="shared" si="29"/>
        <v>63671</v>
      </c>
      <c r="E94" s="21">
        <f t="shared" si="26"/>
        <v>4172747772</v>
      </c>
      <c r="F94" t="str">
        <f t="shared" si="20"/>
        <v>F8B713FC</v>
      </c>
      <c r="G94" t="str">
        <f t="shared" si="21"/>
        <v>0000</v>
      </c>
    </row>
    <row r="95" spans="1:7">
      <c r="A95" s="21" t="str">
        <f t="shared" si="25"/>
        <v>0C2</v>
      </c>
      <c r="B95" s="22" t="str">
        <f t="shared" si="27"/>
        <v>1EF2</v>
      </c>
      <c r="C95" s="21" t="str">
        <f t="shared" si="28"/>
        <v>0000</v>
      </c>
      <c r="D95" s="21">
        <f t="shared" si="29"/>
        <v>7922</v>
      </c>
      <c r="E95" s="21">
        <f t="shared" si="26"/>
        <v>519219903</v>
      </c>
      <c r="F95" t="str">
        <f t="shared" si="20"/>
        <v>1EF2AABF</v>
      </c>
      <c r="G95" t="str">
        <f t="shared" si="21"/>
        <v>0000</v>
      </c>
    </row>
    <row r="96" spans="1:7">
      <c r="A96" s="21" t="str">
        <f t="shared" si="25"/>
        <v>0C4</v>
      </c>
      <c r="B96" s="22" t="str">
        <f t="shared" si="27"/>
        <v>AC13</v>
      </c>
      <c r="C96" s="21" t="str">
        <f t="shared" si="28"/>
        <v>0000</v>
      </c>
      <c r="D96" s="21">
        <f t="shared" si="29"/>
        <v>44051</v>
      </c>
      <c r="E96" s="21">
        <f t="shared" si="26"/>
        <v>2886944198</v>
      </c>
      <c r="F96" t="str">
        <f t="shared" si="20"/>
        <v>AC1345C6</v>
      </c>
      <c r="G96" t="str">
        <f t="shared" si="21"/>
        <v>0000</v>
      </c>
    </row>
    <row r="97" spans="1:7">
      <c r="A97" s="21" t="str">
        <f t="shared" si="25"/>
        <v>0C6</v>
      </c>
      <c r="B97" s="22" t="str">
        <f t="shared" si="27"/>
        <v>609B</v>
      </c>
      <c r="C97" s="21" t="str">
        <f t="shared" si="28"/>
        <v>0000</v>
      </c>
      <c r="D97" s="21">
        <f t="shared" si="29"/>
        <v>24731</v>
      </c>
      <c r="E97" s="21">
        <f t="shared" si="26"/>
        <v>1620797889</v>
      </c>
      <c r="F97" t="str">
        <f t="shared" si="20"/>
        <v>609B69C1</v>
      </c>
      <c r="G97" t="str">
        <f t="shared" si="21"/>
        <v>0000</v>
      </c>
    </row>
    <row r="98" spans="1:7">
      <c r="A98" s="21" t="str">
        <f t="shared" si="25"/>
        <v>0C8</v>
      </c>
      <c r="B98" s="22" t="str">
        <f t="shared" si="27"/>
        <v>48AB</v>
      </c>
      <c r="C98" s="21" t="str">
        <f t="shared" si="28"/>
        <v>0000</v>
      </c>
      <c r="D98" s="21">
        <f t="shared" si="29"/>
        <v>18603</v>
      </c>
      <c r="E98" s="21">
        <f t="shared" si="26"/>
        <v>1219179936</v>
      </c>
      <c r="F98" t="str">
        <f t="shared" si="20"/>
        <v>48AB35A0</v>
      </c>
      <c r="G98" t="str">
        <f t="shared" si="21"/>
        <v>0000</v>
      </c>
    </row>
    <row r="99" spans="1:7">
      <c r="A99" s="21" t="str">
        <f t="shared" si="25"/>
        <v>0CA</v>
      </c>
      <c r="B99" s="22" t="str">
        <f t="shared" si="27"/>
        <v>347A</v>
      </c>
      <c r="C99" s="21" t="str">
        <f t="shared" si="28"/>
        <v>0086</v>
      </c>
      <c r="D99" s="21">
        <f t="shared" si="29"/>
        <v>13564</v>
      </c>
      <c r="E99" s="21">
        <f t="shared" si="26"/>
        <v>888993171</v>
      </c>
      <c r="F99" t="str">
        <f t="shared" si="20"/>
        <v>34FCF593</v>
      </c>
      <c r="G99" t="str">
        <f t="shared" si="21"/>
        <v>8600</v>
      </c>
    </row>
    <row r="100" spans="1:7">
      <c r="A100" s="21" t="str">
        <f t="shared" si="25"/>
        <v>0CC</v>
      </c>
      <c r="B100" s="22" t="str">
        <f t="shared" si="27"/>
        <v>E56C</v>
      </c>
      <c r="C100" s="21" t="str">
        <f t="shared" si="28"/>
        <v>0055</v>
      </c>
      <c r="D100" s="21">
        <f t="shared" si="29"/>
        <v>58681</v>
      </c>
      <c r="E100" s="21">
        <f t="shared" si="26"/>
        <v>3845765642</v>
      </c>
      <c r="F100" t="str">
        <f t="shared" si="20"/>
        <v>E539BA0A</v>
      </c>
      <c r="G100" t="str">
        <f t="shared" si="21"/>
        <v>5500</v>
      </c>
    </row>
    <row r="101" spans="1:7">
      <c r="A101" s="21" t="str">
        <f t="shared" si="25"/>
        <v>0CE</v>
      </c>
      <c r="B101" s="22" t="str">
        <f t="shared" si="27"/>
        <v>9F08</v>
      </c>
      <c r="C101" s="21" t="str">
        <f t="shared" si="28"/>
        <v>02F7</v>
      </c>
      <c r="D101" s="21">
        <f t="shared" si="29"/>
        <v>40447</v>
      </c>
      <c r="E101" s="21">
        <f t="shared" si="26"/>
        <v>2650776245</v>
      </c>
      <c r="F101" t="str">
        <f t="shared" si="20"/>
        <v>9DFFA2B5</v>
      </c>
      <c r="G101" t="str">
        <f t="shared" si="21"/>
        <v>F702</v>
      </c>
    </row>
    <row r="102" spans="1:7">
      <c r="A102" s="21" t="str">
        <f t="shared" si="25"/>
        <v>0D0</v>
      </c>
      <c r="B102" s="22" t="str">
        <f t="shared" si="27"/>
        <v>F607</v>
      </c>
      <c r="C102" s="21" t="str">
        <f t="shared" si="28"/>
        <v>006E</v>
      </c>
      <c r="D102" s="21">
        <f t="shared" si="29"/>
        <v>63081</v>
      </c>
      <c r="E102" s="21">
        <f t="shared" si="26"/>
        <v>4134129028</v>
      </c>
      <c r="F102" t="str">
        <f t="shared" si="20"/>
        <v>F669CD84</v>
      </c>
      <c r="G102" t="str">
        <f t="shared" si="21"/>
        <v>6E00</v>
      </c>
    </row>
    <row r="103" spans="1:7">
      <c r="A103" s="21" t="str">
        <f t="shared" si="25"/>
        <v>0D2</v>
      </c>
      <c r="B103" s="22" t="str">
        <f t="shared" si="27"/>
        <v>90C9</v>
      </c>
      <c r="C103" s="21" t="str">
        <f t="shared" si="28"/>
        <v>0F0A</v>
      </c>
      <c r="D103" s="21">
        <f t="shared" si="29"/>
        <v>40899</v>
      </c>
      <c r="E103" s="21">
        <f t="shared" si="26"/>
        <v>2680363431</v>
      </c>
      <c r="F103" t="str">
        <f t="shared" si="20"/>
        <v>9FC319A7</v>
      </c>
      <c r="G103" t="str">
        <f t="shared" si="21"/>
        <v>0A0F</v>
      </c>
    </row>
    <row r="104" spans="1:7">
      <c r="A104" s="21" t="str">
        <f t="shared" si="25"/>
        <v>0D4</v>
      </c>
      <c r="B104" s="22" t="str">
        <f t="shared" si="27"/>
        <v>A207</v>
      </c>
      <c r="C104" s="21" t="str">
        <f t="shared" si="28"/>
        <v>140A</v>
      </c>
      <c r="D104" s="21">
        <f t="shared" si="29"/>
        <v>46605</v>
      </c>
      <c r="E104" s="21">
        <f t="shared" si="26"/>
        <v>3054317198</v>
      </c>
      <c r="F104" t="str">
        <f t="shared" si="20"/>
        <v>B60D2E8E</v>
      </c>
      <c r="G104" t="str">
        <f t="shared" si="21"/>
        <v>0A14</v>
      </c>
    </row>
    <row r="105" spans="1:7">
      <c r="A105" s="21" t="str">
        <f t="shared" si="25"/>
        <v>0D6</v>
      </c>
      <c r="B105" s="22" t="str">
        <f t="shared" si="27"/>
        <v>97A0</v>
      </c>
      <c r="C105" s="21" t="str">
        <f t="shared" si="28"/>
        <v>0000</v>
      </c>
      <c r="D105" s="21">
        <f t="shared" si="29"/>
        <v>38816</v>
      </c>
      <c r="E105" s="21">
        <f t="shared" si="26"/>
        <v>2543875817</v>
      </c>
      <c r="F105" t="str">
        <f t="shared" si="20"/>
        <v>97A076E9</v>
      </c>
      <c r="G105" t="str">
        <f t="shared" si="21"/>
        <v>0000</v>
      </c>
    </row>
    <row r="106" spans="1:7">
      <c r="A106" s="21" t="str">
        <f t="shared" si="25"/>
        <v>0D8</v>
      </c>
      <c r="B106" s="22" t="str">
        <f t="shared" si="27"/>
        <v>94C3</v>
      </c>
      <c r="C106" s="21" t="str">
        <f t="shared" si="28"/>
        <v>0000</v>
      </c>
      <c r="D106" s="21">
        <f t="shared" si="29"/>
        <v>38083</v>
      </c>
      <c r="E106" s="21">
        <f t="shared" si="26"/>
        <v>2495872936</v>
      </c>
      <c r="F106" t="str">
        <f t="shared" si="20"/>
        <v>94C3FFA8</v>
      </c>
      <c r="G106" t="str">
        <f t="shared" si="21"/>
        <v>0000</v>
      </c>
    </row>
    <row r="107" spans="1:7">
      <c r="A107" s="21" t="str">
        <f t="shared" si="25"/>
        <v>0DA</v>
      </c>
      <c r="B107" s="22" t="str">
        <f t="shared" si="27"/>
        <v>7368</v>
      </c>
      <c r="C107" s="21" t="str">
        <f t="shared" si="28"/>
        <v>0021</v>
      </c>
      <c r="D107" s="21">
        <f t="shared" si="29"/>
        <v>29513</v>
      </c>
      <c r="E107" s="21">
        <f t="shared" si="26"/>
        <v>1934191355</v>
      </c>
      <c r="F107" t="str">
        <f t="shared" si="20"/>
        <v>73496AFB</v>
      </c>
      <c r="G107" t="str">
        <f t="shared" si="21"/>
        <v>2100</v>
      </c>
    </row>
    <row r="108" spans="1:7">
      <c r="A108" s="21" t="str">
        <f t="shared" si="25"/>
        <v>0DC</v>
      </c>
      <c r="B108" s="22" t="str">
        <f t="shared" si="27"/>
        <v>EC25</v>
      </c>
      <c r="C108" s="21" t="str">
        <f t="shared" si="28"/>
        <v>01D8</v>
      </c>
      <c r="D108" s="21">
        <f t="shared" si="29"/>
        <v>60925</v>
      </c>
      <c r="E108" s="21">
        <f t="shared" si="26"/>
        <v>3992807250</v>
      </c>
      <c r="F108" t="str">
        <f t="shared" si="20"/>
        <v>EDFD6752</v>
      </c>
      <c r="G108" t="str">
        <f t="shared" si="21"/>
        <v>D801</v>
      </c>
    </row>
    <row r="109" spans="1:7">
      <c r="A109" s="21" t="str">
        <f t="shared" si="25"/>
        <v>0DE</v>
      </c>
      <c r="B109" s="22" t="str">
        <f t="shared" si="27"/>
        <v>45CC</v>
      </c>
      <c r="C109" s="21" t="str">
        <f t="shared" si="28"/>
        <v>0000</v>
      </c>
      <c r="D109" s="21">
        <f t="shared" si="29"/>
        <v>17868</v>
      </c>
      <c r="E109" s="21">
        <f t="shared" si="26"/>
        <v>1171020381</v>
      </c>
      <c r="F109" t="str">
        <f t="shared" si="20"/>
        <v>45CC5A5D</v>
      </c>
      <c r="G109" t="str">
        <f t="shared" si="21"/>
        <v>0000</v>
      </c>
    </row>
    <row r="110" spans="1:7">
      <c r="A110" s="21" t="str">
        <f t="shared" si="25"/>
        <v>0E0</v>
      </c>
      <c r="B110" s="22" t="str">
        <f t="shared" si="27"/>
        <v>7C79</v>
      </c>
      <c r="C110" s="21" t="str">
        <f t="shared" si="28"/>
        <v>0000</v>
      </c>
      <c r="D110" s="21">
        <f t="shared" si="29"/>
        <v>31865</v>
      </c>
      <c r="E110" s="21">
        <f t="shared" si="26"/>
        <v>2088316940</v>
      </c>
      <c r="F110" t="str">
        <f t="shared" si="20"/>
        <v>7C79300C</v>
      </c>
      <c r="G110" t="str">
        <f t="shared" si="21"/>
        <v>0000</v>
      </c>
    </row>
    <row r="111" spans="1:7">
      <c r="A111" s="21" t="str">
        <f t="shared" si="25"/>
        <v>0E2</v>
      </c>
      <c r="B111" s="22" t="str">
        <f t="shared" si="27"/>
        <v>2185</v>
      </c>
      <c r="C111" s="21" t="str">
        <f t="shared" si="28"/>
        <v>0000</v>
      </c>
      <c r="D111" s="21">
        <f t="shared" si="29"/>
        <v>8581</v>
      </c>
      <c r="E111" s="21">
        <f t="shared" si="26"/>
        <v>562396559</v>
      </c>
      <c r="F111" t="str">
        <f t="shared" si="20"/>
        <v>21857D8F</v>
      </c>
      <c r="G111" t="str">
        <f t="shared" si="21"/>
        <v>0000</v>
      </c>
    </row>
    <row r="112" spans="1:7">
      <c r="A112" s="21" t="str">
        <f t="shared" si="25"/>
        <v>0E4</v>
      </c>
      <c r="B112" s="22" t="str">
        <f t="shared" si="27"/>
        <v>A1AD</v>
      </c>
      <c r="C112" s="21" t="str">
        <f t="shared" si="28"/>
        <v>FC1F</v>
      </c>
      <c r="D112" s="21">
        <f t="shared" si="29"/>
        <v>23986</v>
      </c>
      <c r="E112" s="21">
        <f t="shared" si="26"/>
        <v>1571973206</v>
      </c>
      <c r="F112" t="str">
        <f t="shared" si="20"/>
        <v>5DB26856</v>
      </c>
      <c r="G112" t="str">
        <f t="shared" si="21"/>
        <v>1FFC</v>
      </c>
    </row>
    <row r="113" spans="1:7">
      <c r="A113" s="21" t="str">
        <f t="shared" si="25"/>
        <v>0E6</v>
      </c>
      <c r="B113" s="22" t="str">
        <f t="shared" si="27"/>
        <v>76BA</v>
      </c>
      <c r="C113" s="21" t="str">
        <f t="shared" si="28"/>
        <v>BFFF</v>
      </c>
      <c r="D113" s="21">
        <f t="shared" si="29"/>
        <v>51525</v>
      </c>
      <c r="E113" s="21">
        <f t="shared" si="26"/>
        <v>3376742673</v>
      </c>
      <c r="F113" t="str">
        <f t="shared" si="20"/>
        <v>C9450111</v>
      </c>
      <c r="G113" t="str">
        <f t="shared" si="21"/>
        <v>FFBF</v>
      </c>
    </row>
    <row r="114" spans="1:7">
      <c r="A114" t="str">
        <f t="shared" si="25"/>
        <v>0E8</v>
      </c>
      <c r="B114" s="14" t="str">
        <f t="shared" si="27"/>
        <v>DBD5</v>
      </c>
      <c r="C114" t="str">
        <f t="shared" si="28"/>
        <v>070E</v>
      </c>
      <c r="D114">
        <f t="shared" si="29"/>
        <v>56539</v>
      </c>
      <c r="E114">
        <f t="shared" si="26"/>
        <v>3705340592</v>
      </c>
      <c r="F114" t="str">
        <f t="shared" si="20"/>
        <v>DCDB02B0</v>
      </c>
      <c r="G114" t="str">
        <f t="shared" si="21"/>
        <v>0E07</v>
      </c>
    </row>
    <row r="115" spans="1:7">
      <c r="A115" t="str">
        <f t="shared" si="25"/>
        <v>0EA</v>
      </c>
      <c r="B115" s="14" t="str">
        <f t="shared" si="27"/>
        <v>02C0</v>
      </c>
      <c r="C115" t="str">
        <f t="shared" si="28"/>
        <v>8AF2</v>
      </c>
      <c r="D115">
        <f t="shared" si="29"/>
        <v>34866</v>
      </c>
      <c r="E115">
        <f t="shared" si="26"/>
        <v>2284987747</v>
      </c>
      <c r="F115" t="str">
        <f t="shared" si="20"/>
        <v>88322563</v>
      </c>
      <c r="G115" t="str">
        <f t="shared" si="21"/>
        <v>F28A</v>
      </c>
    </row>
    <row r="116" spans="1:7">
      <c r="A116" t="str">
        <f t="shared" si="25"/>
        <v>0EC</v>
      </c>
      <c r="B116" s="14" t="str">
        <f t="shared" si="27"/>
        <v>51D4</v>
      </c>
      <c r="C116" t="str">
        <f t="shared" si="28"/>
        <v>0384</v>
      </c>
      <c r="D116">
        <f t="shared" si="29"/>
        <v>21072</v>
      </c>
      <c r="E116">
        <f t="shared" si="26"/>
        <v>1381004698</v>
      </c>
      <c r="F116" t="str">
        <f t="shared" si="20"/>
        <v>5250759A</v>
      </c>
      <c r="G116" t="str">
        <f t="shared" si="21"/>
        <v>8403</v>
      </c>
    </row>
    <row r="117" spans="1:7">
      <c r="A117" t="str">
        <f t="shared" si="25"/>
        <v>0EE</v>
      </c>
      <c r="B117" s="14" t="str">
        <f t="shared" si="27"/>
        <v>6CBA</v>
      </c>
      <c r="C117" t="str">
        <f t="shared" si="28"/>
        <v>F389</v>
      </c>
      <c r="D117">
        <f t="shared" si="29"/>
        <v>40755</v>
      </c>
      <c r="E117">
        <f t="shared" si="26"/>
        <v>2670944005</v>
      </c>
      <c r="F117" t="str">
        <f t="shared" si="20"/>
        <v>9F335F05</v>
      </c>
      <c r="G117" t="str">
        <f t="shared" si="21"/>
        <v>89F3</v>
      </c>
    </row>
    <row r="118" spans="1:7">
      <c r="A118" t="str">
        <f t="shared" si="25"/>
        <v>0F0</v>
      </c>
      <c r="B118" s="14" t="str">
        <f t="shared" si="27"/>
        <v>E61D</v>
      </c>
      <c r="C118" t="str">
        <f t="shared" si="28"/>
        <v>D4AC</v>
      </c>
      <c r="D118">
        <f t="shared" si="29"/>
        <v>12977</v>
      </c>
      <c r="E118">
        <f t="shared" si="26"/>
        <v>850484116</v>
      </c>
      <c r="F118" t="str">
        <f t="shared" si="20"/>
        <v>32B15B94</v>
      </c>
      <c r="G118" t="str">
        <f t="shared" si="21"/>
        <v>ACD4</v>
      </c>
    </row>
    <row r="119" spans="1:7">
      <c r="A119" t="str">
        <f t="shared" si="25"/>
        <v>0F2</v>
      </c>
      <c r="B119" s="14" t="str">
        <f t="shared" si="27"/>
        <v>676B</v>
      </c>
      <c r="C119" t="str">
        <f t="shared" si="28"/>
        <v>6088</v>
      </c>
      <c r="D119">
        <f t="shared" si="29"/>
        <v>2019</v>
      </c>
      <c r="E119">
        <f t="shared" si="26"/>
        <v>132347511</v>
      </c>
      <c r="F119" t="str">
        <f t="shared" si="20"/>
        <v>07E37677</v>
      </c>
      <c r="G119" t="str">
        <f t="shared" si="21"/>
        <v>8860</v>
      </c>
    </row>
    <row r="120" spans="1:7">
      <c r="A120" t="str">
        <f t="shared" si="25"/>
        <v>0F4</v>
      </c>
      <c r="B120" s="14" t="str">
        <f t="shared" si="27"/>
        <v>7817</v>
      </c>
      <c r="C120" t="str">
        <f t="shared" si="28"/>
        <v>F8EB</v>
      </c>
      <c r="D120">
        <f t="shared" si="29"/>
        <v>33020</v>
      </c>
      <c r="E120">
        <f t="shared" si="26"/>
        <v>2164003614</v>
      </c>
      <c r="F120" t="str">
        <f t="shared" si="20"/>
        <v>80FC131E</v>
      </c>
      <c r="G120" t="str">
        <f t="shared" si="21"/>
        <v>EBF8</v>
      </c>
    </row>
    <row r="121" spans="1:7">
      <c r="A121" t="str">
        <f t="shared" si="25"/>
        <v>0F6</v>
      </c>
      <c r="B121" s="14" t="str">
        <f t="shared" si="27"/>
        <v>20FE</v>
      </c>
      <c r="C121" t="str">
        <f t="shared" si="28"/>
        <v>00A5</v>
      </c>
      <c r="D121">
        <f t="shared" si="29"/>
        <v>8283</v>
      </c>
      <c r="E121">
        <f t="shared" si="26"/>
        <v>542877753</v>
      </c>
      <c r="F121" t="str">
        <f t="shared" si="20"/>
        <v>205BA839</v>
      </c>
      <c r="G121" t="str">
        <f t="shared" si="21"/>
        <v>A500</v>
      </c>
    </row>
    <row r="122" spans="1:7">
      <c r="A122" t="str">
        <f t="shared" si="25"/>
        <v>0F8</v>
      </c>
      <c r="B122" s="14" t="str">
        <f t="shared" si="27"/>
        <v>9685</v>
      </c>
      <c r="C122" t="str">
        <f t="shared" si="28"/>
        <v>DFDB</v>
      </c>
      <c r="D122">
        <f t="shared" si="29"/>
        <v>18782</v>
      </c>
      <c r="E122">
        <f t="shared" si="26"/>
        <v>1230921400</v>
      </c>
      <c r="F122" t="str">
        <f t="shared" si="20"/>
        <v>495E5EB8</v>
      </c>
      <c r="G122" t="str">
        <f t="shared" si="21"/>
        <v>DBDF</v>
      </c>
    </row>
    <row r="123" spans="1:7">
      <c r="A123" t="str">
        <f t="shared" si="25"/>
        <v>0FA</v>
      </c>
      <c r="B123" s="14" t="str">
        <f t="shared" si="27"/>
        <v>06C4</v>
      </c>
      <c r="C123" t="str">
        <f t="shared" si="28"/>
        <v>FE9E</v>
      </c>
      <c r="D123">
        <f t="shared" si="29"/>
        <v>63578</v>
      </c>
      <c r="E123">
        <f t="shared" si="26"/>
        <v>4166698187</v>
      </c>
      <c r="F123" t="str">
        <f t="shared" si="20"/>
        <v>F85AC4CB</v>
      </c>
      <c r="G123" t="str">
        <f t="shared" si="21"/>
        <v>9EFE</v>
      </c>
    </row>
    <row r="124" spans="1:7">
      <c r="A124" t="str">
        <f t="shared" si="25"/>
        <v>0FC</v>
      </c>
      <c r="B124" s="14" t="str">
        <f t="shared" si="27"/>
        <v>BE21</v>
      </c>
      <c r="C124" t="str">
        <f t="shared" si="28"/>
        <v>98BF</v>
      </c>
      <c r="D124">
        <f t="shared" si="29"/>
        <v>9886</v>
      </c>
      <c r="E124">
        <f t="shared" si="26"/>
        <v>647890146</v>
      </c>
      <c r="F124" t="str">
        <f t="shared" si="20"/>
        <v>269E04E2</v>
      </c>
      <c r="G124" t="str">
        <f t="shared" si="21"/>
        <v>BF98</v>
      </c>
    </row>
    <row r="125" spans="1:7">
      <c r="A125" t="str">
        <f t="shared" si="25"/>
        <v>0FE</v>
      </c>
      <c r="B125" s="14" t="str">
        <f t="shared" si="27"/>
        <v>CD14</v>
      </c>
      <c r="C125" t="str">
        <f t="shared" si="28"/>
        <v>7285</v>
      </c>
      <c r="D125">
        <f t="shared" si="29"/>
        <v>49041</v>
      </c>
      <c r="E125">
        <f t="shared" si="26"/>
        <v>3213971629</v>
      </c>
      <c r="F125" t="str">
        <f t="shared" si="20"/>
        <v>BF9150AD</v>
      </c>
      <c r="G125" t="str">
        <f t="shared" si="21"/>
        <v>8572</v>
      </c>
    </row>
    <row r="126" spans="1:7">
      <c r="A126" t="str">
        <f t="shared" si="25"/>
        <v>100</v>
      </c>
      <c r="B126" s="14" t="str">
        <f t="shared" si="27"/>
        <v>D984</v>
      </c>
      <c r="C126" t="str">
        <f t="shared" si="28"/>
        <v>F3C6</v>
      </c>
      <c r="D126">
        <f t="shared" si="29"/>
        <v>10818</v>
      </c>
      <c r="E126">
        <f t="shared" si="26"/>
        <v>708997148</v>
      </c>
      <c r="F126" t="str">
        <f t="shared" si="20"/>
        <v>2A42701C</v>
      </c>
      <c r="G126" t="str">
        <f t="shared" si="21"/>
        <v>C6F3</v>
      </c>
    </row>
    <row r="127" spans="1:7">
      <c r="A127" t="str">
        <f t="shared" si="25"/>
        <v>102</v>
      </c>
      <c r="B127" s="14" t="str">
        <f t="shared" si="27"/>
        <v>4A60</v>
      </c>
      <c r="C127" t="str">
        <f t="shared" si="28"/>
        <v>447A</v>
      </c>
      <c r="D127">
        <f t="shared" si="29"/>
        <v>3610</v>
      </c>
      <c r="E127">
        <f t="shared" si="26"/>
        <v>236627039</v>
      </c>
      <c r="F127" t="str">
        <f t="shared" si="20"/>
        <v>0E1AA45F</v>
      </c>
      <c r="G127" t="str">
        <f t="shared" si="21"/>
        <v>7A44</v>
      </c>
    </row>
    <row r="128" spans="1:7">
      <c r="B128" s="14"/>
    </row>
    <row r="129" spans="2:2">
      <c r="B129" s="14"/>
    </row>
    <row r="130" spans="2:2">
      <c r="B130" s="14"/>
    </row>
    <row r="131" spans="2:2">
      <c r="B131" s="14"/>
    </row>
    <row r="132" spans="2:2">
      <c r="B132" s="14"/>
    </row>
    <row r="133" spans="2:2">
      <c r="B133" s="14"/>
    </row>
    <row r="134" spans="2:2">
      <c r="B134" s="1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4B71-E483-483A-9A50-A8B341FF61AF}">
  <dimension ref="A1:K56"/>
  <sheetViews>
    <sheetView topLeftCell="C1" workbookViewId="0">
      <selection activeCell="F34" sqref="F34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23.5" style="2" bestFit="1" customWidth="1"/>
    <col min="4" max="4" width="10.85546875" style="2" bestFit="1" customWidth="1"/>
    <col min="5" max="5" width="9.78515625" style="2" bestFit="1" customWidth="1"/>
    <col min="6" max="6" width="12.7109375" style="2" customWidth="1"/>
    <col min="7" max="7" width="13.640625" style="2" customWidth="1"/>
    <col min="8" max="8" width="15.42578125" style="2" bestFit="1" customWidth="1"/>
    <col min="9" max="9" width="12" style="2" bestFit="1" customWidth="1"/>
    <col min="10" max="11" width="9.2109375" style="2"/>
    <col min="12" max="12" width="9.7109375" style="2" bestFit="1" customWidth="1"/>
    <col min="13" max="16384" width="9.2109375" style="2"/>
  </cols>
  <sheetData>
    <row r="1" spans="1:11">
      <c r="A1" s="1" t="s">
        <v>10</v>
      </c>
      <c r="B1" s="1" t="s">
        <v>1</v>
      </c>
      <c r="C1" s="1" t="s">
        <v>2</v>
      </c>
      <c r="D1" s="1" t="s">
        <v>3</v>
      </c>
    </row>
    <row r="2" spans="1:11">
      <c r="A2" s="3" t="s">
        <v>11</v>
      </c>
      <c r="B2" s="2" t="s">
        <v>12</v>
      </c>
      <c r="C2" s="3" t="s">
        <v>40</v>
      </c>
      <c r="H2"/>
      <c r="I2" s="3"/>
    </row>
    <row r="3" spans="1:11">
      <c r="A3" s="2" t="s">
        <v>13</v>
      </c>
      <c r="B3" s="2" t="s">
        <v>12</v>
      </c>
      <c r="C3" s="3" t="s">
        <v>40</v>
      </c>
      <c r="H3"/>
      <c r="I3" s="3"/>
    </row>
    <row r="4" spans="1:11">
      <c r="A4" s="2" t="s">
        <v>14</v>
      </c>
      <c r="B4" s="2" t="s">
        <v>12</v>
      </c>
      <c r="C4" s="3" t="s">
        <v>40</v>
      </c>
      <c r="H4"/>
      <c r="I4" s="3"/>
    </row>
    <row r="5" spans="1:11">
      <c r="A5" s="2" t="s">
        <v>15</v>
      </c>
      <c r="B5" s="2" t="s">
        <v>12</v>
      </c>
      <c r="C5" s="3" t="s">
        <v>40</v>
      </c>
      <c r="H5"/>
      <c r="I5" s="3"/>
    </row>
    <row r="6" spans="1:11">
      <c r="A6" s="2" t="s">
        <v>16</v>
      </c>
      <c r="B6" s="2" t="s">
        <v>12</v>
      </c>
      <c r="C6" s="3" t="s">
        <v>40</v>
      </c>
      <c r="H6"/>
      <c r="I6" s="3"/>
    </row>
    <row r="7" spans="1:11">
      <c r="A7" s="2" t="s">
        <v>17</v>
      </c>
      <c r="B7" s="2" t="s">
        <v>12</v>
      </c>
      <c r="C7" s="3" t="s">
        <v>40</v>
      </c>
      <c r="H7"/>
      <c r="I7" s="3"/>
    </row>
    <row r="8" spans="1:11">
      <c r="A8" s="2" t="s">
        <v>18</v>
      </c>
      <c r="B8" s="2" t="s">
        <v>12</v>
      </c>
      <c r="C8" s="3" t="s">
        <v>40</v>
      </c>
      <c r="H8"/>
      <c r="I8" s="3"/>
    </row>
    <row r="9" spans="1:11">
      <c r="A9" s="2" t="str">
        <f t="shared" ref="A9:A22" si="0">DEC2HEX(HEX2DEC(A8)+4,8)</f>
        <v>004AF720</v>
      </c>
      <c r="B9" s="12" t="s">
        <v>42</v>
      </c>
      <c r="H9" t="s">
        <v>19</v>
      </c>
      <c r="I9" s="3" t="s">
        <v>20</v>
      </c>
    </row>
    <row r="10" spans="1:11">
      <c r="A10" s="2" t="str">
        <f t="shared" si="0"/>
        <v>004AF724</v>
      </c>
      <c r="B10" s="12"/>
      <c r="H10" t="s">
        <v>41</v>
      </c>
      <c r="I10" s="2" t="s">
        <v>22</v>
      </c>
      <c r="J10" s="3" t="str">
        <f>_xlfn.CONCAT(MID(K10,7,2),MID(K10,5,2),MID(K10,3,2),MID(K10,1,2))</f>
        <v>13FCFFEB</v>
      </c>
      <c r="K10" s="2" t="s">
        <v>22</v>
      </c>
    </row>
    <row r="11" spans="1:11">
      <c r="A11" s="2" t="str">
        <f t="shared" si="0"/>
        <v>004AF728</v>
      </c>
      <c r="B11" s="12"/>
      <c r="H11" t="s">
        <v>11</v>
      </c>
      <c r="I11" s="2" t="s">
        <v>23</v>
      </c>
      <c r="J11" s="3" t="str">
        <f>_xlfn.CONCAT(MID(K11,7,2),MID(K11,5,2),MID(K11,3,2),MID(K11,1,2))</f>
        <v>E1FCFFEA</v>
      </c>
      <c r="K11" s="2" t="s">
        <v>23</v>
      </c>
    </row>
    <row r="12" spans="1:11">
      <c r="A12" s="2" t="str">
        <f t="shared" si="0"/>
        <v>004AF72C</v>
      </c>
      <c r="B12" s="12"/>
      <c r="H12" t="s">
        <v>13</v>
      </c>
      <c r="I12" s="2" t="s">
        <v>24</v>
      </c>
      <c r="J12" s="3" t="str">
        <f t="shared" ref="J12:J17" si="1">_xlfn.CONCAT(MID(K12,7,2),MID(K12,5,2),MID(K12,3,2),MID(K12,1,2))</f>
        <v>06FCFFEA</v>
      </c>
      <c r="K12" s="2" t="s">
        <v>24</v>
      </c>
    </row>
    <row r="13" spans="1:11">
      <c r="A13" s="2" t="str">
        <f t="shared" si="0"/>
        <v>004AF730</v>
      </c>
      <c r="B13" s="12"/>
      <c r="H13" t="s">
        <v>14</v>
      </c>
      <c r="I13" s="2" t="s">
        <v>25</v>
      </c>
      <c r="J13" s="3" t="str">
        <f t="shared" si="1"/>
        <v>F9FCFFEA</v>
      </c>
      <c r="K13" s="2" t="s">
        <v>25</v>
      </c>
    </row>
    <row r="14" spans="1:11">
      <c r="A14" s="2" t="str">
        <f t="shared" si="0"/>
        <v>004AF734</v>
      </c>
      <c r="B14" s="3"/>
      <c r="H14" t="s">
        <v>15</v>
      </c>
      <c r="I14" s="2" t="s">
        <v>26</v>
      </c>
      <c r="J14" s="3" t="str">
        <f t="shared" si="1"/>
        <v>F3FCFFEA</v>
      </c>
      <c r="K14" s="2" t="s">
        <v>26</v>
      </c>
    </row>
    <row r="15" spans="1:11">
      <c r="A15" s="2" t="str">
        <f t="shared" si="0"/>
        <v>004AF738</v>
      </c>
      <c r="B15" s="3"/>
      <c r="H15" t="s">
        <v>16</v>
      </c>
      <c r="I15" s="2" t="s">
        <v>27</v>
      </c>
      <c r="J15" s="3" t="str">
        <f t="shared" si="1"/>
        <v>F8FCFFEA</v>
      </c>
      <c r="K15" s="2" t="s">
        <v>27</v>
      </c>
    </row>
    <row r="16" spans="1:11">
      <c r="A16" s="2" t="str">
        <f t="shared" si="0"/>
        <v>004AF73C</v>
      </c>
      <c r="B16" s="3"/>
      <c r="H16" t="s">
        <v>17</v>
      </c>
      <c r="I16" s="2" t="s">
        <v>28</v>
      </c>
      <c r="J16" s="3" t="str">
        <f t="shared" si="1"/>
        <v>F2FCFFEA</v>
      </c>
      <c r="K16" s="2" t="s">
        <v>28</v>
      </c>
    </row>
    <row r="17" spans="1:11">
      <c r="A17" s="2" t="str">
        <f t="shared" si="0"/>
        <v>004AF740</v>
      </c>
      <c r="B17" s="3"/>
      <c r="H17" t="s">
        <v>18</v>
      </c>
      <c r="I17" s="2" t="s">
        <v>29</v>
      </c>
      <c r="J17" s="3" t="str">
        <f t="shared" si="1"/>
        <v>FFFCFFEA</v>
      </c>
      <c r="K17" s="2" t="s">
        <v>29</v>
      </c>
    </row>
    <row r="18" spans="1:11">
      <c r="A18" s="2" t="str">
        <f t="shared" si="0"/>
        <v>004AF744</v>
      </c>
      <c r="B18" s="3"/>
      <c r="H18" t="s">
        <v>30</v>
      </c>
      <c r="I18" s="3" t="s">
        <v>31</v>
      </c>
    </row>
    <row r="19" spans="1:11">
      <c r="A19" s="2" t="str">
        <f t="shared" si="0"/>
        <v>004AF748</v>
      </c>
      <c r="B19" s="3"/>
      <c r="D19"/>
    </row>
    <row r="20" spans="1:11">
      <c r="A20" s="2" t="str">
        <f t="shared" si="0"/>
        <v>004AF74C</v>
      </c>
      <c r="B20" s="3"/>
      <c r="D20"/>
    </row>
    <row r="21" spans="1:11">
      <c r="A21" s="2" t="str">
        <f t="shared" si="0"/>
        <v>004AF750</v>
      </c>
      <c r="B21" s="3"/>
    </row>
    <row r="22" spans="1:11">
      <c r="A22" s="2" t="str">
        <f t="shared" si="0"/>
        <v>004AF754</v>
      </c>
      <c r="B22" s="3"/>
    </row>
    <row r="23" spans="1:11">
      <c r="B23" s="9"/>
      <c r="D23" s="8"/>
      <c r="H23" t="s">
        <v>19</v>
      </c>
      <c r="I23" s="3" t="s">
        <v>32</v>
      </c>
    </row>
    <row r="24" spans="1:11">
      <c r="B24" s="9"/>
      <c r="D24" s="8"/>
      <c r="H24" t="s">
        <v>21</v>
      </c>
      <c r="I24" s="2" t="s">
        <v>22</v>
      </c>
    </row>
    <row r="25" spans="1:11">
      <c r="B25" s="6"/>
      <c r="H25" t="s">
        <v>11</v>
      </c>
      <c r="I25" s="2" t="s">
        <v>33</v>
      </c>
    </row>
    <row r="26" spans="1:11">
      <c r="B26" s="7"/>
      <c r="H26" t="s">
        <v>13</v>
      </c>
      <c r="I26" s="2" t="s">
        <v>34</v>
      </c>
    </row>
    <row r="27" spans="1:11">
      <c r="B27" s="7"/>
      <c r="C27" s="8"/>
      <c r="H27" t="s">
        <v>14</v>
      </c>
      <c r="I27" s="2" t="s">
        <v>35</v>
      </c>
    </row>
    <row r="28" spans="1:11">
      <c r="B28" s="6"/>
      <c r="C28" s="3"/>
      <c r="D28" s="7"/>
      <c r="H28" t="s">
        <v>15</v>
      </c>
      <c r="I28" s="2" t="s">
        <v>36</v>
      </c>
    </row>
    <row r="29" spans="1:11">
      <c r="B29" s="6"/>
      <c r="D29" s="7"/>
      <c r="G29" s="7"/>
      <c r="H29" t="s">
        <v>16</v>
      </c>
      <c r="I29" s="2" t="s">
        <v>37</v>
      </c>
    </row>
    <row r="30" spans="1:11">
      <c r="B30" s="6"/>
      <c r="D30" s="7"/>
      <c r="H30" t="s">
        <v>17</v>
      </c>
      <c r="I30" s="2" t="s">
        <v>38</v>
      </c>
    </row>
    <row r="31" spans="1:11">
      <c r="B31" s="7"/>
      <c r="C31" s="3"/>
      <c r="D31" s="7"/>
      <c r="H31" t="s">
        <v>18</v>
      </c>
      <c r="I31" s="2" t="s">
        <v>39</v>
      </c>
    </row>
    <row r="32" spans="1:11">
      <c r="B32" s="7"/>
      <c r="H32" t="s">
        <v>30</v>
      </c>
      <c r="I32" s="3" t="s">
        <v>31</v>
      </c>
    </row>
    <row r="33" spans="2:6">
      <c r="B33" s="7"/>
      <c r="F33" s="2" t="s">
        <v>44</v>
      </c>
    </row>
    <row r="34" spans="2:6">
      <c r="B34" s="7"/>
      <c r="F34" s="2" t="s">
        <v>43</v>
      </c>
    </row>
    <row r="35" spans="2:6">
      <c r="B35" s="6"/>
    </row>
    <row r="36" spans="2:6">
      <c r="B36" s="3"/>
    </row>
    <row r="37" spans="2:6">
      <c r="B37" s="3"/>
    </row>
    <row r="38" spans="2:6">
      <c r="B38" s="3"/>
    </row>
    <row r="39" spans="2:6">
      <c r="B39" s="3"/>
    </row>
    <row r="40" spans="2:6">
      <c r="B40" s="3"/>
    </row>
    <row r="41" spans="2:6">
      <c r="B41" s="3"/>
    </row>
    <row r="42" spans="2:6">
      <c r="B42" s="3"/>
    </row>
    <row r="43" spans="2:6">
      <c r="B43" s="3"/>
    </row>
    <row r="44" spans="2:6">
      <c r="B44" s="3"/>
    </row>
    <row r="45" spans="2:6">
      <c r="B45" s="3"/>
    </row>
    <row r="46" spans="2:6">
      <c r="B46" s="7"/>
    </row>
    <row r="47" spans="2:6">
      <c r="B47" s="7"/>
    </row>
    <row r="48" spans="2:6">
      <c r="B48" s="6"/>
    </row>
    <row r="49" spans="2:2">
      <c r="B49" s="7"/>
    </row>
    <row r="50" spans="2:2">
      <c r="B50" s="7"/>
    </row>
    <row r="51" spans="2:2">
      <c r="B51" s="6"/>
    </row>
    <row r="52" spans="2:2">
      <c r="B52" s="6"/>
    </row>
    <row r="53" spans="2:2">
      <c r="B53" s="6"/>
    </row>
    <row r="54" spans="2:2">
      <c r="B54" s="7"/>
    </row>
    <row r="55" spans="2:2">
      <c r="B55" s="7"/>
    </row>
    <row r="56" spans="2:2">
      <c r="B5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Edited</vt:lpstr>
      <vt:lpstr>original</vt:lpstr>
      <vt:lpstr>search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2026-06-22T21:57:13Z</dcterms:modified>
</cp:coreProperties>
</file>