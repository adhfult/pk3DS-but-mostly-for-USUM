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OM\3ds\Other Files\Excel stuff\"/>
    </mc:Choice>
  </mc:AlternateContent>
  <xr:revisionPtr revIDLastSave="0" documentId="13_ncr:1_{3E188350-B8A9-47B6-9808-5C764628D307}" xr6:coauthVersionLast="47" xr6:coauthVersionMax="47" xr10:uidLastSave="{00000000-0000-0000-0000-000000000000}"/>
  <bookViews>
    <workbookView xWindow="-103" yWindow="-103" windowWidth="33120" windowHeight="18120" xr2:uid="{AFFB3823-5CB3-4F14-8E52-68A535A5A177}"/>
  </bookViews>
  <sheets>
    <sheet name="Format" sheetId="4" r:id="rId1"/>
    <sheet name="Sheet1 (2)" sheetId="3" r:id="rId2"/>
    <sheet name="Sheet1" sheetId="1" r:id="rId3"/>
    <sheet name="Sheet2" sheetId="2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6" i="4" l="1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I43" i="2"/>
  <c r="W55" i="1" l="1"/>
  <c r="X55" i="1"/>
  <c r="C54" i="1"/>
  <c r="C53" i="1"/>
  <c r="C52" i="1"/>
  <c r="C51" i="1"/>
  <c r="C50" i="1"/>
  <c r="C49" i="1"/>
  <c r="C48" i="1"/>
  <c r="C47" i="1"/>
  <c r="C46" i="1"/>
  <c r="C45" i="1"/>
  <c r="C44" i="1"/>
  <c r="C43" i="1"/>
  <c r="J19" i="2" l="1"/>
  <c r="I19" i="2"/>
  <c r="H19" i="2"/>
  <c r="G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1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" i="2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3" i="3"/>
  <c r="Y63" i="1"/>
  <c r="G1" i="3"/>
  <c r="H1" i="3" s="1"/>
  <c r="J2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J3" i="3"/>
  <c r="J4" i="3"/>
  <c r="B7" i="3" l="1"/>
  <c r="B27" i="3"/>
  <c r="B40" i="3"/>
  <c r="B60" i="3"/>
  <c r="B80" i="3"/>
  <c r="B14" i="3"/>
  <c r="B47" i="3"/>
  <c r="B67" i="3"/>
  <c r="B21" i="3"/>
  <c r="B34" i="3"/>
  <c r="B54" i="3"/>
  <c r="B74" i="3"/>
  <c r="B8" i="3"/>
  <c r="B28" i="3"/>
  <c r="B41" i="3"/>
  <c r="B61" i="3"/>
  <c r="B81" i="3"/>
  <c r="B42" i="3"/>
  <c r="B62" i="3"/>
  <c r="B82" i="3"/>
  <c r="B69" i="3"/>
  <c r="B76" i="3"/>
  <c r="B10" i="3"/>
  <c r="B30" i="3"/>
  <c r="B43" i="3"/>
  <c r="B63" i="3"/>
  <c r="B83" i="3"/>
  <c r="B44" i="3"/>
  <c r="B84" i="3"/>
  <c r="B25" i="3"/>
  <c r="B58" i="3"/>
  <c r="B78" i="3"/>
  <c r="B20" i="3"/>
  <c r="B22" i="3"/>
  <c r="B4" i="3"/>
  <c r="B17" i="3"/>
  <c r="B50" i="3"/>
  <c r="B70" i="3"/>
  <c r="B11" i="3"/>
  <c r="B64" i="3"/>
  <c r="B18" i="3"/>
  <c r="B31" i="3"/>
  <c r="B51" i="3"/>
  <c r="B71" i="3"/>
  <c r="B38" i="3"/>
  <c r="B55" i="3"/>
  <c r="B29" i="3"/>
  <c r="B49" i="3"/>
  <c r="B23" i="3"/>
  <c r="B24" i="3"/>
  <c r="B37" i="3"/>
  <c r="B57" i="3"/>
  <c r="B77" i="3"/>
  <c r="B15" i="3"/>
  <c r="B35" i="3"/>
  <c r="B5" i="3"/>
  <c r="B12" i="3"/>
  <c r="B45" i="3"/>
  <c r="B65" i="3"/>
  <c r="B85" i="3"/>
  <c r="B19" i="3"/>
  <c r="B32" i="3"/>
  <c r="B52" i="3"/>
  <c r="B72" i="3"/>
  <c r="B26" i="3"/>
  <c r="B39" i="3"/>
  <c r="B59" i="3"/>
  <c r="B79" i="3"/>
  <c r="B13" i="3"/>
  <c r="B46" i="3"/>
  <c r="B66" i="3"/>
  <c r="B33" i="3"/>
  <c r="B53" i="3"/>
  <c r="B73" i="3"/>
  <c r="B48" i="3"/>
  <c r="B68" i="3"/>
  <c r="B75" i="3"/>
  <c r="B16" i="3"/>
  <c r="B36" i="3"/>
  <c r="B56" i="3"/>
  <c r="B6" i="3"/>
  <c r="B9" i="3"/>
  <c r="B3" i="3"/>
  <c r="B2" i="3"/>
  <c r="C16" i="3" l="1"/>
  <c r="N16" i="3"/>
  <c r="C75" i="3"/>
  <c r="N75" i="3"/>
  <c r="C68" i="3"/>
  <c r="N68" i="3"/>
  <c r="C35" i="3"/>
  <c r="N35" i="3"/>
  <c r="C15" i="3"/>
  <c r="N15" i="3"/>
  <c r="C53" i="3"/>
  <c r="N53" i="3"/>
  <c r="C33" i="3"/>
  <c r="N33" i="3"/>
  <c r="C66" i="3"/>
  <c r="N66" i="3"/>
  <c r="C24" i="3"/>
  <c r="N24" i="3"/>
  <c r="C84" i="3"/>
  <c r="N84" i="3"/>
  <c r="C44" i="3"/>
  <c r="N44" i="3"/>
  <c r="C39" i="3"/>
  <c r="N39" i="3"/>
  <c r="C55" i="3"/>
  <c r="N55" i="3"/>
  <c r="C63" i="3"/>
  <c r="N63" i="3"/>
  <c r="C14" i="3"/>
  <c r="N14" i="3"/>
  <c r="C26" i="3"/>
  <c r="N26" i="3"/>
  <c r="C38" i="3"/>
  <c r="N38" i="3"/>
  <c r="C43" i="3"/>
  <c r="N43" i="3"/>
  <c r="C80" i="3"/>
  <c r="N80" i="3"/>
  <c r="C70" i="3"/>
  <c r="N70" i="3"/>
  <c r="C17" i="3"/>
  <c r="N17" i="3"/>
  <c r="C28" i="3"/>
  <c r="N28" i="3"/>
  <c r="C74" i="3"/>
  <c r="N74" i="3"/>
  <c r="C34" i="3"/>
  <c r="N34" i="3"/>
  <c r="C79" i="3"/>
  <c r="N79" i="3"/>
  <c r="C47" i="3"/>
  <c r="N47" i="3"/>
  <c r="C30" i="3"/>
  <c r="N30" i="3"/>
  <c r="C52" i="3"/>
  <c r="N52" i="3"/>
  <c r="C51" i="3"/>
  <c r="N51" i="3"/>
  <c r="C10" i="3"/>
  <c r="N10" i="3"/>
  <c r="C40" i="3"/>
  <c r="N40" i="3"/>
  <c r="C81" i="3"/>
  <c r="N81" i="3"/>
  <c r="C41" i="3"/>
  <c r="N41" i="3"/>
  <c r="C8" i="3"/>
  <c r="N8" i="3"/>
  <c r="C54" i="3"/>
  <c r="N54" i="3"/>
  <c r="C21" i="3"/>
  <c r="N21" i="3"/>
  <c r="C29" i="3"/>
  <c r="N29" i="3"/>
  <c r="C60" i="3"/>
  <c r="N60" i="3"/>
  <c r="C32" i="3"/>
  <c r="N32" i="3"/>
  <c r="C31" i="3"/>
  <c r="N31" i="3"/>
  <c r="C76" i="3"/>
  <c r="N76" i="3"/>
  <c r="C27" i="3"/>
  <c r="N27" i="3"/>
  <c r="C50" i="3"/>
  <c r="N50" i="3"/>
  <c r="C4" i="3"/>
  <c r="N4" i="3"/>
  <c r="C20" i="3"/>
  <c r="N20" i="3"/>
  <c r="C58" i="3"/>
  <c r="N58" i="3"/>
  <c r="C13" i="3"/>
  <c r="N13" i="3"/>
  <c r="C59" i="3"/>
  <c r="N59" i="3"/>
  <c r="C72" i="3"/>
  <c r="N72" i="3"/>
  <c r="C6" i="3"/>
  <c r="N6" i="3"/>
  <c r="C18" i="3"/>
  <c r="N18" i="3"/>
  <c r="C69" i="3"/>
  <c r="N69" i="3"/>
  <c r="C7" i="3"/>
  <c r="N7" i="3"/>
  <c r="C42" i="3"/>
  <c r="N42" i="3"/>
  <c r="C61" i="3"/>
  <c r="N61" i="3"/>
  <c r="C22" i="3"/>
  <c r="N22" i="3"/>
  <c r="C78" i="3"/>
  <c r="N78" i="3"/>
  <c r="C25" i="3"/>
  <c r="N25" i="3"/>
  <c r="C67" i="3"/>
  <c r="N67" i="3"/>
  <c r="C2" i="3"/>
  <c r="N2" i="3"/>
  <c r="C9" i="3"/>
  <c r="N9" i="3"/>
  <c r="C85" i="3"/>
  <c r="N85" i="3"/>
  <c r="C82" i="3"/>
  <c r="N82" i="3"/>
  <c r="C45" i="3"/>
  <c r="N45" i="3"/>
  <c r="C12" i="3"/>
  <c r="N12" i="3"/>
  <c r="C5" i="3"/>
  <c r="N5" i="3"/>
  <c r="C48" i="3"/>
  <c r="N48" i="3"/>
  <c r="C73" i="3"/>
  <c r="N73" i="3"/>
  <c r="C77" i="3"/>
  <c r="N77" i="3"/>
  <c r="C57" i="3"/>
  <c r="N57" i="3"/>
  <c r="C37" i="3"/>
  <c r="N37" i="3"/>
  <c r="C46" i="3"/>
  <c r="N46" i="3"/>
  <c r="C23" i="3"/>
  <c r="N23" i="3"/>
  <c r="C49" i="3"/>
  <c r="N49" i="3"/>
  <c r="C83" i="3"/>
  <c r="N83" i="3"/>
  <c r="C71" i="3"/>
  <c r="N71" i="3"/>
  <c r="C3" i="3"/>
  <c r="N3" i="3"/>
  <c r="C19" i="3"/>
  <c r="N19" i="3"/>
  <c r="C56" i="3"/>
  <c r="N56" i="3"/>
  <c r="C64" i="3"/>
  <c r="N64" i="3"/>
  <c r="C36" i="3"/>
  <c r="N36" i="3"/>
  <c r="C65" i="3"/>
  <c r="N65" i="3"/>
  <c r="C11" i="3"/>
  <c r="N11" i="3"/>
  <c r="C62" i="3"/>
  <c r="N62" i="3"/>
  <c r="E82" i="1"/>
  <c r="R37" i="1"/>
  <c r="R41" i="1"/>
  <c r="R39" i="1"/>
  <c r="R36" i="1"/>
  <c r="R33" i="1"/>
  <c r="R31" i="1"/>
  <c r="I32" i="1"/>
  <c r="I31" i="1"/>
  <c r="R29" i="1"/>
  <c r="R28" i="1"/>
  <c r="R27" i="1"/>
  <c r="R9" i="1"/>
  <c r="AC2" i="1"/>
  <c r="AB2" i="1"/>
  <c r="AA2" i="1"/>
  <c r="B82" i="1"/>
  <c r="I82" i="1"/>
  <c r="M82" i="1"/>
  <c r="Q82" i="1"/>
  <c r="B83" i="1"/>
  <c r="E83" i="1"/>
  <c r="F83" i="1" s="1"/>
  <c r="I83" i="1"/>
  <c r="M83" i="1"/>
  <c r="Q83" i="1"/>
  <c r="B84" i="1"/>
  <c r="E84" i="1"/>
  <c r="I84" i="1"/>
  <c r="M84" i="1"/>
  <c r="Q84" i="1"/>
  <c r="B85" i="1"/>
  <c r="E85" i="1"/>
  <c r="I85" i="1"/>
  <c r="M85" i="1"/>
  <c r="Q85" i="1"/>
  <c r="B86" i="1"/>
  <c r="E86" i="1"/>
  <c r="I86" i="1"/>
  <c r="M86" i="1"/>
  <c r="Q86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R26" i="1" s="1"/>
  <c r="Q25" i="1"/>
  <c r="R25" i="1" s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R10" i="1" s="1"/>
  <c r="Q9" i="1"/>
  <c r="Q8" i="1"/>
  <c r="Q7" i="1"/>
  <c r="Q6" i="1"/>
  <c r="Q5" i="1"/>
  <c r="Q4" i="1"/>
  <c r="Q3" i="1"/>
  <c r="U2" i="1"/>
  <c r="E30" i="3" l="1"/>
  <c r="V6" i="3"/>
  <c r="U6" i="3"/>
  <c r="R6" i="3"/>
  <c r="Q6" i="3"/>
  <c r="P6" i="3"/>
  <c r="S6" i="3"/>
  <c r="T6" i="3"/>
  <c r="O6" i="3"/>
  <c r="W6" i="3" s="1"/>
  <c r="V31" i="3"/>
  <c r="U31" i="3"/>
  <c r="R31" i="3"/>
  <c r="Q31" i="3"/>
  <c r="P31" i="3"/>
  <c r="O31" i="3"/>
  <c r="T31" i="3"/>
  <c r="S31" i="3"/>
  <c r="P10" i="3"/>
  <c r="O10" i="3"/>
  <c r="V10" i="3"/>
  <c r="U10" i="3"/>
  <c r="T10" i="3"/>
  <c r="Q10" i="3"/>
  <c r="R10" i="3"/>
  <c r="S10" i="3"/>
  <c r="P70" i="3"/>
  <c r="O70" i="3"/>
  <c r="V70" i="3"/>
  <c r="U70" i="3"/>
  <c r="T70" i="3"/>
  <c r="R70" i="3"/>
  <c r="S70" i="3"/>
  <c r="Q70" i="3"/>
  <c r="V84" i="3"/>
  <c r="U84" i="3"/>
  <c r="T84" i="3"/>
  <c r="S84" i="3"/>
  <c r="R84" i="3"/>
  <c r="Q84" i="3"/>
  <c r="P84" i="3"/>
  <c r="O84" i="3"/>
  <c r="V56" i="3"/>
  <c r="U56" i="3"/>
  <c r="R56" i="3"/>
  <c r="Q56" i="3"/>
  <c r="P56" i="3"/>
  <c r="O56" i="3"/>
  <c r="T56" i="3"/>
  <c r="S56" i="3"/>
  <c r="T77" i="3"/>
  <c r="S77" i="3"/>
  <c r="R77" i="3"/>
  <c r="Q77" i="3"/>
  <c r="P77" i="3"/>
  <c r="O77" i="3"/>
  <c r="V77" i="3"/>
  <c r="U77" i="3"/>
  <c r="T67" i="3"/>
  <c r="S67" i="3"/>
  <c r="O67" i="3"/>
  <c r="R67" i="3"/>
  <c r="Q67" i="3"/>
  <c r="P67" i="3"/>
  <c r="V67" i="3"/>
  <c r="U67" i="3"/>
  <c r="T72" i="3"/>
  <c r="S72" i="3"/>
  <c r="R72" i="3"/>
  <c r="O72" i="3"/>
  <c r="Q72" i="3"/>
  <c r="P72" i="3"/>
  <c r="V72" i="3"/>
  <c r="U72" i="3"/>
  <c r="T32" i="3"/>
  <c r="S32" i="3"/>
  <c r="R32" i="3"/>
  <c r="O32" i="3"/>
  <c r="Q32" i="3"/>
  <c r="P32" i="3"/>
  <c r="U32" i="3"/>
  <c r="V32" i="3"/>
  <c r="V51" i="3"/>
  <c r="U51" i="3"/>
  <c r="P51" i="3"/>
  <c r="O51" i="3"/>
  <c r="T51" i="3"/>
  <c r="R51" i="3"/>
  <c r="S51" i="3"/>
  <c r="Q51" i="3"/>
  <c r="P80" i="3"/>
  <c r="O80" i="3"/>
  <c r="T80" i="3"/>
  <c r="S80" i="3"/>
  <c r="R80" i="3"/>
  <c r="Q80" i="3"/>
  <c r="V80" i="3"/>
  <c r="U80" i="3"/>
  <c r="S24" i="3"/>
  <c r="V24" i="3"/>
  <c r="U24" i="3"/>
  <c r="T24" i="3"/>
  <c r="R24" i="3"/>
  <c r="Q24" i="3"/>
  <c r="P24" i="3"/>
  <c r="O24" i="3"/>
  <c r="V19" i="3"/>
  <c r="S19" i="3"/>
  <c r="U19" i="3"/>
  <c r="T19" i="3"/>
  <c r="R19" i="3"/>
  <c r="Q19" i="3"/>
  <c r="O19" i="3"/>
  <c r="P19" i="3"/>
  <c r="R73" i="3"/>
  <c r="Q73" i="3"/>
  <c r="P73" i="3"/>
  <c r="O73" i="3"/>
  <c r="T73" i="3"/>
  <c r="S73" i="3"/>
  <c r="U73" i="3"/>
  <c r="V73" i="3"/>
  <c r="P25" i="3"/>
  <c r="O25" i="3"/>
  <c r="R25" i="3"/>
  <c r="V25" i="3"/>
  <c r="S25" i="3"/>
  <c r="U25" i="3"/>
  <c r="Q25" i="3"/>
  <c r="T25" i="3"/>
  <c r="V59" i="3"/>
  <c r="U59" i="3"/>
  <c r="T59" i="3"/>
  <c r="S59" i="3"/>
  <c r="R59" i="3"/>
  <c r="Q59" i="3"/>
  <c r="P59" i="3"/>
  <c r="O59" i="3"/>
  <c r="W59" i="3" s="1"/>
  <c r="P60" i="3"/>
  <c r="O60" i="3"/>
  <c r="V60" i="3"/>
  <c r="U60" i="3"/>
  <c r="T60" i="3"/>
  <c r="S60" i="3"/>
  <c r="R60" i="3"/>
  <c r="Q60" i="3"/>
  <c r="T52" i="3"/>
  <c r="S52" i="3"/>
  <c r="R52" i="3"/>
  <c r="Q52" i="3"/>
  <c r="P52" i="3"/>
  <c r="O52" i="3"/>
  <c r="V52" i="3"/>
  <c r="U52" i="3"/>
  <c r="P43" i="3"/>
  <c r="O43" i="3"/>
  <c r="V43" i="3"/>
  <c r="U43" i="3"/>
  <c r="T43" i="3"/>
  <c r="Q43" i="3"/>
  <c r="R43" i="3"/>
  <c r="S43" i="3"/>
  <c r="V66" i="3"/>
  <c r="U66" i="3"/>
  <c r="R66" i="3"/>
  <c r="Q66" i="3"/>
  <c r="S66" i="3"/>
  <c r="T66" i="3"/>
  <c r="P66" i="3"/>
  <c r="O66" i="3"/>
  <c r="W66" i="3" s="1"/>
  <c r="T57" i="3"/>
  <c r="S57" i="3"/>
  <c r="R57" i="3"/>
  <c r="O57" i="3"/>
  <c r="Q57" i="3"/>
  <c r="P57" i="3"/>
  <c r="U57" i="3"/>
  <c r="V57" i="3"/>
  <c r="T38" i="3"/>
  <c r="S38" i="3"/>
  <c r="R38" i="3"/>
  <c r="Q38" i="3"/>
  <c r="P38" i="3"/>
  <c r="O38" i="3"/>
  <c r="V38" i="3"/>
  <c r="U38" i="3"/>
  <c r="V71" i="3"/>
  <c r="U71" i="3"/>
  <c r="T71" i="3"/>
  <c r="S71" i="3"/>
  <c r="R71" i="3"/>
  <c r="Q71" i="3"/>
  <c r="P71" i="3"/>
  <c r="O71" i="3"/>
  <c r="W71" i="3" s="1"/>
  <c r="V26" i="3"/>
  <c r="U26" i="3"/>
  <c r="P26" i="3"/>
  <c r="O26" i="3"/>
  <c r="T26" i="3"/>
  <c r="S26" i="3"/>
  <c r="Q26" i="3"/>
  <c r="R26" i="3"/>
  <c r="P20" i="3"/>
  <c r="O20" i="3"/>
  <c r="U20" i="3"/>
  <c r="V20" i="3"/>
  <c r="T20" i="3"/>
  <c r="S20" i="3"/>
  <c r="Q20" i="3"/>
  <c r="R20" i="3"/>
  <c r="T63" i="3"/>
  <c r="S63" i="3"/>
  <c r="R63" i="3"/>
  <c r="Q63" i="3"/>
  <c r="O63" i="3"/>
  <c r="P63" i="3"/>
  <c r="V63" i="3"/>
  <c r="U63" i="3"/>
  <c r="P50" i="3"/>
  <c r="O50" i="3"/>
  <c r="R50" i="3"/>
  <c r="Q50" i="3"/>
  <c r="V50" i="3"/>
  <c r="U50" i="3"/>
  <c r="S50" i="3"/>
  <c r="T50" i="3"/>
  <c r="P55" i="3"/>
  <c r="O55" i="3"/>
  <c r="T55" i="3"/>
  <c r="S55" i="3"/>
  <c r="R55" i="3"/>
  <c r="Q55" i="3"/>
  <c r="V55" i="3"/>
  <c r="U55" i="3"/>
  <c r="P68" i="3"/>
  <c r="O68" i="3"/>
  <c r="V68" i="3"/>
  <c r="U68" i="3"/>
  <c r="T68" i="3"/>
  <c r="S68" i="3"/>
  <c r="R68" i="3"/>
  <c r="Q68" i="3"/>
  <c r="V64" i="3"/>
  <c r="S64" i="3"/>
  <c r="U64" i="3"/>
  <c r="T64" i="3"/>
  <c r="R64" i="3"/>
  <c r="Q64" i="3"/>
  <c r="P64" i="3"/>
  <c r="O64" i="3"/>
  <c r="W64" i="3" s="1"/>
  <c r="P30" i="3"/>
  <c r="O30" i="3"/>
  <c r="T30" i="3"/>
  <c r="S30" i="3"/>
  <c r="R30" i="3"/>
  <c r="Q30" i="3"/>
  <c r="V30" i="3"/>
  <c r="U30" i="3"/>
  <c r="P5" i="3"/>
  <c r="O5" i="3"/>
  <c r="T5" i="3"/>
  <c r="S5" i="3"/>
  <c r="R5" i="3"/>
  <c r="Q5" i="3"/>
  <c r="V5" i="3"/>
  <c r="U5" i="3"/>
  <c r="T47" i="3"/>
  <c r="S47" i="3"/>
  <c r="R47" i="3"/>
  <c r="Q47" i="3"/>
  <c r="O47" i="3"/>
  <c r="P47" i="3"/>
  <c r="V47" i="3"/>
  <c r="U47" i="3"/>
  <c r="T12" i="3"/>
  <c r="S12" i="3"/>
  <c r="O12" i="3"/>
  <c r="R12" i="3"/>
  <c r="Q12" i="3"/>
  <c r="P12" i="3"/>
  <c r="U12" i="3"/>
  <c r="V12" i="3"/>
  <c r="V14" i="3"/>
  <c r="U14" i="3"/>
  <c r="T14" i="3"/>
  <c r="S14" i="3"/>
  <c r="R14" i="3"/>
  <c r="Q14" i="3"/>
  <c r="P14" i="3"/>
  <c r="O14" i="3"/>
  <c r="W14" i="3" s="1"/>
  <c r="P45" i="3"/>
  <c r="O45" i="3"/>
  <c r="V45" i="3"/>
  <c r="U45" i="3"/>
  <c r="T45" i="3"/>
  <c r="Q45" i="3"/>
  <c r="R45" i="3"/>
  <c r="S45" i="3"/>
  <c r="V34" i="3"/>
  <c r="U34" i="3"/>
  <c r="T34" i="3"/>
  <c r="S34" i="3"/>
  <c r="R34" i="3"/>
  <c r="Q34" i="3"/>
  <c r="P34" i="3"/>
  <c r="O34" i="3"/>
  <c r="V11" i="3"/>
  <c r="U11" i="3"/>
  <c r="T11" i="3"/>
  <c r="S11" i="3"/>
  <c r="R11" i="3"/>
  <c r="P11" i="3"/>
  <c r="O11" i="3"/>
  <c r="Q11" i="3"/>
  <c r="V41" i="3"/>
  <c r="U41" i="3"/>
  <c r="Q41" i="3"/>
  <c r="S41" i="3"/>
  <c r="R41" i="3"/>
  <c r="P41" i="3"/>
  <c r="T41" i="3"/>
  <c r="O41" i="3"/>
  <c r="V69" i="3"/>
  <c r="U69" i="3"/>
  <c r="T69" i="3"/>
  <c r="S69" i="3"/>
  <c r="R69" i="3"/>
  <c r="Q69" i="3"/>
  <c r="P69" i="3"/>
  <c r="O69" i="3"/>
  <c r="W69" i="3" s="1"/>
  <c r="V81" i="3"/>
  <c r="U81" i="3"/>
  <c r="R81" i="3"/>
  <c r="Q81" i="3"/>
  <c r="P81" i="3"/>
  <c r="O81" i="3"/>
  <c r="T81" i="3"/>
  <c r="S81" i="3"/>
  <c r="U28" i="3"/>
  <c r="T28" i="3"/>
  <c r="V28" i="3"/>
  <c r="S28" i="3"/>
  <c r="R28" i="3"/>
  <c r="Q28" i="3"/>
  <c r="P28" i="3"/>
  <c r="O28" i="3"/>
  <c r="V39" i="3"/>
  <c r="S39" i="3"/>
  <c r="U39" i="3"/>
  <c r="T39" i="3"/>
  <c r="R39" i="3"/>
  <c r="Q39" i="3"/>
  <c r="P39" i="3"/>
  <c r="O39" i="3"/>
  <c r="W39" i="3" s="1"/>
  <c r="P75" i="3"/>
  <c r="O75" i="3"/>
  <c r="R75" i="3"/>
  <c r="Q75" i="3"/>
  <c r="V75" i="3"/>
  <c r="U75" i="3"/>
  <c r="S75" i="3"/>
  <c r="T75" i="3"/>
  <c r="V3" i="3"/>
  <c r="U3" i="3"/>
  <c r="R3" i="3"/>
  <c r="S3" i="3"/>
  <c r="Q3" i="3"/>
  <c r="P3" i="3"/>
  <c r="O3" i="3"/>
  <c r="T3" i="3"/>
  <c r="T13" i="3"/>
  <c r="S13" i="3"/>
  <c r="R13" i="3"/>
  <c r="Q13" i="3"/>
  <c r="O13" i="3"/>
  <c r="P13" i="3"/>
  <c r="V13" i="3"/>
  <c r="U13" i="3"/>
  <c r="V21" i="3"/>
  <c r="U21" i="3"/>
  <c r="T21" i="3"/>
  <c r="S21" i="3"/>
  <c r="O21" i="3"/>
  <c r="R21" i="3"/>
  <c r="Q21" i="3"/>
  <c r="P21" i="3"/>
  <c r="V79" i="3"/>
  <c r="S79" i="3"/>
  <c r="U79" i="3"/>
  <c r="T79" i="3"/>
  <c r="R79" i="3"/>
  <c r="Q79" i="3"/>
  <c r="O79" i="3"/>
  <c r="P79" i="3"/>
  <c r="V49" i="3"/>
  <c r="S49" i="3"/>
  <c r="U49" i="3"/>
  <c r="T49" i="3"/>
  <c r="R49" i="3"/>
  <c r="Q49" i="3"/>
  <c r="P49" i="3"/>
  <c r="O49" i="3"/>
  <c r="R8" i="3"/>
  <c r="V8" i="3"/>
  <c r="S8" i="3"/>
  <c r="Q8" i="3"/>
  <c r="P8" i="3"/>
  <c r="U8" i="3"/>
  <c r="T8" i="3"/>
  <c r="O8" i="3"/>
  <c r="W8" i="3" s="1"/>
  <c r="T82" i="3"/>
  <c r="O82" i="3"/>
  <c r="S82" i="3"/>
  <c r="R82" i="3"/>
  <c r="Q82" i="3"/>
  <c r="P82" i="3"/>
  <c r="V82" i="3"/>
  <c r="U82" i="3"/>
  <c r="P85" i="3"/>
  <c r="O85" i="3"/>
  <c r="V85" i="3"/>
  <c r="U85" i="3"/>
  <c r="T85" i="3"/>
  <c r="S85" i="3"/>
  <c r="R85" i="3"/>
  <c r="Q85" i="3"/>
  <c r="T27" i="3"/>
  <c r="S27" i="3"/>
  <c r="R27" i="3"/>
  <c r="Q27" i="3"/>
  <c r="P27" i="3"/>
  <c r="O27" i="3"/>
  <c r="V27" i="3"/>
  <c r="U27" i="3"/>
  <c r="R48" i="3"/>
  <c r="Q48" i="3"/>
  <c r="P48" i="3"/>
  <c r="V48" i="3"/>
  <c r="U48" i="3"/>
  <c r="O48" i="3"/>
  <c r="T48" i="3"/>
  <c r="S48" i="3"/>
  <c r="V29" i="3"/>
  <c r="U29" i="3"/>
  <c r="S29" i="3"/>
  <c r="T29" i="3"/>
  <c r="R29" i="3"/>
  <c r="Q29" i="3"/>
  <c r="O29" i="3"/>
  <c r="P29" i="3"/>
  <c r="V58" i="3"/>
  <c r="S58" i="3"/>
  <c r="U58" i="3"/>
  <c r="R58" i="3"/>
  <c r="Q58" i="3"/>
  <c r="T58" i="3"/>
  <c r="P58" i="3"/>
  <c r="O58" i="3"/>
  <c r="W58" i="3" s="1"/>
  <c r="V54" i="3"/>
  <c r="U54" i="3"/>
  <c r="S54" i="3"/>
  <c r="T54" i="3"/>
  <c r="R54" i="3"/>
  <c r="Q54" i="3"/>
  <c r="P54" i="3"/>
  <c r="O54" i="3"/>
  <c r="V4" i="3"/>
  <c r="U4" i="3"/>
  <c r="S4" i="3"/>
  <c r="T4" i="3"/>
  <c r="R4" i="3"/>
  <c r="Q4" i="3"/>
  <c r="O4" i="3"/>
  <c r="P4" i="3"/>
  <c r="T7" i="3"/>
  <c r="S7" i="3"/>
  <c r="O7" i="3"/>
  <c r="R7" i="3"/>
  <c r="Q7" i="3"/>
  <c r="P7" i="3"/>
  <c r="V7" i="3"/>
  <c r="U7" i="3"/>
  <c r="P65" i="3"/>
  <c r="O65" i="3"/>
  <c r="R65" i="3"/>
  <c r="Q65" i="3"/>
  <c r="U65" i="3"/>
  <c r="T65" i="3"/>
  <c r="V65" i="3"/>
  <c r="S65" i="3"/>
  <c r="T37" i="3"/>
  <c r="S37" i="3"/>
  <c r="R37" i="3"/>
  <c r="Q37" i="3"/>
  <c r="O37" i="3"/>
  <c r="P37" i="3"/>
  <c r="U37" i="3"/>
  <c r="V37" i="3"/>
  <c r="P18" i="3"/>
  <c r="O18" i="3"/>
  <c r="V18" i="3"/>
  <c r="U18" i="3"/>
  <c r="T18" i="3"/>
  <c r="S18" i="3"/>
  <c r="R18" i="3"/>
  <c r="Q18" i="3"/>
  <c r="P40" i="3"/>
  <c r="O40" i="3"/>
  <c r="R40" i="3"/>
  <c r="Q40" i="3"/>
  <c r="S40" i="3"/>
  <c r="V40" i="3"/>
  <c r="U40" i="3"/>
  <c r="T40" i="3"/>
  <c r="V44" i="3"/>
  <c r="U44" i="3"/>
  <c r="T44" i="3"/>
  <c r="S44" i="3"/>
  <c r="R44" i="3"/>
  <c r="Q44" i="3"/>
  <c r="O44" i="3"/>
  <c r="P44" i="3"/>
  <c r="V16" i="3"/>
  <c r="U16" i="3"/>
  <c r="R16" i="3"/>
  <c r="Q16" i="3"/>
  <c r="T16" i="3"/>
  <c r="S16" i="3"/>
  <c r="P16" i="3"/>
  <c r="O16" i="3"/>
  <c r="W16" i="3" s="1"/>
  <c r="T2" i="3"/>
  <c r="S2" i="3"/>
  <c r="R2" i="3"/>
  <c r="Q2" i="3"/>
  <c r="P2" i="3"/>
  <c r="O2" i="3"/>
  <c r="V2" i="3"/>
  <c r="U2" i="3"/>
  <c r="V78" i="3"/>
  <c r="U78" i="3"/>
  <c r="T78" i="3"/>
  <c r="O78" i="3"/>
  <c r="R78" i="3"/>
  <c r="P78" i="3"/>
  <c r="S78" i="3"/>
  <c r="Q78" i="3"/>
  <c r="R33" i="3"/>
  <c r="V33" i="3"/>
  <c r="U33" i="3"/>
  <c r="S33" i="3"/>
  <c r="T33" i="3"/>
  <c r="Q33" i="3"/>
  <c r="P33" i="3"/>
  <c r="O33" i="3"/>
  <c r="W33" i="3" s="1"/>
  <c r="T22" i="3"/>
  <c r="S22" i="3"/>
  <c r="O22" i="3"/>
  <c r="R22" i="3"/>
  <c r="Q22" i="3"/>
  <c r="P22" i="3"/>
  <c r="U22" i="3"/>
  <c r="V22" i="3"/>
  <c r="U53" i="3"/>
  <c r="T53" i="3"/>
  <c r="V53" i="3"/>
  <c r="O53" i="3"/>
  <c r="S53" i="3"/>
  <c r="R53" i="3"/>
  <c r="Q53" i="3"/>
  <c r="P53" i="3"/>
  <c r="S83" i="3"/>
  <c r="P83" i="3"/>
  <c r="V83" i="3"/>
  <c r="R83" i="3"/>
  <c r="Q83" i="3"/>
  <c r="U83" i="3"/>
  <c r="T83" i="3"/>
  <c r="O83" i="3"/>
  <c r="W83" i="3" s="1"/>
  <c r="V61" i="3"/>
  <c r="U61" i="3"/>
  <c r="T61" i="3"/>
  <c r="Q61" i="3"/>
  <c r="P61" i="3"/>
  <c r="O61" i="3"/>
  <c r="S61" i="3"/>
  <c r="R61" i="3"/>
  <c r="P15" i="3"/>
  <c r="O15" i="3"/>
  <c r="R15" i="3"/>
  <c r="Q15" i="3"/>
  <c r="U15" i="3"/>
  <c r="S15" i="3"/>
  <c r="V15" i="3"/>
  <c r="T15" i="3"/>
  <c r="T62" i="3"/>
  <c r="S62" i="3"/>
  <c r="R62" i="3"/>
  <c r="Q62" i="3"/>
  <c r="O62" i="3"/>
  <c r="P62" i="3"/>
  <c r="V62" i="3"/>
  <c r="U62" i="3"/>
  <c r="T42" i="3"/>
  <c r="S42" i="3"/>
  <c r="O42" i="3"/>
  <c r="R42" i="3"/>
  <c r="Q42" i="3"/>
  <c r="P42" i="3"/>
  <c r="V42" i="3"/>
  <c r="U42" i="3"/>
  <c r="P35" i="3"/>
  <c r="O35" i="3"/>
  <c r="V35" i="3"/>
  <c r="U35" i="3"/>
  <c r="T35" i="3"/>
  <c r="Q35" i="3"/>
  <c r="S35" i="3"/>
  <c r="R35" i="3"/>
  <c r="R23" i="3"/>
  <c r="Q23" i="3"/>
  <c r="P23" i="3"/>
  <c r="V23" i="3"/>
  <c r="S23" i="3"/>
  <c r="U23" i="3"/>
  <c r="O23" i="3"/>
  <c r="T23" i="3"/>
  <c r="V74" i="3"/>
  <c r="U74" i="3"/>
  <c r="S74" i="3"/>
  <c r="T74" i="3"/>
  <c r="R74" i="3"/>
  <c r="Q74" i="3"/>
  <c r="P74" i="3"/>
  <c r="O74" i="3"/>
  <c r="W74" i="3" s="1"/>
  <c r="V46" i="3"/>
  <c r="U46" i="3"/>
  <c r="T46" i="3"/>
  <c r="S46" i="3"/>
  <c r="O46" i="3"/>
  <c r="R46" i="3"/>
  <c r="Q46" i="3"/>
  <c r="P46" i="3"/>
  <c r="V36" i="3"/>
  <c r="U36" i="3"/>
  <c r="T36" i="3"/>
  <c r="P36" i="3"/>
  <c r="O36" i="3"/>
  <c r="R36" i="3"/>
  <c r="S36" i="3"/>
  <c r="Q36" i="3"/>
  <c r="V9" i="3"/>
  <c r="S9" i="3"/>
  <c r="U9" i="3"/>
  <c r="T9" i="3"/>
  <c r="R9" i="3"/>
  <c r="Q9" i="3"/>
  <c r="P9" i="3"/>
  <c r="O9" i="3"/>
  <c r="W9" i="3" s="1"/>
  <c r="V76" i="3"/>
  <c r="U76" i="3"/>
  <c r="P76" i="3"/>
  <c r="O76" i="3"/>
  <c r="T76" i="3"/>
  <c r="S76" i="3"/>
  <c r="R76" i="3"/>
  <c r="Q76" i="3"/>
  <c r="T17" i="3"/>
  <c r="S17" i="3"/>
  <c r="R17" i="3"/>
  <c r="Q17" i="3"/>
  <c r="O17" i="3"/>
  <c r="P17" i="3"/>
  <c r="V17" i="3"/>
  <c r="U17" i="3"/>
  <c r="J31" i="1"/>
  <c r="X2" i="1"/>
  <c r="V3" i="1" s="1"/>
  <c r="W48" i="3" l="1"/>
  <c r="W18" i="3"/>
  <c r="W84" i="3"/>
  <c r="W22" i="3"/>
  <c r="W37" i="3"/>
  <c r="W63" i="3"/>
  <c r="W43" i="3"/>
  <c r="W27" i="3"/>
  <c r="W11" i="3"/>
  <c r="W30" i="3"/>
  <c r="W29" i="3"/>
  <c r="W3" i="3"/>
  <c r="W72" i="3"/>
  <c r="W36" i="3"/>
  <c r="W55" i="3"/>
  <c r="W85" i="3"/>
  <c r="W60" i="3"/>
  <c r="W12" i="3"/>
  <c r="W73" i="3"/>
  <c r="W68" i="3"/>
  <c r="W4" i="3"/>
  <c r="W17" i="3"/>
  <c r="W53" i="3"/>
  <c r="W56" i="3"/>
  <c r="W70" i="3"/>
  <c r="W13" i="3"/>
  <c r="W77" i="3"/>
  <c r="W19" i="3"/>
  <c r="W80" i="3"/>
  <c r="W42" i="3"/>
  <c r="W28" i="3"/>
  <c r="W34" i="3"/>
  <c r="W15" i="3"/>
  <c r="W61" i="3"/>
  <c r="W65" i="3"/>
  <c r="W24" i="3"/>
  <c r="W51" i="3"/>
  <c r="W67" i="3"/>
  <c r="W32" i="3"/>
  <c r="W45" i="3"/>
  <c r="W20" i="3"/>
  <c r="W46" i="3"/>
  <c r="W5" i="3"/>
  <c r="W10" i="3"/>
  <c r="W26" i="3"/>
  <c r="W2" i="3"/>
  <c r="W81" i="3"/>
  <c r="W35" i="3"/>
  <c r="W82" i="3"/>
  <c r="W47" i="3"/>
  <c r="W52" i="3"/>
  <c r="W54" i="3"/>
  <c r="W23" i="3"/>
  <c r="W76" i="3"/>
  <c r="W78" i="3"/>
  <c r="W21" i="3"/>
  <c r="W38" i="3"/>
  <c r="W25" i="3"/>
  <c r="W62" i="3"/>
  <c r="W50" i="3"/>
  <c r="W7" i="3"/>
  <c r="W75" i="3"/>
  <c r="W31" i="3"/>
  <c r="W79" i="3"/>
  <c r="W57" i="3"/>
  <c r="W40" i="3"/>
  <c r="W44" i="3"/>
  <c r="W49" i="3"/>
  <c r="W41" i="3"/>
  <c r="V4" i="1"/>
  <c r="M23" i="1"/>
  <c r="M58" i="1"/>
  <c r="M78" i="1"/>
  <c r="M16" i="1"/>
  <c r="M50" i="1"/>
  <c r="M74" i="1"/>
  <c r="M81" i="1"/>
  <c r="M7" i="1"/>
  <c r="M27" i="1"/>
  <c r="N27" i="1" s="1"/>
  <c r="M42" i="1"/>
  <c r="M62" i="1"/>
  <c r="M11" i="1"/>
  <c r="M46" i="1"/>
  <c r="M66" i="1"/>
  <c r="M12" i="1"/>
  <c r="M47" i="1"/>
  <c r="M67" i="1"/>
  <c r="M70" i="1"/>
  <c r="M51" i="1"/>
  <c r="M63" i="1"/>
  <c r="M43" i="1"/>
  <c r="M79" i="1"/>
  <c r="M59" i="1"/>
  <c r="M39" i="1"/>
  <c r="M3" i="1"/>
  <c r="M15" i="1"/>
  <c r="M71" i="1"/>
  <c r="V8" i="1"/>
  <c r="V69" i="1"/>
  <c r="V71" i="1"/>
  <c r="V13" i="1"/>
  <c r="V14" i="1"/>
  <c r="V75" i="1"/>
  <c r="V50" i="1"/>
  <c r="V51" i="1"/>
  <c r="V78" i="1"/>
  <c r="V55" i="1"/>
  <c r="V57" i="1"/>
  <c r="V59" i="1"/>
  <c r="V68" i="1"/>
  <c r="V10" i="1"/>
  <c r="V11" i="1"/>
  <c r="V38" i="1"/>
  <c r="V74" i="1"/>
  <c r="V16" i="1"/>
  <c r="V17" i="1"/>
  <c r="V19" i="1"/>
  <c r="V52" i="1"/>
  <c r="V79" i="1"/>
  <c r="V56" i="1"/>
  <c r="V58" i="1"/>
  <c r="V60" i="1"/>
  <c r="V9" i="1"/>
  <c r="V70" i="1"/>
  <c r="V12" i="1"/>
  <c r="V73" i="1"/>
  <c r="V15" i="1"/>
  <c r="V76" i="1"/>
  <c r="V20" i="1"/>
  <c r="V53" i="1"/>
  <c r="V80" i="1"/>
  <c r="V28" i="1"/>
  <c r="V29" i="1"/>
  <c r="V30" i="1"/>
  <c r="V31" i="1"/>
  <c r="V32" i="1"/>
  <c r="V33" i="1"/>
  <c r="V34" i="1"/>
  <c r="V35" i="1"/>
  <c r="V36" i="1"/>
  <c r="V37" i="1"/>
  <c r="V72" i="1"/>
  <c r="V39" i="1"/>
  <c r="V40" i="1"/>
  <c r="V48" i="1"/>
  <c r="V49" i="1"/>
  <c r="V77" i="1"/>
  <c r="V18" i="1"/>
  <c r="V21" i="1"/>
  <c r="V54" i="1"/>
  <c r="V67" i="1"/>
  <c r="I81" i="1"/>
  <c r="I43" i="1"/>
  <c r="I42" i="1"/>
  <c r="I79" i="1"/>
  <c r="I4" i="1"/>
  <c r="I70" i="1"/>
  <c r="I67" i="1"/>
  <c r="I66" i="1"/>
  <c r="I63" i="1"/>
  <c r="I27" i="1"/>
  <c r="J27" i="1" s="1"/>
  <c r="I78" i="1"/>
  <c r="I58" i="1"/>
  <c r="I38" i="1"/>
  <c r="I23" i="1"/>
  <c r="I3" i="1"/>
  <c r="I8" i="1"/>
  <c r="I15" i="1"/>
  <c r="I7" i="1"/>
  <c r="I75" i="1"/>
  <c r="I55" i="1"/>
  <c r="I35" i="1"/>
  <c r="I20" i="1"/>
  <c r="I74" i="1"/>
  <c r="I19" i="1"/>
  <c r="I71" i="1"/>
  <c r="I47" i="1"/>
  <c r="I46" i="1"/>
  <c r="I28" i="1"/>
  <c r="J28" i="1" s="1"/>
  <c r="I62" i="1"/>
  <c r="V81" i="1"/>
  <c r="V82" i="1"/>
  <c r="V22" i="1"/>
  <c r="V23" i="1"/>
  <c r="V63" i="1"/>
  <c r="V83" i="1"/>
  <c r="V41" i="1"/>
  <c r="V42" i="1"/>
  <c r="V24" i="1"/>
  <c r="V64" i="1"/>
  <c r="V84" i="1"/>
  <c r="V5" i="1"/>
  <c r="V25" i="1"/>
  <c r="V45" i="1"/>
  <c r="V65" i="1"/>
  <c r="V85" i="1"/>
  <c r="V61" i="1"/>
  <c r="V62" i="1"/>
  <c r="V43" i="1"/>
  <c r="V6" i="1"/>
  <c r="V26" i="1"/>
  <c r="V46" i="1"/>
  <c r="V66" i="1"/>
  <c r="V86" i="1"/>
  <c r="V44" i="1"/>
  <c r="V7" i="1"/>
  <c r="V27" i="1"/>
  <c r="V47" i="1"/>
  <c r="E78" i="1"/>
  <c r="E74" i="1"/>
  <c r="E70" i="1"/>
  <c r="E66" i="1"/>
  <c r="E62" i="1"/>
  <c r="E58" i="1"/>
  <c r="E54" i="1"/>
  <c r="E50" i="1"/>
  <c r="E46" i="1"/>
  <c r="E42" i="1"/>
  <c r="E38" i="1"/>
  <c r="E34" i="1"/>
  <c r="E27" i="1"/>
  <c r="F27" i="1" s="1"/>
  <c r="E23" i="1"/>
  <c r="E19" i="1"/>
  <c r="E15" i="1"/>
  <c r="E11" i="1"/>
  <c r="E7" i="1"/>
  <c r="E3" i="1"/>
  <c r="E81" i="1"/>
  <c r="F81" i="1" s="1"/>
  <c r="E80" i="1"/>
  <c r="E79" i="1"/>
  <c r="E77" i="1"/>
  <c r="E76" i="1"/>
  <c r="E75" i="1"/>
  <c r="E73" i="1"/>
  <c r="E72" i="1"/>
  <c r="E71" i="1"/>
  <c r="E69" i="1"/>
  <c r="E68" i="1"/>
  <c r="E67" i="1"/>
  <c r="E65" i="1"/>
  <c r="E64" i="1"/>
  <c r="E63" i="1"/>
  <c r="E61" i="1"/>
  <c r="E60" i="1"/>
  <c r="E59" i="1"/>
  <c r="E57" i="1"/>
  <c r="E56" i="1"/>
  <c r="E55" i="1"/>
  <c r="E53" i="1"/>
  <c r="E52" i="1"/>
  <c r="E51" i="1"/>
  <c r="E49" i="1"/>
  <c r="E48" i="1"/>
  <c r="E47" i="1"/>
  <c r="E45" i="1"/>
  <c r="E44" i="1"/>
  <c r="E43" i="1"/>
  <c r="E41" i="1"/>
  <c r="E40" i="1"/>
  <c r="E39" i="1"/>
  <c r="E37" i="1"/>
  <c r="E36" i="1"/>
  <c r="F36" i="1" s="1"/>
  <c r="E35" i="1"/>
  <c r="E33" i="1"/>
  <c r="E32" i="1"/>
  <c r="E31" i="1"/>
  <c r="E30" i="1"/>
  <c r="E29" i="1"/>
  <c r="F29" i="1" s="1"/>
  <c r="E28" i="1"/>
  <c r="F28" i="1" s="1"/>
  <c r="E26" i="1"/>
  <c r="F26" i="1" s="1"/>
  <c r="E25" i="1"/>
  <c r="F25" i="1" s="1"/>
  <c r="E24" i="1"/>
  <c r="E22" i="1"/>
  <c r="E21" i="1"/>
  <c r="E20" i="1"/>
  <c r="E18" i="1"/>
  <c r="E17" i="1"/>
  <c r="E16" i="1"/>
  <c r="E14" i="1"/>
  <c r="E13" i="1"/>
  <c r="E12" i="1"/>
  <c r="E10" i="1"/>
  <c r="F10" i="1" s="1"/>
  <c r="E9" i="1"/>
  <c r="F9" i="1" s="1"/>
  <c r="E8" i="1"/>
  <c r="E6" i="1"/>
  <c r="E5" i="1"/>
  <c r="E4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M75" i="1"/>
  <c r="M55" i="1"/>
  <c r="M54" i="1"/>
  <c r="M38" i="1"/>
  <c r="M35" i="1"/>
  <c r="M34" i="1"/>
  <c r="M31" i="1"/>
  <c r="M28" i="1"/>
  <c r="N28" i="1" s="1"/>
  <c r="M24" i="1"/>
  <c r="M20" i="1"/>
  <c r="M19" i="1"/>
  <c r="M8" i="1"/>
  <c r="M4" i="1"/>
  <c r="I59" i="1"/>
  <c r="I54" i="1"/>
  <c r="I51" i="1"/>
  <c r="I50" i="1"/>
  <c r="I39" i="1"/>
  <c r="I34" i="1"/>
  <c r="I24" i="1"/>
  <c r="I16" i="1"/>
  <c r="I12" i="1"/>
  <c r="I11" i="1"/>
  <c r="X2" i="3" l="1"/>
  <c r="F79" i="1"/>
  <c r="F41" i="1"/>
  <c r="F37" i="1"/>
  <c r="F31" i="1"/>
  <c r="F33" i="1"/>
  <c r="F39" i="1"/>
  <c r="I5" i="1"/>
  <c r="I9" i="1"/>
  <c r="J9" i="1" s="1"/>
  <c r="I13" i="1"/>
  <c r="I17" i="1"/>
  <c r="I21" i="1"/>
  <c r="I25" i="1"/>
  <c r="J25" i="1" s="1"/>
  <c r="I29" i="1"/>
  <c r="J29" i="1" s="1"/>
  <c r="I36" i="1"/>
  <c r="J36" i="1" s="1"/>
  <c r="I40" i="1"/>
  <c r="J39" i="1" s="1"/>
  <c r="I44" i="1"/>
  <c r="I48" i="1"/>
  <c r="I52" i="1"/>
  <c r="I56" i="1"/>
  <c r="I60" i="1"/>
  <c r="I64" i="1"/>
  <c r="I68" i="1"/>
  <c r="I72" i="1"/>
  <c r="I76" i="1"/>
  <c r="I80" i="1"/>
  <c r="M5" i="1"/>
  <c r="M9" i="1"/>
  <c r="N9" i="1" s="1"/>
  <c r="M13" i="1"/>
  <c r="M17" i="1"/>
  <c r="M21" i="1"/>
  <c r="M25" i="1"/>
  <c r="N25" i="1" s="1"/>
  <c r="M29" i="1"/>
  <c r="N29" i="1" s="1"/>
  <c r="M32" i="1"/>
  <c r="N31" i="1" s="1"/>
  <c r="M36" i="1"/>
  <c r="N36" i="1" s="1"/>
  <c r="M40" i="1"/>
  <c r="N39" i="1" s="1"/>
  <c r="M44" i="1"/>
  <c r="M48" i="1"/>
  <c r="M52" i="1"/>
  <c r="M56" i="1"/>
  <c r="M60" i="1"/>
  <c r="M64" i="1"/>
  <c r="M68" i="1"/>
  <c r="M72" i="1"/>
  <c r="M76" i="1"/>
  <c r="M80" i="1"/>
  <c r="I6" i="1"/>
  <c r="I10" i="1"/>
  <c r="J10" i="1" s="1"/>
  <c r="I14" i="1"/>
  <c r="I18" i="1"/>
  <c r="I22" i="1"/>
  <c r="I26" i="1"/>
  <c r="J26" i="1" s="1"/>
  <c r="I30" i="1"/>
  <c r="I33" i="1"/>
  <c r="J33" i="1" s="1"/>
  <c r="I37" i="1"/>
  <c r="J37" i="1" s="1"/>
  <c r="I41" i="1"/>
  <c r="J41" i="1" s="1"/>
  <c r="I45" i="1"/>
  <c r="I49" i="1"/>
  <c r="I53" i="1"/>
  <c r="I57" i="1"/>
  <c r="I61" i="1"/>
  <c r="I65" i="1"/>
  <c r="I69" i="1"/>
  <c r="I73" i="1"/>
  <c r="I77" i="1"/>
  <c r="M6" i="1"/>
  <c r="M10" i="1"/>
  <c r="N10" i="1" s="1"/>
  <c r="M14" i="1"/>
  <c r="M18" i="1"/>
  <c r="M22" i="1"/>
  <c r="M26" i="1"/>
  <c r="N26" i="1" s="1"/>
  <c r="M30" i="1"/>
  <c r="M33" i="1"/>
  <c r="N33" i="1" s="1"/>
  <c r="M37" i="1"/>
  <c r="N37" i="1" s="1"/>
  <c r="M41" i="1"/>
  <c r="N41" i="1" s="1"/>
  <c r="M45" i="1"/>
  <c r="M49" i="1"/>
  <c r="M53" i="1"/>
  <c r="M57" i="1"/>
  <c r="M61" i="1"/>
  <c r="M65" i="1"/>
  <c r="M69" i="1"/>
  <c r="M73" i="1"/>
  <c r="M77" i="1"/>
  <c r="Y2" i="3" l="1"/>
  <c r="X3" i="3" s="1"/>
  <c r="Y3" i="3" l="1"/>
  <c r="X4" i="3" s="1"/>
  <c r="Z2" i="3"/>
  <c r="AA2" i="3" s="1"/>
  <c r="Z3" i="3"/>
  <c r="AA3" i="3" s="1"/>
  <c r="Y4" i="3" l="1"/>
  <c r="X5" i="3"/>
  <c r="Y5" i="3" l="1"/>
  <c r="X6" i="3" s="1"/>
  <c r="Z4" i="3"/>
  <c r="AA4" i="3" s="1"/>
  <c r="Z5" i="3" l="1"/>
  <c r="AA5" i="3" s="1"/>
  <c r="Y6" i="3"/>
  <c r="X7" i="3" s="1"/>
  <c r="Y7" i="3" l="1"/>
  <c r="X8" i="3"/>
  <c r="Z6" i="3"/>
  <c r="AA6" i="3" s="1"/>
  <c r="Z7" i="3"/>
  <c r="AA7" i="3" s="1"/>
  <c r="Y8" i="3" l="1"/>
  <c r="X9" i="3"/>
  <c r="Y9" i="3" s="1"/>
  <c r="X10" i="3" s="1"/>
  <c r="Y10" i="3" s="1"/>
  <c r="X11" i="3" s="1"/>
  <c r="Y11" i="3" s="1"/>
  <c r="X12" i="3" s="1"/>
  <c r="Z15" i="3"/>
  <c r="AA15" i="3" s="1"/>
  <c r="Z14" i="3" l="1"/>
  <c r="AA14" i="3" s="1"/>
  <c r="Y12" i="3"/>
  <c r="X13" i="3" s="1"/>
  <c r="Z12" i="3"/>
  <c r="AA12" i="3" s="1"/>
  <c r="Z8" i="3"/>
  <c r="AA8" i="3" s="1"/>
  <c r="Z11" i="3"/>
  <c r="AA11" i="3" s="1"/>
  <c r="Z10" i="3"/>
  <c r="AA10" i="3" s="1"/>
  <c r="Z9" i="3"/>
  <c r="AA9" i="3" s="1"/>
  <c r="Z13" i="3"/>
  <c r="AA13" i="3" s="1"/>
  <c r="Y13" i="3" l="1"/>
  <c r="X14" i="3"/>
  <c r="Y14" i="3" s="1"/>
  <c r="X15" i="3" s="1"/>
  <c r="Y15" i="3" s="1"/>
  <c r="X16" i="3" s="1"/>
  <c r="Y16" i="3" s="1"/>
  <c r="Z16" i="3"/>
  <c r="AA16" i="3" s="1"/>
  <c r="X17" i="3" l="1"/>
  <c r="Y17" i="3" s="1"/>
  <c r="Z17" i="3" l="1"/>
  <c r="AA17" i="3" s="1"/>
  <c r="X18" i="3"/>
  <c r="Y18" i="3" s="1"/>
  <c r="X19" i="3" l="1"/>
  <c r="Y19" i="3" s="1"/>
  <c r="Z18" i="3"/>
  <c r="AA18" i="3" s="1"/>
  <c r="X20" i="3" l="1"/>
  <c r="Z19" i="3"/>
  <c r="AA19" i="3" s="1"/>
  <c r="Z20" i="3" l="1"/>
  <c r="AA20" i="3" s="1"/>
  <c r="Y20" i="3"/>
</calcChain>
</file>

<file path=xl/sharedStrings.xml><?xml version="1.0" encoding="utf-8"?>
<sst xmlns="http://schemas.openxmlformats.org/spreadsheetml/2006/main" count="773" uniqueCount="455">
  <si>
    <t>0F</t>
  </si>
  <si>
    <t>Offset</t>
  </si>
  <si>
    <t>Hex</t>
  </si>
  <si>
    <t>Dec</t>
  </si>
  <si>
    <t>Inter.</t>
  </si>
  <si>
    <t>04</t>
  </si>
  <si>
    <t>03</t>
  </si>
  <si>
    <t>00</t>
  </si>
  <si>
    <t>78</t>
  </si>
  <si>
    <t>05</t>
  </si>
  <si>
    <t>01</t>
  </si>
  <si>
    <t>20</t>
  </si>
  <si>
    <t>46</t>
  </si>
  <si>
    <t>12</t>
  </si>
  <si>
    <t>08</t>
  </si>
  <si>
    <t>02</t>
  </si>
  <si>
    <t>HP</t>
  </si>
  <si>
    <t>Attack</t>
  </si>
  <si>
    <t>Speed</t>
  </si>
  <si>
    <t>Special Attack</t>
  </si>
  <si>
    <t>Special Defense</t>
  </si>
  <si>
    <t>Defense</t>
  </si>
  <si>
    <t>Type 1</t>
  </si>
  <si>
    <t>Type 2</t>
  </si>
  <si>
    <t>Hatch Cycles</t>
  </si>
  <si>
    <t>Gender</t>
  </si>
  <si>
    <t>Height in decimeters</t>
  </si>
  <si>
    <t>Mass in decigrams</t>
  </si>
  <si>
    <t>Base Exp.</t>
  </si>
  <si>
    <t>Field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</si>
  <si>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</si>
  <si>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</si>
  <si>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</si>
  <si>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</si>
  <si>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</si>
  <si>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</si>
  <si>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</si>
  <si>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</si>
  <si>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</si>
  <si>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</si>
  <si>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</si>
  <si>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</si>
  <si>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</si>
  <si>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</si>
  <si>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</si>
  <si>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</si>
  <si>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</si>
  <si>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2D</t>
  </si>
  <si>
    <t>14</t>
  </si>
  <si>
    <t>41</t>
  </si>
  <si>
    <t>9A</t>
  </si>
  <si>
    <t>82</t>
  </si>
  <si>
    <t>Catch Rate</t>
  </si>
  <si>
    <t>Monster</t>
  </si>
  <si>
    <t>Water 1 (Amphibious)</t>
  </si>
  <si>
    <t>Fairy</t>
  </si>
  <si>
    <t>Humanoid</t>
  </si>
  <si>
    <t>Water 3 (Aquatic Invertebrate)</t>
  </si>
  <si>
    <t>Mineral</t>
  </si>
  <si>
    <t>Amorphous</t>
  </si>
  <si>
    <t>Water 2 (Piscine)</t>
  </si>
  <si>
    <t>Ditto</t>
  </si>
  <si>
    <t>Undiscovered</t>
  </si>
  <si>
    <t>Effort Values</t>
  </si>
  <si>
    <t>Item 1</t>
  </si>
  <si>
    <t>Item 2</t>
  </si>
  <si>
    <t>Base Friendship</t>
  </si>
  <si>
    <t>Level curve</t>
  </si>
  <si>
    <t>Egg Group 1</t>
  </si>
  <si>
    <t>Egg Group 2</t>
  </si>
  <si>
    <t>Ability 1</t>
  </si>
  <si>
    <t>Ability 2</t>
  </si>
  <si>
    <t>Ability 3</t>
  </si>
  <si>
    <t>Stench</t>
  </si>
  <si>
    <t>Drizzle</t>
  </si>
  <si>
    <t>Speed Boost</t>
  </si>
  <si>
    <t>Battle Armor</t>
  </si>
  <si>
    <t>Sturdy</t>
  </si>
  <si>
    <t>Damp</t>
  </si>
  <si>
    <t>Limber</t>
  </si>
  <si>
    <t>Sand Veil</t>
  </si>
  <si>
    <t>Static</t>
  </si>
  <si>
    <t>Volt Absorb</t>
  </si>
  <si>
    <t>Water Absorb</t>
  </si>
  <si>
    <t>Oblivious</t>
  </si>
  <si>
    <t>Cloud Nine</t>
  </si>
  <si>
    <t>Compound Eyes</t>
  </si>
  <si>
    <t>Insomnia</t>
  </si>
  <si>
    <t>Color Change</t>
  </si>
  <si>
    <t>Immunity</t>
  </si>
  <si>
    <t>Flash Fire</t>
  </si>
  <si>
    <t>Shield Dust</t>
  </si>
  <si>
    <t>Own Tempo</t>
  </si>
  <si>
    <t>Suction Cups</t>
  </si>
  <si>
    <t>Intimidate</t>
  </si>
  <si>
    <t>Shadow Tag</t>
  </si>
  <si>
    <t>Rough Skin</t>
  </si>
  <si>
    <t>Wonder Guard</t>
  </si>
  <si>
    <t>Levitate</t>
  </si>
  <si>
    <t>Effect Spore</t>
  </si>
  <si>
    <t>Synchronize</t>
  </si>
  <si>
    <t>Clear Body</t>
  </si>
  <si>
    <t>Natural Cure</t>
  </si>
  <si>
    <t>Lightning Rod</t>
  </si>
  <si>
    <t>Serene Grace</t>
  </si>
  <si>
    <t>Swift Swim</t>
  </si>
  <si>
    <t>Chlorophyll</t>
  </si>
  <si>
    <t>Illuminate</t>
  </si>
  <si>
    <t>Trace</t>
  </si>
  <si>
    <t>Huge Power</t>
  </si>
  <si>
    <t>Poison Point</t>
  </si>
  <si>
    <t>Inner Focus</t>
  </si>
  <si>
    <t>Magma Armor</t>
  </si>
  <si>
    <t>Water Veil</t>
  </si>
  <si>
    <t>Magnet Pull</t>
  </si>
  <si>
    <t>Soundproof</t>
  </si>
  <si>
    <t>Rain Dish</t>
  </si>
  <si>
    <t>Sand Stream</t>
  </si>
  <si>
    <t>Pressure</t>
  </si>
  <si>
    <t>Thick Fat</t>
  </si>
  <si>
    <t>Early Bird</t>
  </si>
  <si>
    <t>Flame Body</t>
  </si>
  <si>
    <t>Run Away</t>
  </si>
  <si>
    <t>Keen Eye</t>
  </si>
  <si>
    <t>Hyper Cutter</t>
  </si>
  <si>
    <t>Pickup</t>
  </si>
  <si>
    <t>Truant</t>
  </si>
  <si>
    <t>Hustle</t>
  </si>
  <si>
    <t>Cute Charm</t>
  </si>
  <si>
    <t>Plus</t>
  </si>
  <si>
    <t>Minus</t>
  </si>
  <si>
    <t>Forecast</t>
  </si>
  <si>
    <t>Sticky Hold</t>
  </si>
  <si>
    <t>Shed Skin</t>
  </si>
  <si>
    <t>Guts</t>
  </si>
  <si>
    <t>Marvel Scale</t>
  </si>
  <si>
    <t>Liquid Ooze</t>
  </si>
  <si>
    <t>Overgrow</t>
  </si>
  <si>
    <t>Blaze</t>
  </si>
  <si>
    <t>Torrent</t>
  </si>
  <si>
    <t>Swarm</t>
  </si>
  <si>
    <t>Rock Head</t>
  </si>
  <si>
    <t>Drought</t>
  </si>
  <si>
    <t>Arena Trap</t>
  </si>
  <si>
    <t>Vital Spirit</t>
  </si>
  <si>
    <t>White Smoke</t>
  </si>
  <si>
    <t>Pure Power</t>
  </si>
  <si>
    <t>Shell Armor</t>
  </si>
  <si>
    <t>Air Lock</t>
  </si>
  <si>
    <t>Tangled Feet</t>
  </si>
  <si>
    <t>Motor Drive</t>
  </si>
  <si>
    <t>Rivalry</t>
  </si>
  <si>
    <t>Steadfast</t>
  </si>
  <si>
    <t>Snow Cloak</t>
  </si>
  <si>
    <t>Gluttony</t>
  </si>
  <si>
    <t>Anger Point</t>
  </si>
  <si>
    <t>Unburden</t>
  </si>
  <si>
    <t>Heatproof</t>
  </si>
  <si>
    <t>Simple</t>
  </si>
  <si>
    <t>Dry Skin</t>
  </si>
  <si>
    <t>Download</t>
  </si>
  <si>
    <t>Iron Fist</t>
  </si>
  <si>
    <t>Poison Heal</t>
  </si>
  <si>
    <t>Adaptability</t>
  </si>
  <si>
    <t>Skill Link</t>
  </si>
  <si>
    <t>Hydration</t>
  </si>
  <si>
    <t>Solar Power</t>
  </si>
  <si>
    <t>Quick Feet</t>
  </si>
  <si>
    <t>Normalize</t>
  </si>
  <si>
    <t>Sniper</t>
  </si>
  <si>
    <t>Magic Guard</t>
  </si>
  <si>
    <t>No Guard</t>
  </si>
  <si>
    <t>Stall</t>
  </si>
  <si>
    <t>Technician</t>
  </si>
  <si>
    <t>Leaf Guard</t>
  </si>
  <si>
    <t>Klutz</t>
  </si>
  <si>
    <t>Mold Breaker</t>
  </si>
  <si>
    <t>Super Luck</t>
  </si>
  <si>
    <t>Aftermath</t>
  </si>
  <si>
    <t>Anticipation</t>
  </si>
  <si>
    <t>Forewarn</t>
  </si>
  <si>
    <t>Unaware</t>
  </si>
  <si>
    <t>Tinted Lens</t>
  </si>
  <si>
    <t>Filter</t>
  </si>
  <si>
    <t>Slow Start</t>
  </si>
  <si>
    <t>Scrappy</t>
  </si>
  <si>
    <t>Storm Drain</t>
  </si>
  <si>
    <t>Ice Body</t>
  </si>
  <si>
    <t>Solid Rock</t>
  </si>
  <si>
    <t>Snow Warning</t>
  </si>
  <si>
    <t>Honey Gather</t>
  </si>
  <si>
    <t>Frisk</t>
  </si>
  <si>
    <t>Reckless</t>
  </si>
  <si>
    <t>Multitype</t>
  </si>
  <si>
    <t>Flower Gift</t>
  </si>
  <si>
    <t>Bad Dreams</t>
  </si>
  <si>
    <t>Pickpocket</t>
  </si>
  <si>
    <t>Sheer Force</t>
  </si>
  <si>
    <t>Contrary</t>
  </si>
  <si>
    <t>Unnerve</t>
  </si>
  <si>
    <t>Defiant</t>
  </si>
  <si>
    <t>Defeatist</t>
  </si>
  <si>
    <t>Cursed Body</t>
  </si>
  <si>
    <t>Healer</t>
  </si>
  <si>
    <t>Friend Guard</t>
  </si>
  <si>
    <t>Weak Armor</t>
  </si>
  <si>
    <t>Heavy Metal</t>
  </si>
  <si>
    <t>Light Metal</t>
  </si>
  <si>
    <t>Multiscale</t>
  </si>
  <si>
    <t>Toxic Boost</t>
  </si>
  <si>
    <t>Flare Boost</t>
  </si>
  <si>
    <t>Harvest</t>
  </si>
  <si>
    <t>Telepathy</t>
  </si>
  <si>
    <t>Moody</t>
  </si>
  <si>
    <t>Overcoat</t>
  </si>
  <si>
    <t>Poison Touch</t>
  </si>
  <si>
    <t>Regenerator</t>
  </si>
  <si>
    <t>Big Pecks</t>
  </si>
  <si>
    <t>Sand Rush</t>
  </si>
  <si>
    <t>Wonder Skin</t>
  </si>
  <si>
    <t>Analytic</t>
  </si>
  <si>
    <t>Illusion</t>
  </si>
  <si>
    <t>Imposter</t>
  </si>
  <si>
    <t>Infiltrator</t>
  </si>
  <si>
    <t>Mummy</t>
  </si>
  <si>
    <t>Moxie</t>
  </si>
  <si>
    <t>Justified</t>
  </si>
  <si>
    <t>Rattled</t>
  </si>
  <si>
    <t>Magic Bounce</t>
  </si>
  <si>
    <t>Sap Sipper</t>
  </si>
  <si>
    <t>Prankster</t>
  </si>
  <si>
    <t>Sand Force</t>
  </si>
  <si>
    <t>Iron Barbs</t>
  </si>
  <si>
    <t>Zen Mode</t>
  </si>
  <si>
    <t>Victory Star</t>
  </si>
  <si>
    <t>Turboblaze</t>
  </si>
  <si>
    <t>Teravolt</t>
  </si>
  <si>
    <t>Aroma Veil</t>
  </si>
  <si>
    <t>Flower Veil</t>
  </si>
  <si>
    <t>Cheek Pouch</t>
  </si>
  <si>
    <t>Protean</t>
  </si>
  <si>
    <t>Fur Coat</t>
  </si>
  <si>
    <t>Magician</t>
  </si>
  <si>
    <t>Bulletproof</t>
  </si>
  <si>
    <t>Competitive</t>
  </si>
  <si>
    <t>Strong Jaw</t>
  </si>
  <si>
    <t>Refrigerate</t>
  </si>
  <si>
    <t>Sweet Veil</t>
  </si>
  <si>
    <t>Stance Change</t>
  </si>
  <si>
    <t>Gale Wings</t>
  </si>
  <si>
    <t>Mega Launcher</t>
  </si>
  <si>
    <t>Grass Pelt</t>
  </si>
  <si>
    <t>Symbiosis</t>
  </si>
  <si>
    <t>Tough Claws</t>
  </si>
  <si>
    <t>Pixilate</t>
  </si>
  <si>
    <t>Gooey</t>
  </si>
  <si>
    <t>Aerilate</t>
  </si>
  <si>
    <t>Parental Bond</t>
  </si>
  <si>
    <t>Dark Aura</t>
  </si>
  <si>
    <t>Fairy Aura</t>
  </si>
  <si>
    <t>Aura Break</t>
  </si>
  <si>
    <t>Primordial Sea</t>
  </si>
  <si>
    <t>Desolate Land</t>
  </si>
  <si>
    <t>Delta Stream</t>
  </si>
  <si>
    <t>Stamina</t>
  </si>
  <si>
    <t>Wimp Out</t>
  </si>
  <si>
    <t>Emergency Exit</t>
  </si>
  <si>
    <t>Water Compaction</t>
  </si>
  <si>
    <t>Merciless</t>
  </si>
  <si>
    <t>Shields Down</t>
  </si>
  <si>
    <t>Stakeout</t>
  </si>
  <si>
    <t>Water Bubble</t>
  </si>
  <si>
    <t>Steelworker</t>
  </si>
  <si>
    <t>Berserk</t>
  </si>
  <si>
    <t>Slush Rush</t>
  </si>
  <si>
    <t>Long Reach</t>
  </si>
  <si>
    <t>Liquid Voice</t>
  </si>
  <si>
    <t>Triage</t>
  </si>
  <si>
    <t>Galvanize</t>
  </si>
  <si>
    <t>Surge Surfer</t>
  </si>
  <si>
    <t>Schooling</t>
  </si>
  <si>
    <t>Disguise</t>
  </si>
  <si>
    <t>Battle Bond</t>
  </si>
  <si>
    <t>Power Construct</t>
  </si>
  <si>
    <t>Corrosion</t>
  </si>
  <si>
    <t>Comatose</t>
  </si>
  <si>
    <t>Queenly Majesty</t>
  </si>
  <si>
    <t>Innards Out</t>
  </si>
  <si>
    <t>Dancer</t>
  </si>
  <si>
    <t>Battery</t>
  </si>
  <si>
    <t>Fluffy</t>
  </si>
  <si>
    <t>Dazzling</t>
  </si>
  <si>
    <t>Soul-Heart</t>
  </si>
  <si>
    <t>Tangling Hair</t>
  </si>
  <si>
    <t>Receiver</t>
  </si>
  <si>
    <t>Power of Alchemy</t>
  </si>
  <si>
    <t>Beast Boost</t>
  </si>
  <si>
    <t>RKS System</t>
  </si>
  <si>
    <t>Electric Surge</t>
  </si>
  <si>
    <t>Psychic Surge</t>
  </si>
  <si>
    <t>Misty Surge</t>
  </si>
  <si>
    <t>Grassy Surge</t>
  </si>
  <si>
    <t>Full Metal Body</t>
  </si>
  <si>
    <t>Shadow Shield</t>
  </si>
  <si>
    <t>Prism Armor</t>
  </si>
  <si>
    <t>Neuroforce</t>
  </si>
  <si>
    <t>7F</t>
  </si>
  <si>
    <t>10</t>
  </si>
  <si>
    <t>09</t>
  </si>
  <si>
    <t>Color</t>
  </si>
  <si>
    <t>Red</t>
  </si>
  <si>
    <t>Blue</t>
  </si>
  <si>
    <t>Yellow</t>
  </si>
  <si>
    <t>Green</t>
  </si>
  <si>
    <t>Black</t>
  </si>
  <si>
    <t>Brown</t>
  </si>
  <si>
    <t>Purple</t>
  </si>
  <si>
    <t>Gray</t>
  </si>
  <si>
    <t>White</t>
  </si>
  <si>
    <t>Pink</t>
  </si>
  <si>
    <t>0C</t>
  </si>
  <si>
    <t>Z-Move</t>
  </si>
  <si>
    <t>Base Move</t>
  </si>
  <si>
    <t>Z-Crystal</t>
  </si>
  <si>
    <t>Forme Count</t>
  </si>
  <si>
    <t>Item 3</t>
  </si>
  <si>
    <t>Flee Rate</t>
  </si>
  <si>
    <t>BD</t>
  </si>
  <si>
    <t>C5</t>
  </si>
  <si>
    <t>18</t>
  </si>
  <si>
    <t>7E</t>
  </si>
  <si>
    <t>0B</t>
  </si>
  <si>
    <t>39</t>
  </si>
  <si>
    <t>58</t>
  </si>
  <si>
    <t>9B</t>
  </si>
  <si>
    <t>21</t>
  </si>
  <si>
    <t>6A</t>
  </si>
  <si>
    <t>6D</t>
  </si>
  <si>
    <t>68</t>
  </si>
  <si>
    <t>4F</t>
  </si>
  <si>
    <t>13</t>
  </si>
  <si>
    <t>8C</t>
  </si>
  <si>
    <t>67</t>
  </si>
  <si>
    <t>C2</t>
  </si>
  <si>
    <t>89</t>
  </si>
  <si>
    <t>88</t>
  </si>
  <si>
    <t>C0</t>
  </si>
  <si>
    <t>30</t>
  </si>
  <si>
    <t>51</t>
  </si>
  <si>
    <t>Forme Sprite</t>
  </si>
  <si>
    <t>6A586441876A0C0C2D0300030000000000007F1446030105090939004F0300000202E6008C00670220C29BC5009A89058821C0120800000000000000103010512118820004000000000000000000000000000000</t>
  </si>
  <si>
    <t>64</t>
  </si>
  <si>
    <t>87</t>
  </si>
  <si>
    <t>E6</t>
  </si>
  <si>
    <t>07</t>
  </si>
  <si>
    <t>FF</t>
  </si>
  <si>
    <t>1F</t>
  </si>
  <si>
    <t>A6</t>
  </si>
  <si>
    <t>Evolution Stage</t>
  </si>
  <si>
    <t>4A</t>
  </si>
  <si>
    <t>BaseEXP</t>
  </si>
  <si>
    <t>FormeCount</t>
  </si>
  <si>
    <t>FormeSprite2</t>
  </si>
  <si>
    <t>FormeSprite1</t>
  </si>
  <si>
    <t>FormeStatsIndex2</t>
  </si>
  <si>
    <t>FormeStatsIndex1</t>
  </si>
  <si>
    <t>EscapeRate</t>
  </si>
  <si>
    <t>Ability3</t>
  </si>
  <si>
    <t>Ability2</t>
  </si>
  <si>
    <t>Ability1</t>
  </si>
  <si>
    <t>EggGroup2</t>
  </si>
  <si>
    <t>EggGroup1</t>
  </si>
  <si>
    <t>EXPGrowth</t>
  </si>
  <si>
    <t>BaseFriendship</t>
  </si>
  <si>
    <t>HatchCycles</t>
  </si>
  <si>
    <t>Gender%</t>
  </si>
  <si>
    <t>Item3</t>
  </si>
  <si>
    <t>Item2</t>
  </si>
  <si>
    <t>Item1</t>
  </si>
  <si>
    <t>EvYield</t>
  </si>
  <si>
    <t>EvoStage</t>
  </si>
  <si>
    <t>CatchRate</t>
  </si>
  <si>
    <t>Type2</t>
  </si>
  <si>
    <t>Type1</t>
  </si>
  <si>
    <t>SPD</t>
  </si>
  <si>
    <t>SPA</t>
  </si>
  <si>
    <t>SPE</t>
  </si>
  <si>
    <t>DEF</t>
  </si>
  <si>
    <t>ATK</t>
  </si>
  <si>
    <t>5D40</t>
  </si>
  <si>
    <t>0</t>
  </si>
  <si>
    <t>Means</t>
  </si>
  <si>
    <t>Forme pointer</t>
  </si>
  <si>
    <t>28</t>
  </si>
  <si>
    <t>40</t>
  </si>
  <si>
    <t>81</t>
  </si>
  <si>
    <t>48</t>
  </si>
  <si>
    <t>2A</t>
  </si>
  <si>
    <t>AB</t>
  </si>
  <si>
    <t>7C</t>
  </si>
  <si>
    <t>1D</t>
  </si>
  <si>
    <t>5A</t>
  </si>
  <si>
    <t>0D</t>
  </si>
  <si>
    <t>DD</t>
  </si>
  <si>
    <t>D5</t>
  </si>
  <si>
    <t>90</t>
  </si>
  <si>
    <t>79</t>
  </si>
  <si>
    <t>8A</t>
  </si>
  <si>
    <t>B4</t>
  </si>
  <si>
    <t>1B</t>
  </si>
  <si>
    <t>FD</t>
  </si>
  <si>
    <t>F7</t>
  </si>
  <si>
    <t>C3</t>
  </si>
  <si>
    <t>F6</t>
  </si>
  <si>
    <t>5B</t>
  </si>
  <si>
    <t>F0</t>
  </si>
  <si>
    <t>CF</t>
  </si>
  <si>
    <t>F9</t>
  </si>
  <si>
    <t>83</t>
  </si>
  <si>
    <t>6E</t>
  </si>
  <si>
    <t>9D</t>
  </si>
  <si>
    <t>7B</t>
  </si>
  <si>
    <t>A7</t>
  </si>
  <si>
    <t>D3</t>
  </si>
  <si>
    <t>F2</t>
  </si>
  <si>
    <t>2E</t>
  </si>
  <si>
    <t>3D</t>
  </si>
  <si>
    <t>22</t>
  </si>
  <si>
    <t>33</t>
  </si>
  <si>
    <t>45</t>
  </si>
  <si>
    <t>F8</t>
  </si>
  <si>
    <t>23</t>
  </si>
  <si>
    <t>86</t>
  </si>
  <si>
    <t>4C</t>
  </si>
  <si>
    <t>A9</t>
  </si>
  <si>
    <t>C8</t>
  </si>
  <si>
    <t>C4</t>
  </si>
  <si>
    <t>06</t>
  </si>
  <si>
    <t>94</t>
  </si>
  <si>
    <t>Galarian Slowking</t>
  </si>
  <si>
    <t>Bulbasaur</t>
  </si>
  <si>
    <t>2A 2E 2E 2A 3D 3D 0B 03 2D 01 00 01 00 00 00 00 00 00 1F 14 46 03 01 07 41 A6 22 00 28 03 00 00 03 03 2B 00 46 00 45 00 F8 87 23 86 9B 9A 30 4C 00 28 A9 22 09 00 00 00 09 00 00 00 40 00 C8 C0 C4 2A 06 01 C2 94 00 00 00 00 00 00 00 00 00 00 00 00 00 00</t>
  </si>
  <si>
    <t>TM 97 - 100, HM 1-4</t>
  </si>
  <si>
    <t>HM 5 - 12</t>
  </si>
  <si>
    <t>HM 13 - 20</t>
  </si>
  <si>
    <t>HM 21 - 28</t>
  </si>
  <si>
    <t>Tutor 1</t>
  </si>
  <si>
    <t>Tutor 2</t>
  </si>
  <si>
    <t>Tutor 3</t>
  </si>
  <si>
    <t>Special Tutors</t>
  </si>
  <si>
    <t>Tutor 5 (mod)</t>
  </si>
  <si>
    <t>Tutor 4 (mod)</t>
  </si>
  <si>
    <t>Regional Forme bitflag</t>
  </si>
  <si>
    <t>Offset (dec)</t>
  </si>
  <si>
    <t>Offset (Hex)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</si>
</sst>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0AA1-3FAC-478C-886B-ED3711A634AE}">
  <dimension ref="A1:C86"/>
  <sheetViews>
    <sheetView tabSelected="1" workbookViewId="0">
      <selection activeCell="C1" sqref="C1"/>
    </sheetView>
  </sheetViews>
  <sheetFormatPr defaultRowHeight="14.6" x14ac:dyDescent="0.4"/>
  <cols>
    <col min="1" max="1" width="10.4609375" bestFit="1" customWidth="1"/>
    <col min="2" max="2" width="10.61328125" bestFit="1" customWidth="1"/>
    <col min="3" max="3" width="19.3828125" bestFit="1" customWidth="1"/>
  </cols>
  <sheetData>
    <row r="1" spans="1:3" x14ac:dyDescent="0.4">
      <c r="A1" t="s">
        <v>453</v>
      </c>
      <c r="B1" t="s">
        <v>454</v>
      </c>
      <c r="C1" t="s">
        <v>29</v>
      </c>
    </row>
    <row r="3" spans="1:3" x14ac:dyDescent="0.4">
      <c r="A3">
        <v>0</v>
      </c>
      <c r="B3" t="str">
        <f>DEC2HEX(A3)</f>
        <v>0</v>
      </c>
      <c r="C3" t="s">
        <v>16</v>
      </c>
    </row>
    <row r="4" spans="1:3" x14ac:dyDescent="0.4">
      <c r="A4">
        <v>1</v>
      </c>
      <c r="B4" t="str">
        <f t="shared" ref="B4:B67" si="0">DEC2HEX(A4)</f>
        <v>1</v>
      </c>
      <c r="C4" t="s">
        <v>17</v>
      </c>
    </row>
    <row r="5" spans="1:3" x14ac:dyDescent="0.4">
      <c r="A5">
        <v>2</v>
      </c>
      <c r="B5" t="str">
        <f t="shared" si="0"/>
        <v>2</v>
      </c>
      <c r="C5" t="s">
        <v>21</v>
      </c>
    </row>
    <row r="6" spans="1:3" x14ac:dyDescent="0.4">
      <c r="A6">
        <v>3</v>
      </c>
      <c r="B6" t="str">
        <f t="shared" si="0"/>
        <v>3</v>
      </c>
      <c r="C6" t="s">
        <v>18</v>
      </c>
    </row>
    <row r="7" spans="1:3" x14ac:dyDescent="0.4">
      <c r="A7">
        <v>4</v>
      </c>
      <c r="B7" t="str">
        <f t="shared" si="0"/>
        <v>4</v>
      </c>
      <c r="C7" t="s">
        <v>19</v>
      </c>
    </row>
    <row r="8" spans="1:3" x14ac:dyDescent="0.4">
      <c r="A8">
        <v>5</v>
      </c>
      <c r="B8" t="str">
        <f t="shared" si="0"/>
        <v>5</v>
      </c>
      <c r="C8" t="s">
        <v>20</v>
      </c>
    </row>
    <row r="9" spans="1:3" x14ac:dyDescent="0.4">
      <c r="A9">
        <v>6</v>
      </c>
      <c r="B9" t="str">
        <f t="shared" si="0"/>
        <v>6</v>
      </c>
      <c r="C9" t="s">
        <v>22</v>
      </c>
    </row>
    <row r="10" spans="1:3" x14ac:dyDescent="0.4">
      <c r="A10">
        <v>7</v>
      </c>
      <c r="B10" t="str">
        <f t="shared" si="0"/>
        <v>7</v>
      </c>
      <c r="C10" t="s">
        <v>23</v>
      </c>
    </row>
    <row r="11" spans="1:3" x14ac:dyDescent="0.4">
      <c r="A11">
        <v>8</v>
      </c>
      <c r="B11" t="str">
        <f t="shared" si="0"/>
        <v>8</v>
      </c>
      <c r="C11" t="s">
        <v>52</v>
      </c>
    </row>
    <row r="12" spans="1:3" x14ac:dyDescent="0.4">
      <c r="A12">
        <v>9</v>
      </c>
      <c r="B12" t="str">
        <f t="shared" si="0"/>
        <v>9</v>
      </c>
      <c r="C12" t="s">
        <v>358</v>
      </c>
    </row>
    <row r="13" spans="1:3" x14ac:dyDescent="0.4">
      <c r="A13">
        <v>10</v>
      </c>
      <c r="B13" t="str">
        <f t="shared" si="0"/>
        <v>A</v>
      </c>
      <c r="C13" t="s">
        <v>63</v>
      </c>
    </row>
    <row r="14" spans="1:3" x14ac:dyDescent="0.4">
      <c r="A14">
        <v>11</v>
      </c>
      <c r="B14" t="str">
        <f t="shared" si="0"/>
        <v>B</v>
      </c>
      <c r="C14" t="s">
        <v>63</v>
      </c>
    </row>
    <row r="15" spans="1:3" x14ac:dyDescent="0.4">
      <c r="A15">
        <v>12</v>
      </c>
      <c r="B15" t="str">
        <f t="shared" si="0"/>
        <v>C</v>
      </c>
      <c r="C15" t="s">
        <v>64</v>
      </c>
    </row>
    <row r="16" spans="1:3" x14ac:dyDescent="0.4">
      <c r="A16">
        <v>13</v>
      </c>
      <c r="B16" t="str">
        <f t="shared" si="0"/>
        <v>D</v>
      </c>
      <c r="C16" t="s">
        <v>64</v>
      </c>
    </row>
    <row r="17" spans="1:3" x14ac:dyDescent="0.4">
      <c r="A17">
        <v>14</v>
      </c>
      <c r="B17" t="str">
        <f t="shared" si="0"/>
        <v>E</v>
      </c>
      <c r="C17" t="s">
        <v>65</v>
      </c>
    </row>
    <row r="18" spans="1:3" x14ac:dyDescent="0.4">
      <c r="A18">
        <v>15</v>
      </c>
      <c r="B18" t="str">
        <f t="shared" si="0"/>
        <v>F</v>
      </c>
      <c r="C18" t="s">
        <v>65</v>
      </c>
    </row>
    <row r="19" spans="1:3" x14ac:dyDescent="0.4">
      <c r="A19">
        <v>16</v>
      </c>
      <c r="B19" t="str">
        <f t="shared" si="0"/>
        <v>10</v>
      </c>
      <c r="C19" t="s">
        <v>325</v>
      </c>
    </row>
    <row r="20" spans="1:3" x14ac:dyDescent="0.4">
      <c r="A20">
        <v>17</v>
      </c>
      <c r="B20" t="str">
        <f t="shared" si="0"/>
        <v>11</v>
      </c>
      <c r="C20" t="s">
        <v>325</v>
      </c>
    </row>
    <row r="21" spans="1:3" x14ac:dyDescent="0.4">
      <c r="A21">
        <v>18</v>
      </c>
      <c r="B21" t="str">
        <f t="shared" si="0"/>
        <v>12</v>
      </c>
      <c r="C21" t="s">
        <v>25</v>
      </c>
    </row>
    <row r="22" spans="1:3" x14ac:dyDescent="0.4">
      <c r="A22">
        <v>19</v>
      </c>
      <c r="B22" t="str">
        <f t="shared" si="0"/>
        <v>13</v>
      </c>
      <c r="C22" t="s">
        <v>24</v>
      </c>
    </row>
    <row r="23" spans="1:3" x14ac:dyDescent="0.4">
      <c r="A23">
        <v>20</v>
      </c>
      <c r="B23" t="str">
        <f t="shared" si="0"/>
        <v>14</v>
      </c>
      <c r="C23" t="s">
        <v>66</v>
      </c>
    </row>
    <row r="24" spans="1:3" x14ac:dyDescent="0.4">
      <c r="A24">
        <v>21</v>
      </c>
      <c r="B24" t="str">
        <f t="shared" si="0"/>
        <v>15</v>
      </c>
      <c r="C24" t="s">
        <v>67</v>
      </c>
    </row>
    <row r="25" spans="1:3" x14ac:dyDescent="0.4">
      <c r="A25">
        <v>22</v>
      </c>
      <c r="B25" t="str">
        <f t="shared" si="0"/>
        <v>16</v>
      </c>
      <c r="C25" t="s">
        <v>68</v>
      </c>
    </row>
    <row r="26" spans="1:3" x14ac:dyDescent="0.4">
      <c r="A26">
        <v>23</v>
      </c>
      <c r="B26" t="str">
        <f t="shared" si="0"/>
        <v>17</v>
      </c>
      <c r="C26" t="s">
        <v>69</v>
      </c>
    </row>
    <row r="27" spans="1:3" x14ac:dyDescent="0.4">
      <c r="A27">
        <v>24</v>
      </c>
      <c r="B27" t="str">
        <f t="shared" si="0"/>
        <v>18</v>
      </c>
      <c r="C27" t="s">
        <v>70</v>
      </c>
    </row>
    <row r="28" spans="1:3" x14ac:dyDescent="0.4">
      <c r="A28">
        <v>25</v>
      </c>
      <c r="B28" t="str">
        <f t="shared" si="0"/>
        <v>19</v>
      </c>
      <c r="C28" t="s">
        <v>71</v>
      </c>
    </row>
    <row r="29" spans="1:3" x14ac:dyDescent="0.4">
      <c r="A29">
        <v>26</v>
      </c>
      <c r="B29" t="str">
        <f t="shared" si="0"/>
        <v>1A</v>
      </c>
      <c r="C29" t="s">
        <v>72</v>
      </c>
    </row>
    <row r="30" spans="1:3" x14ac:dyDescent="0.4">
      <c r="A30">
        <v>27</v>
      </c>
      <c r="B30" t="str">
        <f t="shared" si="0"/>
        <v>1B</v>
      </c>
      <c r="C30" t="s">
        <v>326</v>
      </c>
    </row>
    <row r="31" spans="1:3" x14ac:dyDescent="0.4">
      <c r="A31">
        <v>28</v>
      </c>
      <c r="B31" t="str">
        <f t="shared" si="0"/>
        <v>1C</v>
      </c>
      <c r="C31" s="9" t="s">
        <v>392</v>
      </c>
    </row>
    <row r="32" spans="1:3" x14ac:dyDescent="0.4">
      <c r="A32">
        <v>29</v>
      </c>
      <c r="B32" t="str">
        <f t="shared" si="0"/>
        <v>1D</v>
      </c>
      <c r="C32" s="9"/>
    </row>
    <row r="33" spans="1:3" x14ac:dyDescent="0.4">
      <c r="A33">
        <v>30</v>
      </c>
      <c r="B33" t="str">
        <f t="shared" si="0"/>
        <v>1E</v>
      </c>
      <c r="C33" s="9" t="s">
        <v>349</v>
      </c>
    </row>
    <row r="34" spans="1:3" x14ac:dyDescent="0.4">
      <c r="A34">
        <v>31</v>
      </c>
      <c r="B34" t="str">
        <f t="shared" si="0"/>
        <v>1F</v>
      </c>
      <c r="C34" s="9"/>
    </row>
    <row r="35" spans="1:3" x14ac:dyDescent="0.4">
      <c r="A35">
        <v>32</v>
      </c>
      <c r="B35" t="str">
        <f t="shared" si="0"/>
        <v>20</v>
      </c>
      <c r="C35" t="s">
        <v>324</v>
      </c>
    </row>
    <row r="36" spans="1:3" x14ac:dyDescent="0.4">
      <c r="A36">
        <v>33</v>
      </c>
      <c r="B36" t="str">
        <f t="shared" si="0"/>
        <v>21</v>
      </c>
      <c r="C36" t="s">
        <v>309</v>
      </c>
    </row>
    <row r="37" spans="1:3" x14ac:dyDescent="0.4">
      <c r="A37">
        <v>34</v>
      </c>
      <c r="B37" t="str">
        <f t="shared" si="0"/>
        <v>22</v>
      </c>
      <c r="C37" s="10" t="s">
        <v>28</v>
      </c>
    </row>
    <row r="38" spans="1:3" x14ac:dyDescent="0.4">
      <c r="A38">
        <v>35</v>
      </c>
      <c r="B38" t="str">
        <f t="shared" si="0"/>
        <v>23</v>
      </c>
      <c r="C38" s="10"/>
    </row>
    <row r="39" spans="1:3" x14ac:dyDescent="0.4">
      <c r="A39">
        <v>36</v>
      </c>
      <c r="B39" t="str">
        <f t="shared" si="0"/>
        <v>24</v>
      </c>
      <c r="C39" s="10" t="s">
        <v>26</v>
      </c>
    </row>
    <row r="40" spans="1:3" x14ac:dyDescent="0.4">
      <c r="A40">
        <v>37</v>
      </c>
      <c r="B40" t="str">
        <f t="shared" si="0"/>
        <v>25</v>
      </c>
      <c r="C40" s="10"/>
    </row>
    <row r="41" spans="1:3" x14ac:dyDescent="0.4">
      <c r="A41">
        <v>38</v>
      </c>
      <c r="B41" t="str">
        <f t="shared" si="0"/>
        <v>26</v>
      </c>
      <c r="C41" s="10" t="s">
        <v>27</v>
      </c>
    </row>
    <row r="42" spans="1:3" x14ac:dyDescent="0.4">
      <c r="A42">
        <v>39</v>
      </c>
      <c r="B42" t="str">
        <f t="shared" si="0"/>
        <v>27</v>
      </c>
      <c r="C42" s="10"/>
    </row>
    <row r="43" spans="1:3" x14ac:dyDescent="0.4">
      <c r="A43">
        <v>40</v>
      </c>
      <c r="B43" t="str">
        <f t="shared" si="0"/>
        <v>28</v>
      </c>
      <c r="C43" s="6" t="str">
        <f t="shared" ref="C43:C54" si="1">_xlfn.CONCAT("TM ",(ROW(C43)-43)*8+1," - ",(ROW(C43)-43)*8+8)</f>
        <v>TM 1 - 8</v>
      </c>
    </row>
    <row r="44" spans="1:3" x14ac:dyDescent="0.4">
      <c r="A44">
        <v>41</v>
      </c>
      <c r="B44" t="str">
        <f t="shared" si="0"/>
        <v>29</v>
      </c>
      <c r="C44" s="6" t="str">
        <f t="shared" si="1"/>
        <v>TM 9 - 16</v>
      </c>
    </row>
    <row r="45" spans="1:3" x14ac:dyDescent="0.4">
      <c r="A45">
        <v>42</v>
      </c>
      <c r="B45" t="str">
        <f t="shared" si="0"/>
        <v>2A</v>
      </c>
      <c r="C45" s="6" t="str">
        <f t="shared" si="1"/>
        <v>TM 17 - 24</v>
      </c>
    </row>
    <row r="46" spans="1:3" x14ac:dyDescent="0.4">
      <c r="A46">
        <v>43</v>
      </c>
      <c r="B46" t="str">
        <f t="shared" si="0"/>
        <v>2B</v>
      </c>
      <c r="C46" s="6" t="str">
        <f t="shared" si="1"/>
        <v>TM 25 - 32</v>
      </c>
    </row>
    <row r="47" spans="1:3" x14ac:dyDescent="0.4">
      <c r="A47">
        <v>44</v>
      </c>
      <c r="B47" t="str">
        <f t="shared" si="0"/>
        <v>2C</v>
      </c>
      <c r="C47" s="6" t="str">
        <f t="shared" si="1"/>
        <v>TM 33 - 40</v>
      </c>
    </row>
    <row r="48" spans="1:3" x14ac:dyDescent="0.4">
      <c r="A48">
        <v>45</v>
      </c>
      <c r="B48" t="str">
        <f t="shared" si="0"/>
        <v>2D</v>
      </c>
      <c r="C48" s="6" t="str">
        <f t="shared" si="1"/>
        <v>TM 41 - 48</v>
      </c>
    </row>
    <row r="49" spans="1:3" x14ac:dyDescent="0.4">
      <c r="A49">
        <v>46</v>
      </c>
      <c r="B49" t="str">
        <f t="shared" si="0"/>
        <v>2E</v>
      </c>
      <c r="C49" s="6" t="str">
        <f t="shared" si="1"/>
        <v>TM 49 - 56</v>
      </c>
    </row>
    <row r="50" spans="1:3" x14ac:dyDescent="0.4">
      <c r="A50">
        <v>47</v>
      </c>
      <c r="B50" t="str">
        <f t="shared" si="0"/>
        <v>2F</v>
      </c>
      <c r="C50" s="6" t="str">
        <f t="shared" si="1"/>
        <v>TM 57 - 64</v>
      </c>
    </row>
    <row r="51" spans="1:3" x14ac:dyDescent="0.4">
      <c r="A51">
        <v>48</v>
      </c>
      <c r="B51" t="str">
        <f t="shared" si="0"/>
        <v>30</v>
      </c>
      <c r="C51" s="6" t="str">
        <f t="shared" si="1"/>
        <v>TM 65 - 72</v>
      </c>
    </row>
    <row r="52" spans="1:3" x14ac:dyDescent="0.4">
      <c r="A52">
        <v>49</v>
      </c>
      <c r="B52" t="str">
        <f t="shared" si="0"/>
        <v>31</v>
      </c>
      <c r="C52" s="6" t="str">
        <f t="shared" si="1"/>
        <v>TM 73 - 80</v>
      </c>
    </row>
    <row r="53" spans="1:3" x14ac:dyDescent="0.4">
      <c r="A53">
        <v>50</v>
      </c>
      <c r="B53" t="str">
        <f t="shared" si="0"/>
        <v>32</v>
      </c>
      <c r="C53" s="6" t="str">
        <f t="shared" si="1"/>
        <v>TM 81 - 88</v>
      </c>
    </row>
    <row r="54" spans="1:3" x14ac:dyDescent="0.4">
      <c r="A54">
        <v>51</v>
      </c>
      <c r="B54" t="str">
        <f t="shared" si="0"/>
        <v>33</v>
      </c>
      <c r="C54" s="6" t="str">
        <f t="shared" si="1"/>
        <v>TM 89 - 96</v>
      </c>
    </row>
    <row r="55" spans="1:3" x14ac:dyDescent="0.4">
      <c r="A55">
        <v>52</v>
      </c>
      <c r="B55" t="str">
        <f t="shared" si="0"/>
        <v>34</v>
      </c>
      <c r="C55" s="6" t="s">
        <v>442</v>
      </c>
    </row>
    <row r="56" spans="1:3" x14ac:dyDescent="0.4">
      <c r="A56">
        <v>53</v>
      </c>
      <c r="B56" t="str">
        <f t="shared" si="0"/>
        <v>35</v>
      </c>
      <c r="C56" s="6" t="s">
        <v>443</v>
      </c>
    </row>
    <row r="57" spans="1:3" x14ac:dyDescent="0.4">
      <c r="A57">
        <v>54</v>
      </c>
      <c r="B57" t="str">
        <f t="shared" si="0"/>
        <v>36</v>
      </c>
      <c r="C57" s="6" t="s">
        <v>444</v>
      </c>
    </row>
    <row r="58" spans="1:3" x14ac:dyDescent="0.4">
      <c r="A58">
        <v>55</v>
      </c>
      <c r="B58" t="str">
        <f t="shared" si="0"/>
        <v>37</v>
      </c>
      <c r="C58" s="6" t="s">
        <v>445</v>
      </c>
    </row>
    <row r="59" spans="1:3" x14ac:dyDescent="0.4">
      <c r="A59">
        <v>56</v>
      </c>
      <c r="B59" t="str">
        <f t="shared" si="0"/>
        <v>38</v>
      </c>
      <c r="C59" s="6" t="s">
        <v>449</v>
      </c>
    </row>
    <row r="60" spans="1:3" x14ac:dyDescent="0.4">
      <c r="A60">
        <v>57</v>
      </c>
      <c r="B60" t="str">
        <f t="shared" si="0"/>
        <v>39</v>
      </c>
      <c r="C60" s="7" t="s">
        <v>450</v>
      </c>
    </row>
    <row r="61" spans="1:3" x14ac:dyDescent="0.4">
      <c r="A61">
        <v>58</v>
      </c>
      <c r="B61" t="str">
        <f t="shared" si="0"/>
        <v>3A</v>
      </c>
      <c r="C61" s="7"/>
    </row>
    <row r="62" spans="1:3" x14ac:dyDescent="0.4">
      <c r="A62">
        <v>59</v>
      </c>
      <c r="B62" t="str">
        <f t="shared" si="0"/>
        <v>3B</v>
      </c>
      <c r="C62" s="7"/>
    </row>
    <row r="63" spans="1:3" x14ac:dyDescent="0.4">
      <c r="A63">
        <v>60</v>
      </c>
      <c r="B63" t="str">
        <f t="shared" si="0"/>
        <v>3C</v>
      </c>
      <c r="C63" s="7" t="s">
        <v>446</v>
      </c>
    </row>
    <row r="64" spans="1:3" x14ac:dyDescent="0.4">
      <c r="A64">
        <v>61</v>
      </c>
      <c r="B64" t="str">
        <f t="shared" si="0"/>
        <v>3D</v>
      </c>
      <c r="C64" s="7"/>
    </row>
    <row r="65" spans="1:3" x14ac:dyDescent="0.4">
      <c r="A65">
        <v>62</v>
      </c>
      <c r="B65" t="str">
        <f t="shared" si="0"/>
        <v>3E</v>
      </c>
      <c r="C65" s="7"/>
    </row>
    <row r="66" spans="1:3" x14ac:dyDescent="0.4">
      <c r="A66">
        <v>63</v>
      </c>
      <c r="B66" t="str">
        <f t="shared" si="0"/>
        <v>3F</v>
      </c>
      <c r="C66" s="7"/>
    </row>
    <row r="67" spans="1:3" x14ac:dyDescent="0.4">
      <c r="A67">
        <v>64</v>
      </c>
      <c r="B67" t="str">
        <f t="shared" si="0"/>
        <v>40</v>
      </c>
      <c r="C67" s="7" t="s">
        <v>447</v>
      </c>
    </row>
    <row r="68" spans="1:3" x14ac:dyDescent="0.4">
      <c r="A68">
        <v>65</v>
      </c>
      <c r="B68" t="str">
        <f t="shared" ref="B68:B86" si="2">DEC2HEX(A68)</f>
        <v>41</v>
      </c>
      <c r="C68" s="7"/>
    </row>
    <row r="69" spans="1:3" x14ac:dyDescent="0.4">
      <c r="A69">
        <v>66</v>
      </c>
      <c r="B69" t="str">
        <f t="shared" si="2"/>
        <v>42</v>
      </c>
      <c r="C69" s="7"/>
    </row>
    <row r="70" spans="1:3" x14ac:dyDescent="0.4">
      <c r="A70">
        <v>67</v>
      </c>
      <c r="B70" t="str">
        <f t="shared" si="2"/>
        <v>43</v>
      </c>
      <c r="C70" s="7"/>
    </row>
    <row r="71" spans="1:3" x14ac:dyDescent="0.4">
      <c r="A71">
        <v>68</v>
      </c>
      <c r="B71" t="str">
        <f t="shared" si="2"/>
        <v>44</v>
      </c>
      <c r="C71" s="7" t="s">
        <v>448</v>
      </c>
    </row>
    <row r="72" spans="1:3" x14ac:dyDescent="0.4">
      <c r="A72">
        <v>69</v>
      </c>
      <c r="B72" t="str">
        <f t="shared" si="2"/>
        <v>45</v>
      </c>
      <c r="C72" s="7"/>
    </row>
    <row r="73" spans="1:3" x14ac:dyDescent="0.4">
      <c r="A73">
        <v>70</v>
      </c>
      <c r="B73" t="str">
        <f t="shared" si="2"/>
        <v>46</v>
      </c>
      <c r="C73" s="7"/>
    </row>
    <row r="74" spans="1:3" x14ac:dyDescent="0.4">
      <c r="A74">
        <v>71</v>
      </c>
      <c r="B74" t="str">
        <f t="shared" si="2"/>
        <v>47</v>
      </c>
      <c r="C74" s="7"/>
    </row>
    <row r="75" spans="1:3" x14ac:dyDescent="0.4">
      <c r="A75">
        <v>72</v>
      </c>
      <c r="B75" t="str">
        <f t="shared" si="2"/>
        <v>48</v>
      </c>
      <c r="C75" s="7" t="s">
        <v>451</v>
      </c>
    </row>
    <row r="76" spans="1:3" x14ac:dyDescent="0.4">
      <c r="A76">
        <v>73</v>
      </c>
      <c r="B76" t="str">
        <f t="shared" si="2"/>
        <v>49</v>
      </c>
      <c r="C76" s="7"/>
    </row>
    <row r="77" spans="1:3" x14ac:dyDescent="0.4">
      <c r="A77">
        <v>74</v>
      </c>
      <c r="B77" t="str">
        <f t="shared" si="2"/>
        <v>4A</v>
      </c>
      <c r="C77" s="7"/>
    </row>
    <row r="78" spans="1:3" x14ac:dyDescent="0.4">
      <c r="A78">
        <v>75</v>
      </c>
      <c r="B78" t="str">
        <f t="shared" si="2"/>
        <v>4B</v>
      </c>
      <c r="C78" s="7"/>
    </row>
    <row r="79" spans="1:3" x14ac:dyDescent="0.4">
      <c r="A79">
        <v>76</v>
      </c>
      <c r="B79" t="str">
        <f t="shared" si="2"/>
        <v>4C</v>
      </c>
      <c r="C79" s="8" t="s">
        <v>323</v>
      </c>
    </row>
    <row r="80" spans="1:3" x14ac:dyDescent="0.4">
      <c r="A80">
        <v>77</v>
      </c>
      <c r="B80" t="str">
        <f t="shared" si="2"/>
        <v>4D</v>
      </c>
      <c r="C80" s="8"/>
    </row>
    <row r="81" spans="1:3" x14ac:dyDescent="0.4">
      <c r="A81">
        <v>78</v>
      </c>
      <c r="B81" t="str">
        <f t="shared" si="2"/>
        <v>4E</v>
      </c>
      <c r="C81" s="8" t="s">
        <v>322</v>
      </c>
    </row>
    <row r="82" spans="1:3" x14ac:dyDescent="0.4">
      <c r="A82">
        <v>79</v>
      </c>
      <c r="B82" t="str">
        <f t="shared" si="2"/>
        <v>4F</v>
      </c>
      <c r="C82" s="8"/>
    </row>
    <row r="83" spans="1:3" x14ac:dyDescent="0.4">
      <c r="A83">
        <v>80</v>
      </c>
      <c r="B83" t="str">
        <f t="shared" si="2"/>
        <v>50</v>
      </c>
      <c r="C83" s="8" t="s">
        <v>321</v>
      </c>
    </row>
    <row r="84" spans="1:3" x14ac:dyDescent="0.4">
      <c r="A84">
        <v>81</v>
      </c>
      <c r="B84" t="str">
        <f t="shared" si="2"/>
        <v>51</v>
      </c>
      <c r="C84" s="8"/>
    </row>
    <row r="85" spans="1:3" x14ac:dyDescent="0.4">
      <c r="A85">
        <v>82</v>
      </c>
      <c r="B85" t="str">
        <f t="shared" si="2"/>
        <v>52</v>
      </c>
      <c r="C85" t="s">
        <v>452</v>
      </c>
    </row>
    <row r="86" spans="1:3" x14ac:dyDescent="0.4">
      <c r="A86">
        <v>83</v>
      </c>
      <c r="B86" t="str">
        <f t="shared" si="2"/>
        <v>53</v>
      </c>
    </row>
  </sheetData>
  <mergeCells count="13">
    <mergeCell ref="C83:C84"/>
    <mergeCell ref="C63:C66"/>
    <mergeCell ref="C67:C70"/>
    <mergeCell ref="C71:C74"/>
    <mergeCell ref="C75:C78"/>
    <mergeCell ref="C79:C80"/>
    <mergeCell ref="C81:C82"/>
    <mergeCell ref="C31:C32"/>
    <mergeCell ref="C33:C34"/>
    <mergeCell ref="C37:C38"/>
    <mergeCell ref="C39:C40"/>
    <mergeCell ref="C41:C42"/>
    <mergeCell ref="C60:C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9988-BA1B-4190-A613-E12B6F0FE9C5}">
  <dimension ref="A1:AA85"/>
  <sheetViews>
    <sheetView workbookViewId="0">
      <selection activeCell="D23" sqref="A23:D23"/>
    </sheetView>
  </sheetViews>
  <sheetFormatPr defaultRowHeight="14.6" x14ac:dyDescent="0.4"/>
  <cols>
    <col min="4" max="4" width="14.3046875" customWidth="1"/>
    <col min="14" max="22" width="0" hidden="1" customWidth="1"/>
    <col min="24" max="24" width="18.4609375" customWidth="1"/>
  </cols>
  <sheetData>
    <row r="1" spans="1:27" x14ac:dyDescent="0.4">
      <c r="A1" t="s">
        <v>1</v>
      </c>
      <c r="B1" t="s">
        <v>2</v>
      </c>
      <c r="C1" t="s">
        <v>3</v>
      </c>
      <c r="D1" t="s">
        <v>391</v>
      </c>
      <c r="G1" t="str">
        <f>SUBSTITUTE(G2," ","")</f>
        <v>2A2E2E2A3D3D0B032D0100010000000000001F144603010741A622002803000003032B0046004500F88723869B9A304C0028A92209000000090000004000C8C0C42A0601C2940000000000000000000000000000</v>
      </c>
      <c r="H1">
        <f>LEN(G1)</f>
        <v>168</v>
      </c>
    </row>
    <row r="2" spans="1:27" x14ac:dyDescent="0.4">
      <c r="A2" s="5" t="s">
        <v>390</v>
      </c>
      <c r="B2" t="str">
        <f t="shared" ref="B2:B33" si="0">LEFT(RIGHT(G$1,H$1-2*(ROW(B2)-2)),2)</f>
        <v>2A</v>
      </c>
      <c r="C2">
        <f t="shared" ref="C2:C33" si="1">HEX2DEC(B2)</f>
        <v>42</v>
      </c>
      <c r="D2" t="s">
        <v>16</v>
      </c>
      <c r="G2" t="s">
        <v>441</v>
      </c>
      <c r="I2">
        <v>1117</v>
      </c>
      <c r="J2" t="str">
        <f>DEC2HEX(I2)</f>
        <v>45D</v>
      </c>
      <c r="K2" t="s">
        <v>389</v>
      </c>
      <c r="M2" s="5" t="s">
        <v>7</v>
      </c>
      <c r="N2" t="str">
        <f t="shared" ref="N2:N26" si="2">HEX2BIN(B2,8)</f>
        <v>00101010</v>
      </c>
      <c r="O2" t="str">
        <f t="shared" ref="O2:V2" si="3">MID($N2,9-(COLUMN(O1)-14),1)</f>
        <v>0</v>
      </c>
      <c r="P2" t="str">
        <f t="shared" si="3"/>
        <v>1</v>
      </c>
      <c r="Q2" t="str">
        <f t="shared" si="3"/>
        <v>0</v>
      </c>
      <c r="R2" t="str">
        <f t="shared" si="3"/>
        <v>1</v>
      </c>
      <c r="S2" t="str">
        <f t="shared" si="3"/>
        <v>0</v>
      </c>
      <c r="T2" t="str">
        <f t="shared" si="3"/>
        <v>1</v>
      </c>
      <c r="U2" t="str">
        <f t="shared" si="3"/>
        <v>0</v>
      </c>
      <c r="V2" t="str">
        <f t="shared" si="3"/>
        <v>0</v>
      </c>
      <c r="W2" t="str">
        <f>_xlfn.CONCAT(O2:V2)</f>
        <v>01010100</v>
      </c>
      <c r="X2" t="str">
        <f>_xlfn.CONCAT(W2:W85)</f>
        <v>010101000111010001110100010101001011110010111100110100001100000010110100100000000000000010000000000000000000000000000000000000000000000000000000111110000010100001100010110000001000000011100000100000100110010101000100000000000001010011000000000000000000000011000000110000001101010000000000011000100000000010100010000000000001111111100001110001000110000111011001010110010000110000110010000000000001010010010101010001001001000000000000000000000000000010010000000000000000000000000000000000100000000000010011000000110010001101010100011000001000000001000011001010010000000000000000000000000000000000000000000000000000000000000000000000000000000000000000000000000000000000000000</v>
      </c>
      <c r="Y2">
        <f>FIND("0001001",X2)</f>
        <v>196</v>
      </c>
      <c r="Z2">
        <f>SUM(Y$2:Y2)/8</f>
        <v>24.5</v>
      </c>
      <c r="AA2" t="str">
        <f>DEC2HEX(INT(Z2),2)</f>
        <v>18</v>
      </c>
    </row>
    <row r="3" spans="1:27" x14ac:dyDescent="0.4">
      <c r="A3" t="str">
        <f t="shared" ref="A3:A34" si="4">DEC2HEX(1+HEX2DEC(A2))</f>
        <v>1</v>
      </c>
      <c r="B3" t="str">
        <f t="shared" si="0"/>
        <v>2E</v>
      </c>
      <c r="C3">
        <f t="shared" si="1"/>
        <v>46</v>
      </c>
      <c r="D3" t="s">
        <v>388</v>
      </c>
      <c r="I3">
        <v>100</v>
      </c>
      <c r="J3" t="str">
        <f>DEC2HEX(I3)</f>
        <v>64</v>
      </c>
      <c r="M3" t="str">
        <f>DEC2HEX(1+HEX2DEC(M2),2)</f>
        <v>01</v>
      </c>
      <c r="N3" t="str">
        <f t="shared" si="2"/>
        <v>00101110</v>
      </c>
      <c r="O3" t="str">
        <f t="shared" ref="O3:O66" si="5">MID($N3,9-(COLUMN(O2)-14),1)</f>
        <v>0</v>
      </c>
      <c r="P3" t="str">
        <f t="shared" ref="P3:P66" si="6">MID($N3,9-(COLUMN(P2)-14),1)</f>
        <v>1</v>
      </c>
      <c r="Q3" t="str">
        <f t="shared" ref="Q3:Q66" si="7">MID($N3,9-(COLUMN(Q2)-14),1)</f>
        <v>1</v>
      </c>
      <c r="R3" t="str">
        <f t="shared" ref="R3:R66" si="8">MID($N3,9-(COLUMN(R2)-14),1)</f>
        <v>1</v>
      </c>
      <c r="S3" t="str">
        <f t="shared" ref="S3:S66" si="9">MID($N3,9-(COLUMN(S2)-14),1)</f>
        <v>0</v>
      </c>
      <c r="T3" t="str">
        <f t="shared" ref="T3:T66" si="10">MID($N3,9-(COLUMN(T2)-14),1)</f>
        <v>1</v>
      </c>
      <c r="U3" t="str">
        <f t="shared" ref="U3:U66" si="11">MID($N3,9-(COLUMN(U2)-14),1)</f>
        <v>0</v>
      </c>
      <c r="V3" t="str">
        <f t="shared" ref="V3:V66" si="12">MID($N3,9-(COLUMN(V2)-14),1)</f>
        <v>0</v>
      </c>
      <c r="W3" t="str">
        <f t="shared" ref="W3:W66" si="13">_xlfn.CONCAT(O3:V3)</f>
        <v>01110100</v>
      </c>
      <c r="X3" t="str">
        <f>RIGHT(X2,LEN(X2)-Y2)</f>
        <v>00100110010101000100000000000001010011000000000000000000000011000000110000001101010000000000011000100000000010100010000000000001111111100001110001000110000111011001010110010000110000110010000000000001010010010101010001001001000000000000000000000000000010010000000000000000000000000000000000100000000000010011000000110010001101010100011000001000000001000011001010010000000000000000000000000000000000000000000000000000000000000000000000000000000000000000000000000000000000000000</v>
      </c>
      <c r="Y3">
        <f t="shared" ref="Y3:Y20" si="14">FIND("0001001",X3)</f>
        <v>215</v>
      </c>
      <c r="Z3">
        <f>SUM(Y$2:Y3)/8</f>
        <v>51.375</v>
      </c>
      <c r="AA3" t="str">
        <f t="shared" ref="AA3:AA20" si="15">DEC2HEX(INT(Z3),2)</f>
        <v>33</v>
      </c>
    </row>
    <row r="4" spans="1:27" x14ac:dyDescent="0.4">
      <c r="A4" t="str">
        <f t="shared" si="4"/>
        <v>2</v>
      </c>
      <c r="B4" t="str">
        <f t="shared" si="0"/>
        <v>2E</v>
      </c>
      <c r="C4">
        <f t="shared" si="1"/>
        <v>46</v>
      </c>
      <c r="D4" t="s">
        <v>387</v>
      </c>
      <c r="I4">
        <v>125</v>
      </c>
      <c r="J4" t="str">
        <f>DEC2HEX(I4)</f>
        <v>7D</v>
      </c>
      <c r="M4" t="str">
        <f t="shared" ref="M4:M67" si="16">DEC2HEX(1+HEX2DEC(M3),2)</f>
        <v>02</v>
      </c>
      <c r="N4" t="str">
        <f t="shared" si="2"/>
        <v>00101110</v>
      </c>
      <c r="O4" t="str">
        <f t="shared" si="5"/>
        <v>0</v>
      </c>
      <c r="P4" t="str">
        <f t="shared" si="6"/>
        <v>1</v>
      </c>
      <c r="Q4" t="str">
        <f t="shared" si="7"/>
        <v>1</v>
      </c>
      <c r="R4" t="str">
        <f t="shared" si="8"/>
        <v>1</v>
      </c>
      <c r="S4" t="str">
        <f t="shared" si="9"/>
        <v>0</v>
      </c>
      <c r="T4" t="str">
        <f t="shared" si="10"/>
        <v>1</v>
      </c>
      <c r="U4" t="str">
        <f t="shared" si="11"/>
        <v>0</v>
      </c>
      <c r="V4" t="str">
        <f t="shared" si="12"/>
        <v>0</v>
      </c>
      <c r="W4" t="str">
        <f t="shared" si="13"/>
        <v>01110100</v>
      </c>
      <c r="X4" t="str">
        <f>RIGHT(X3,LEN(X3)-Y3)</f>
        <v>001001001000000000000000000000000000010010000000000000000000000000000000000100000000000010011000000110010001101010100011000001000000001000011001010010000000000000000000000000000000000000000000000000000000000000000000000000000000000000000000000000000000000000000</v>
      </c>
      <c r="Y4">
        <f t="shared" si="14"/>
        <v>35</v>
      </c>
      <c r="Z4">
        <f>SUM(Y$2:Y4)/8</f>
        <v>55.75</v>
      </c>
      <c r="AA4" t="str">
        <f t="shared" si="15"/>
        <v>37</v>
      </c>
    </row>
    <row r="5" spans="1:27" x14ac:dyDescent="0.4">
      <c r="A5" t="str">
        <f t="shared" si="4"/>
        <v>3</v>
      </c>
      <c r="B5" t="str">
        <f t="shared" si="0"/>
        <v>2A</v>
      </c>
      <c r="C5">
        <f t="shared" si="1"/>
        <v>42</v>
      </c>
      <c r="D5" t="s">
        <v>386</v>
      </c>
      <c r="M5" t="str">
        <f t="shared" si="16"/>
        <v>03</v>
      </c>
      <c r="N5" t="str">
        <f t="shared" si="2"/>
        <v>00101010</v>
      </c>
      <c r="O5" t="str">
        <f t="shared" si="5"/>
        <v>0</v>
      </c>
      <c r="P5" t="str">
        <f t="shared" si="6"/>
        <v>1</v>
      </c>
      <c r="Q5" t="str">
        <f t="shared" si="7"/>
        <v>0</v>
      </c>
      <c r="R5" t="str">
        <f t="shared" si="8"/>
        <v>1</v>
      </c>
      <c r="S5" t="str">
        <f t="shared" si="9"/>
        <v>0</v>
      </c>
      <c r="T5" t="str">
        <f t="shared" si="10"/>
        <v>1</v>
      </c>
      <c r="U5" t="str">
        <f t="shared" si="11"/>
        <v>0</v>
      </c>
      <c r="V5" t="str">
        <f t="shared" si="12"/>
        <v>0</v>
      </c>
      <c r="W5" t="str">
        <f t="shared" si="13"/>
        <v>01010100</v>
      </c>
      <c r="X5" t="str">
        <f>RIGHT(X4,LEN(X4)-Y4)</f>
        <v>0010010000000000000000000000000000000000100000000000010011000000110010001101010100011000001000000001000011001010010000000000000000000000000000000000000000000000000000000000000000000000000000000000000000000000000000000000000000</v>
      </c>
      <c r="Y5">
        <f t="shared" si="14"/>
        <v>51</v>
      </c>
      <c r="Z5">
        <f>SUM(Y$2:Y5)/8</f>
        <v>62.125</v>
      </c>
      <c r="AA5" t="str">
        <f t="shared" si="15"/>
        <v>3E</v>
      </c>
    </row>
    <row r="6" spans="1:27" x14ac:dyDescent="0.4">
      <c r="A6" t="str">
        <f t="shared" si="4"/>
        <v>4</v>
      </c>
      <c r="B6" t="str">
        <f t="shared" si="0"/>
        <v>3D</v>
      </c>
      <c r="C6">
        <f t="shared" si="1"/>
        <v>61</v>
      </c>
      <c r="D6" t="s">
        <v>385</v>
      </c>
      <c r="M6" t="str">
        <f t="shared" si="16"/>
        <v>04</v>
      </c>
      <c r="N6" t="str">
        <f t="shared" si="2"/>
        <v>00111101</v>
      </c>
      <c r="O6" t="str">
        <f t="shared" si="5"/>
        <v>1</v>
      </c>
      <c r="P6" t="str">
        <f t="shared" si="6"/>
        <v>0</v>
      </c>
      <c r="Q6" t="str">
        <f t="shared" si="7"/>
        <v>1</v>
      </c>
      <c r="R6" t="str">
        <f t="shared" si="8"/>
        <v>1</v>
      </c>
      <c r="S6" t="str">
        <f t="shared" si="9"/>
        <v>1</v>
      </c>
      <c r="T6" t="str">
        <f t="shared" si="10"/>
        <v>1</v>
      </c>
      <c r="U6" t="str">
        <f t="shared" si="11"/>
        <v>0</v>
      </c>
      <c r="V6" t="str">
        <f t="shared" si="12"/>
        <v>0</v>
      </c>
      <c r="W6" t="str">
        <f t="shared" si="13"/>
        <v>10111100</v>
      </c>
      <c r="X6" t="str">
        <f>RIGHT(X5,LEN(X5)-Y5)</f>
        <v>0010011000000110010001101010100011000001000000001000011001010010000000000000000000000000000000000000000000000000000000000000000000000000000000000000000000000000000000000000000</v>
      </c>
      <c r="Y6" t="e">
        <f t="shared" si="14"/>
        <v>#VALUE!</v>
      </c>
      <c r="Z6" t="e">
        <f>SUM(Y$2:Y6)/8</f>
        <v>#VALUE!</v>
      </c>
      <c r="AA6" t="e">
        <f t="shared" si="15"/>
        <v>#VALUE!</v>
      </c>
    </row>
    <row r="7" spans="1:27" x14ac:dyDescent="0.4">
      <c r="A7" t="str">
        <f t="shared" si="4"/>
        <v>5</v>
      </c>
      <c r="B7" t="str">
        <f t="shared" si="0"/>
        <v>3D</v>
      </c>
      <c r="C7">
        <f t="shared" si="1"/>
        <v>61</v>
      </c>
      <c r="D7" t="s">
        <v>384</v>
      </c>
      <c r="M7" t="str">
        <f t="shared" si="16"/>
        <v>05</v>
      </c>
      <c r="N7" t="str">
        <f t="shared" si="2"/>
        <v>00111101</v>
      </c>
      <c r="O7" t="str">
        <f t="shared" si="5"/>
        <v>1</v>
      </c>
      <c r="P7" t="str">
        <f t="shared" si="6"/>
        <v>0</v>
      </c>
      <c r="Q7" t="str">
        <f t="shared" si="7"/>
        <v>1</v>
      </c>
      <c r="R7" t="str">
        <f t="shared" si="8"/>
        <v>1</v>
      </c>
      <c r="S7" t="str">
        <f t="shared" si="9"/>
        <v>1</v>
      </c>
      <c r="T7" t="str">
        <f t="shared" si="10"/>
        <v>1</v>
      </c>
      <c r="U7" t="str">
        <f t="shared" si="11"/>
        <v>0</v>
      </c>
      <c r="V7" t="str">
        <f t="shared" si="12"/>
        <v>0</v>
      </c>
      <c r="W7" t="str">
        <f t="shared" si="13"/>
        <v>10111100</v>
      </c>
      <c r="X7" t="e">
        <f t="shared" ref="X7:X16" si="17">RIGHT(X6,LEN(X6)-Y6)</f>
        <v>#VALUE!</v>
      </c>
      <c r="Y7" t="e">
        <f t="shared" si="14"/>
        <v>#VALUE!</v>
      </c>
      <c r="Z7" t="e">
        <f>SUM(Y$2:Y7)/8</f>
        <v>#VALUE!</v>
      </c>
      <c r="AA7" t="e">
        <f t="shared" si="15"/>
        <v>#VALUE!</v>
      </c>
    </row>
    <row r="8" spans="1:27" x14ac:dyDescent="0.4">
      <c r="A8" t="str">
        <f t="shared" si="4"/>
        <v>6</v>
      </c>
      <c r="B8" t="str">
        <f t="shared" si="0"/>
        <v>0B</v>
      </c>
      <c r="C8">
        <f t="shared" si="1"/>
        <v>11</v>
      </c>
      <c r="D8" t="s">
        <v>383</v>
      </c>
      <c r="M8" t="str">
        <f t="shared" si="16"/>
        <v>06</v>
      </c>
      <c r="N8" t="str">
        <f t="shared" si="2"/>
        <v>00001011</v>
      </c>
      <c r="O8" t="str">
        <f t="shared" si="5"/>
        <v>1</v>
      </c>
      <c r="P8" t="str">
        <f t="shared" si="6"/>
        <v>1</v>
      </c>
      <c r="Q8" t="str">
        <f t="shared" si="7"/>
        <v>0</v>
      </c>
      <c r="R8" t="str">
        <f t="shared" si="8"/>
        <v>1</v>
      </c>
      <c r="S8" t="str">
        <f t="shared" si="9"/>
        <v>0</v>
      </c>
      <c r="T8" t="str">
        <f t="shared" si="10"/>
        <v>0</v>
      </c>
      <c r="U8" t="str">
        <f t="shared" si="11"/>
        <v>0</v>
      </c>
      <c r="V8" t="str">
        <f t="shared" si="12"/>
        <v>0</v>
      </c>
      <c r="W8" t="str">
        <f t="shared" si="13"/>
        <v>11010000</v>
      </c>
      <c r="X8" t="e">
        <f t="shared" si="17"/>
        <v>#VALUE!</v>
      </c>
      <c r="Y8" t="e">
        <f t="shared" si="14"/>
        <v>#VALUE!</v>
      </c>
      <c r="Z8" t="e">
        <f>SUM(Y$2:Y8)/8</f>
        <v>#VALUE!</v>
      </c>
      <c r="AA8" t="e">
        <f t="shared" si="15"/>
        <v>#VALUE!</v>
      </c>
    </row>
    <row r="9" spans="1:27" x14ac:dyDescent="0.4">
      <c r="A9" t="str">
        <f t="shared" si="4"/>
        <v>7</v>
      </c>
      <c r="B9" t="str">
        <f t="shared" si="0"/>
        <v>03</v>
      </c>
      <c r="C9">
        <f t="shared" si="1"/>
        <v>3</v>
      </c>
      <c r="D9" t="s">
        <v>382</v>
      </c>
      <c r="M9" t="str">
        <f t="shared" si="16"/>
        <v>07</v>
      </c>
      <c r="N9" t="str">
        <f t="shared" si="2"/>
        <v>00000011</v>
      </c>
      <c r="O9" t="str">
        <f t="shared" si="5"/>
        <v>1</v>
      </c>
      <c r="P9" t="str">
        <f t="shared" si="6"/>
        <v>1</v>
      </c>
      <c r="Q9" t="str">
        <f t="shared" si="7"/>
        <v>0</v>
      </c>
      <c r="R9" t="str">
        <f t="shared" si="8"/>
        <v>0</v>
      </c>
      <c r="S9" t="str">
        <f t="shared" si="9"/>
        <v>0</v>
      </c>
      <c r="T9" t="str">
        <f t="shared" si="10"/>
        <v>0</v>
      </c>
      <c r="U9" t="str">
        <f t="shared" si="11"/>
        <v>0</v>
      </c>
      <c r="V9" t="str">
        <f t="shared" si="12"/>
        <v>0</v>
      </c>
      <c r="W9" t="str">
        <f t="shared" si="13"/>
        <v>11000000</v>
      </c>
      <c r="X9" t="e">
        <f t="shared" si="17"/>
        <v>#VALUE!</v>
      </c>
      <c r="Y9" t="e">
        <f t="shared" si="14"/>
        <v>#VALUE!</v>
      </c>
      <c r="Z9" t="e">
        <f>SUM(Y$2:Y9)/8</f>
        <v>#VALUE!</v>
      </c>
      <c r="AA9" t="e">
        <f t="shared" si="15"/>
        <v>#VALUE!</v>
      </c>
    </row>
    <row r="10" spans="1:27" x14ac:dyDescent="0.4">
      <c r="A10" t="str">
        <f t="shared" si="4"/>
        <v>8</v>
      </c>
      <c r="B10" t="str">
        <f t="shared" si="0"/>
        <v>2D</v>
      </c>
      <c r="C10">
        <f t="shared" si="1"/>
        <v>45</v>
      </c>
      <c r="D10" t="s">
        <v>381</v>
      </c>
      <c r="M10" t="str">
        <f t="shared" si="16"/>
        <v>08</v>
      </c>
      <c r="N10" t="str">
        <f t="shared" si="2"/>
        <v>00101101</v>
      </c>
      <c r="O10" t="str">
        <f t="shared" si="5"/>
        <v>1</v>
      </c>
      <c r="P10" t="str">
        <f t="shared" si="6"/>
        <v>0</v>
      </c>
      <c r="Q10" t="str">
        <f t="shared" si="7"/>
        <v>1</v>
      </c>
      <c r="R10" t="str">
        <f t="shared" si="8"/>
        <v>1</v>
      </c>
      <c r="S10" t="str">
        <f t="shared" si="9"/>
        <v>0</v>
      </c>
      <c r="T10" t="str">
        <f t="shared" si="10"/>
        <v>1</v>
      </c>
      <c r="U10" t="str">
        <f t="shared" si="11"/>
        <v>0</v>
      </c>
      <c r="V10" t="str">
        <f t="shared" si="12"/>
        <v>0</v>
      </c>
      <c r="W10" t="str">
        <f t="shared" si="13"/>
        <v>10110100</v>
      </c>
      <c r="X10" t="e">
        <f t="shared" si="17"/>
        <v>#VALUE!</v>
      </c>
      <c r="Y10" t="e">
        <f t="shared" si="14"/>
        <v>#VALUE!</v>
      </c>
      <c r="Z10" t="e">
        <f>SUM(Y$2:Y10)/8</f>
        <v>#VALUE!</v>
      </c>
      <c r="AA10" t="e">
        <f t="shared" si="15"/>
        <v>#VALUE!</v>
      </c>
    </row>
    <row r="11" spans="1:27" x14ac:dyDescent="0.4">
      <c r="A11" t="str">
        <f t="shared" si="4"/>
        <v>9</v>
      </c>
      <c r="B11" t="str">
        <f t="shared" si="0"/>
        <v>01</v>
      </c>
      <c r="C11">
        <f t="shared" si="1"/>
        <v>1</v>
      </c>
      <c r="D11" t="s">
        <v>380</v>
      </c>
      <c r="M11" t="str">
        <f t="shared" si="16"/>
        <v>09</v>
      </c>
      <c r="N11" t="str">
        <f t="shared" si="2"/>
        <v>00000001</v>
      </c>
      <c r="O11" t="str">
        <f t="shared" si="5"/>
        <v>1</v>
      </c>
      <c r="P11" t="str">
        <f t="shared" si="6"/>
        <v>0</v>
      </c>
      <c r="Q11" t="str">
        <f t="shared" si="7"/>
        <v>0</v>
      </c>
      <c r="R11" t="str">
        <f t="shared" si="8"/>
        <v>0</v>
      </c>
      <c r="S11" t="str">
        <f t="shared" si="9"/>
        <v>0</v>
      </c>
      <c r="T11" t="str">
        <f t="shared" si="10"/>
        <v>0</v>
      </c>
      <c r="U11" t="str">
        <f t="shared" si="11"/>
        <v>0</v>
      </c>
      <c r="V11" t="str">
        <f t="shared" si="12"/>
        <v>0</v>
      </c>
      <c r="W11" t="str">
        <f t="shared" si="13"/>
        <v>10000000</v>
      </c>
      <c r="X11" t="e">
        <f t="shared" si="17"/>
        <v>#VALUE!</v>
      </c>
      <c r="Y11" t="e">
        <f t="shared" si="14"/>
        <v>#VALUE!</v>
      </c>
      <c r="Z11" t="e">
        <f>SUM(Y$2:Y11)/8</f>
        <v>#VALUE!</v>
      </c>
      <c r="AA11" t="e">
        <f t="shared" si="15"/>
        <v>#VALUE!</v>
      </c>
    </row>
    <row r="12" spans="1:27" x14ac:dyDescent="0.4">
      <c r="A12" t="str">
        <f t="shared" si="4"/>
        <v>A</v>
      </c>
      <c r="B12" t="str">
        <f t="shared" si="0"/>
        <v>00</v>
      </c>
      <c r="C12">
        <f t="shared" si="1"/>
        <v>0</v>
      </c>
      <c r="D12" t="s">
        <v>379</v>
      </c>
      <c r="M12" t="str">
        <f t="shared" si="16"/>
        <v>0A</v>
      </c>
      <c r="N12" t="str">
        <f t="shared" si="2"/>
        <v>00000000</v>
      </c>
      <c r="O12" t="str">
        <f t="shared" si="5"/>
        <v>0</v>
      </c>
      <c r="P12" t="str">
        <f t="shared" si="6"/>
        <v>0</v>
      </c>
      <c r="Q12" t="str">
        <f t="shared" si="7"/>
        <v>0</v>
      </c>
      <c r="R12" t="str">
        <f t="shared" si="8"/>
        <v>0</v>
      </c>
      <c r="S12" t="str">
        <f t="shared" si="9"/>
        <v>0</v>
      </c>
      <c r="T12" t="str">
        <f t="shared" si="10"/>
        <v>0</v>
      </c>
      <c r="U12" t="str">
        <f t="shared" si="11"/>
        <v>0</v>
      </c>
      <c r="V12" t="str">
        <f t="shared" si="12"/>
        <v>0</v>
      </c>
      <c r="W12" t="str">
        <f t="shared" si="13"/>
        <v>00000000</v>
      </c>
      <c r="X12" t="e">
        <f t="shared" si="17"/>
        <v>#VALUE!</v>
      </c>
      <c r="Y12" t="e">
        <f t="shared" si="14"/>
        <v>#VALUE!</v>
      </c>
      <c r="Z12" t="e">
        <f>SUM(Y$2:Y12)/8</f>
        <v>#VALUE!</v>
      </c>
      <c r="AA12" t="e">
        <f t="shared" si="15"/>
        <v>#VALUE!</v>
      </c>
    </row>
    <row r="13" spans="1:27" x14ac:dyDescent="0.4">
      <c r="A13" t="str">
        <f t="shared" si="4"/>
        <v>B</v>
      </c>
      <c r="B13" t="str">
        <f t="shared" si="0"/>
        <v>01</v>
      </c>
      <c r="C13">
        <f t="shared" si="1"/>
        <v>1</v>
      </c>
      <c r="D13" t="s">
        <v>379</v>
      </c>
      <c r="M13" t="str">
        <f t="shared" si="16"/>
        <v>0B</v>
      </c>
      <c r="N13" t="str">
        <f t="shared" si="2"/>
        <v>00000001</v>
      </c>
      <c r="O13" t="str">
        <f t="shared" si="5"/>
        <v>1</v>
      </c>
      <c r="P13" t="str">
        <f t="shared" si="6"/>
        <v>0</v>
      </c>
      <c r="Q13" t="str">
        <f t="shared" si="7"/>
        <v>0</v>
      </c>
      <c r="R13" t="str">
        <f t="shared" si="8"/>
        <v>0</v>
      </c>
      <c r="S13" t="str">
        <f t="shared" si="9"/>
        <v>0</v>
      </c>
      <c r="T13" t="str">
        <f t="shared" si="10"/>
        <v>0</v>
      </c>
      <c r="U13" t="str">
        <f t="shared" si="11"/>
        <v>0</v>
      </c>
      <c r="V13" t="str">
        <f t="shared" si="12"/>
        <v>0</v>
      </c>
      <c r="W13" t="str">
        <f t="shared" si="13"/>
        <v>10000000</v>
      </c>
      <c r="X13" t="e">
        <f t="shared" si="17"/>
        <v>#VALUE!</v>
      </c>
      <c r="Y13" t="e">
        <f t="shared" si="14"/>
        <v>#VALUE!</v>
      </c>
      <c r="Z13" t="e">
        <f>SUM(Y$2:Y13)/8</f>
        <v>#VALUE!</v>
      </c>
      <c r="AA13" t="e">
        <f t="shared" si="15"/>
        <v>#VALUE!</v>
      </c>
    </row>
    <row r="14" spans="1:27" x14ac:dyDescent="0.4">
      <c r="A14" t="str">
        <f t="shared" si="4"/>
        <v>C</v>
      </c>
      <c r="B14" t="str">
        <f t="shared" si="0"/>
        <v>00</v>
      </c>
      <c r="C14">
        <f t="shared" si="1"/>
        <v>0</v>
      </c>
      <c r="D14" t="s">
        <v>378</v>
      </c>
      <c r="M14" t="str">
        <f t="shared" si="16"/>
        <v>0C</v>
      </c>
      <c r="N14" t="str">
        <f t="shared" si="2"/>
        <v>00000000</v>
      </c>
      <c r="O14" t="str">
        <f t="shared" si="5"/>
        <v>0</v>
      </c>
      <c r="P14" t="str">
        <f t="shared" si="6"/>
        <v>0</v>
      </c>
      <c r="Q14" t="str">
        <f t="shared" si="7"/>
        <v>0</v>
      </c>
      <c r="R14" t="str">
        <f t="shared" si="8"/>
        <v>0</v>
      </c>
      <c r="S14" t="str">
        <f t="shared" si="9"/>
        <v>0</v>
      </c>
      <c r="T14" t="str">
        <f t="shared" si="10"/>
        <v>0</v>
      </c>
      <c r="U14" t="str">
        <f t="shared" si="11"/>
        <v>0</v>
      </c>
      <c r="V14" t="str">
        <f t="shared" si="12"/>
        <v>0</v>
      </c>
      <c r="W14" t="str">
        <f t="shared" si="13"/>
        <v>00000000</v>
      </c>
      <c r="X14" t="e">
        <f t="shared" si="17"/>
        <v>#VALUE!</v>
      </c>
      <c r="Y14" t="e">
        <f t="shared" si="14"/>
        <v>#VALUE!</v>
      </c>
      <c r="Z14" t="e">
        <f>SUM(Y$2:Y14)/8</f>
        <v>#VALUE!</v>
      </c>
      <c r="AA14" t="e">
        <f t="shared" si="15"/>
        <v>#VALUE!</v>
      </c>
    </row>
    <row r="15" spans="1:27" x14ac:dyDescent="0.4">
      <c r="A15" t="str">
        <f t="shared" si="4"/>
        <v>D</v>
      </c>
      <c r="B15" t="str">
        <f t="shared" si="0"/>
        <v>00</v>
      </c>
      <c r="C15">
        <f t="shared" si="1"/>
        <v>0</v>
      </c>
      <c r="D15" t="s">
        <v>378</v>
      </c>
      <c r="M15" t="str">
        <f t="shared" si="16"/>
        <v>0D</v>
      </c>
      <c r="N15" t="str">
        <f t="shared" si="2"/>
        <v>00000000</v>
      </c>
      <c r="O15" t="str">
        <f t="shared" si="5"/>
        <v>0</v>
      </c>
      <c r="P15" t="str">
        <f t="shared" si="6"/>
        <v>0</v>
      </c>
      <c r="Q15" t="str">
        <f t="shared" si="7"/>
        <v>0</v>
      </c>
      <c r="R15" t="str">
        <f t="shared" si="8"/>
        <v>0</v>
      </c>
      <c r="S15" t="str">
        <f t="shared" si="9"/>
        <v>0</v>
      </c>
      <c r="T15" t="str">
        <f t="shared" si="10"/>
        <v>0</v>
      </c>
      <c r="U15" t="str">
        <f t="shared" si="11"/>
        <v>0</v>
      </c>
      <c r="V15" t="str">
        <f t="shared" si="12"/>
        <v>0</v>
      </c>
      <c r="W15" t="str">
        <f t="shared" si="13"/>
        <v>00000000</v>
      </c>
      <c r="X15" t="e">
        <f t="shared" si="17"/>
        <v>#VALUE!</v>
      </c>
      <c r="Y15" t="e">
        <f t="shared" si="14"/>
        <v>#VALUE!</v>
      </c>
      <c r="Z15" t="e">
        <f>SUM(Y$2:Y15)/8</f>
        <v>#VALUE!</v>
      </c>
      <c r="AA15" t="e">
        <f t="shared" si="15"/>
        <v>#VALUE!</v>
      </c>
    </row>
    <row r="16" spans="1:27" x14ac:dyDescent="0.4">
      <c r="A16" t="str">
        <f t="shared" si="4"/>
        <v>E</v>
      </c>
      <c r="B16" t="str">
        <f t="shared" si="0"/>
        <v>00</v>
      </c>
      <c r="C16">
        <f t="shared" si="1"/>
        <v>0</v>
      </c>
      <c r="D16" t="s">
        <v>377</v>
      </c>
      <c r="M16" t="str">
        <f t="shared" si="16"/>
        <v>0E</v>
      </c>
      <c r="N16" t="str">
        <f t="shared" si="2"/>
        <v>00000000</v>
      </c>
      <c r="O16" t="str">
        <f t="shared" si="5"/>
        <v>0</v>
      </c>
      <c r="P16" t="str">
        <f t="shared" si="6"/>
        <v>0</v>
      </c>
      <c r="Q16" t="str">
        <f t="shared" si="7"/>
        <v>0</v>
      </c>
      <c r="R16" t="str">
        <f t="shared" si="8"/>
        <v>0</v>
      </c>
      <c r="S16" t="str">
        <f t="shared" si="9"/>
        <v>0</v>
      </c>
      <c r="T16" t="str">
        <f t="shared" si="10"/>
        <v>0</v>
      </c>
      <c r="U16" t="str">
        <f t="shared" si="11"/>
        <v>0</v>
      </c>
      <c r="V16" t="str">
        <f t="shared" si="12"/>
        <v>0</v>
      </c>
      <c r="W16" t="str">
        <f t="shared" si="13"/>
        <v>00000000</v>
      </c>
      <c r="X16" t="e">
        <f t="shared" si="17"/>
        <v>#VALUE!</v>
      </c>
      <c r="Y16" t="e">
        <f t="shared" si="14"/>
        <v>#VALUE!</v>
      </c>
      <c r="Z16" t="e">
        <f>SUM(Y$2:Y16)/8</f>
        <v>#VALUE!</v>
      </c>
      <c r="AA16" t="e">
        <f t="shared" si="15"/>
        <v>#VALUE!</v>
      </c>
    </row>
    <row r="17" spans="1:27" x14ac:dyDescent="0.4">
      <c r="A17" t="str">
        <f t="shared" si="4"/>
        <v>F</v>
      </c>
      <c r="B17" t="str">
        <f t="shared" si="0"/>
        <v>00</v>
      </c>
      <c r="C17">
        <f t="shared" si="1"/>
        <v>0</v>
      </c>
      <c r="D17" t="s">
        <v>377</v>
      </c>
      <c r="M17" t="str">
        <f t="shared" si="16"/>
        <v>0F</v>
      </c>
      <c r="N17" t="str">
        <f t="shared" si="2"/>
        <v>00000000</v>
      </c>
      <c r="O17" t="str">
        <f t="shared" si="5"/>
        <v>0</v>
      </c>
      <c r="P17" t="str">
        <f t="shared" si="6"/>
        <v>0</v>
      </c>
      <c r="Q17" t="str">
        <f t="shared" si="7"/>
        <v>0</v>
      </c>
      <c r="R17" t="str">
        <f t="shared" si="8"/>
        <v>0</v>
      </c>
      <c r="S17" t="str">
        <f t="shared" si="9"/>
        <v>0</v>
      </c>
      <c r="T17" t="str">
        <f t="shared" si="10"/>
        <v>0</v>
      </c>
      <c r="U17" t="str">
        <f t="shared" si="11"/>
        <v>0</v>
      </c>
      <c r="V17" t="str">
        <f t="shared" si="12"/>
        <v>0</v>
      </c>
      <c r="W17" t="str">
        <f t="shared" si="13"/>
        <v>00000000</v>
      </c>
      <c r="X17" t="e">
        <f>RIGHT(X16,LEN(X16)-Y16)</f>
        <v>#VALUE!</v>
      </c>
      <c r="Y17" t="e">
        <f t="shared" si="14"/>
        <v>#VALUE!</v>
      </c>
      <c r="Z17" t="e">
        <f>SUM(Y$2:Y17)/8</f>
        <v>#VALUE!</v>
      </c>
      <c r="AA17" t="e">
        <f t="shared" si="15"/>
        <v>#VALUE!</v>
      </c>
    </row>
    <row r="18" spans="1:27" x14ac:dyDescent="0.4">
      <c r="A18" t="str">
        <f t="shared" si="4"/>
        <v>10</v>
      </c>
      <c r="B18" t="str">
        <f t="shared" si="0"/>
        <v>00</v>
      </c>
      <c r="C18">
        <f t="shared" si="1"/>
        <v>0</v>
      </c>
      <c r="D18" t="s">
        <v>376</v>
      </c>
      <c r="M18" t="str">
        <f t="shared" si="16"/>
        <v>10</v>
      </c>
      <c r="N18" t="str">
        <f t="shared" si="2"/>
        <v>00000000</v>
      </c>
      <c r="O18" t="str">
        <f t="shared" si="5"/>
        <v>0</v>
      </c>
      <c r="P18" t="str">
        <f t="shared" si="6"/>
        <v>0</v>
      </c>
      <c r="Q18" t="str">
        <f t="shared" si="7"/>
        <v>0</v>
      </c>
      <c r="R18" t="str">
        <f t="shared" si="8"/>
        <v>0</v>
      </c>
      <c r="S18" t="str">
        <f t="shared" si="9"/>
        <v>0</v>
      </c>
      <c r="T18" t="str">
        <f t="shared" si="10"/>
        <v>0</v>
      </c>
      <c r="U18" t="str">
        <f t="shared" si="11"/>
        <v>0</v>
      </c>
      <c r="V18" t="str">
        <f t="shared" si="12"/>
        <v>0</v>
      </c>
      <c r="W18" t="str">
        <f t="shared" si="13"/>
        <v>00000000</v>
      </c>
      <c r="X18" t="e">
        <f>RIGHT(X17,LEN(X17)-Y17)</f>
        <v>#VALUE!</v>
      </c>
      <c r="Y18" t="e">
        <f t="shared" si="14"/>
        <v>#VALUE!</v>
      </c>
      <c r="Z18" t="e">
        <f>SUM(Y$2:Y18)/8</f>
        <v>#VALUE!</v>
      </c>
      <c r="AA18" t="e">
        <f t="shared" si="15"/>
        <v>#VALUE!</v>
      </c>
    </row>
    <row r="19" spans="1:27" x14ac:dyDescent="0.4">
      <c r="A19" t="str">
        <f t="shared" si="4"/>
        <v>11</v>
      </c>
      <c r="B19" t="str">
        <f t="shared" si="0"/>
        <v>00</v>
      </c>
      <c r="C19">
        <f t="shared" si="1"/>
        <v>0</v>
      </c>
      <c r="D19" t="s">
        <v>376</v>
      </c>
      <c r="M19" t="str">
        <f t="shared" si="16"/>
        <v>11</v>
      </c>
      <c r="N19" t="str">
        <f t="shared" si="2"/>
        <v>00000000</v>
      </c>
      <c r="O19" t="str">
        <f t="shared" si="5"/>
        <v>0</v>
      </c>
      <c r="P19" t="str">
        <f t="shared" si="6"/>
        <v>0</v>
      </c>
      <c r="Q19" t="str">
        <f t="shared" si="7"/>
        <v>0</v>
      </c>
      <c r="R19" t="str">
        <f t="shared" si="8"/>
        <v>0</v>
      </c>
      <c r="S19" t="str">
        <f t="shared" si="9"/>
        <v>0</v>
      </c>
      <c r="T19" t="str">
        <f t="shared" si="10"/>
        <v>0</v>
      </c>
      <c r="U19" t="str">
        <f t="shared" si="11"/>
        <v>0</v>
      </c>
      <c r="V19" t="str">
        <f t="shared" si="12"/>
        <v>0</v>
      </c>
      <c r="W19" t="str">
        <f t="shared" si="13"/>
        <v>00000000</v>
      </c>
      <c r="X19" t="e">
        <f>RIGHT(X18,LEN(X18)-Y18)</f>
        <v>#VALUE!</v>
      </c>
      <c r="Y19" t="e">
        <f t="shared" si="14"/>
        <v>#VALUE!</v>
      </c>
      <c r="Z19" t="e">
        <f>SUM(Y$2:Y19)/8</f>
        <v>#VALUE!</v>
      </c>
      <c r="AA19" t="e">
        <f t="shared" si="15"/>
        <v>#VALUE!</v>
      </c>
    </row>
    <row r="20" spans="1:27" x14ac:dyDescent="0.4">
      <c r="A20" t="str">
        <f t="shared" si="4"/>
        <v>12</v>
      </c>
      <c r="B20" t="str">
        <f t="shared" si="0"/>
        <v>1F</v>
      </c>
      <c r="C20">
        <f t="shared" si="1"/>
        <v>31</v>
      </c>
      <c r="D20" t="s">
        <v>375</v>
      </c>
      <c r="M20" t="str">
        <f t="shared" si="16"/>
        <v>12</v>
      </c>
      <c r="N20" t="str">
        <f t="shared" si="2"/>
        <v>00011111</v>
      </c>
      <c r="O20" t="str">
        <f t="shared" si="5"/>
        <v>1</v>
      </c>
      <c r="P20" t="str">
        <f t="shared" si="6"/>
        <v>1</v>
      </c>
      <c r="Q20" t="str">
        <f t="shared" si="7"/>
        <v>1</v>
      </c>
      <c r="R20" t="str">
        <f t="shared" si="8"/>
        <v>1</v>
      </c>
      <c r="S20" t="str">
        <f t="shared" si="9"/>
        <v>1</v>
      </c>
      <c r="T20" t="str">
        <f t="shared" si="10"/>
        <v>0</v>
      </c>
      <c r="U20" t="str">
        <f t="shared" si="11"/>
        <v>0</v>
      </c>
      <c r="V20" t="str">
        <f t="shared" si="12"/>
        <v>0</v>
      </c>
      <c r="W20" t="str">
        <f t="shared" si="13"/>
        <v>11111000</v>
      </c>
      <c r="X20" t="e">
        <f t="shared" ref="X20" si="18">RIGHT(X19,LEN(X19)-Y19)</f>
        <v>#VALUE!</v>
      </c>
      <c r="Y20" t="e">
        <f t="shared" si="14"/>
        <v>#VALUE!</v>
      </c>
      <c r="Z20" t="e">
        <f>SUM(Y$2:Y20)/8</f>
        <v>#VALUE!</v>
      </c>
      <c r="AA20" t="e">
        <f t="shared" si="15"/>
        <v>#VALUE!</v>
      </c>
    </row>
    <row r="21" spans="1:27" x14ac:dyDescent="0.4">
      <c r="A21" t="str">
        <f t="shared" si="4"/>
        <v>13</v>
      </c>
      <c r="B21" t="str">
        <f t="shared" si="0"/>
        <v>14</v>
      </c>
      <c r="C21">
        <f t="shared" si="1"/>
        <v>20</v>
      </c>
      <c r="D21" t="s">
        <v>374</v>
      </c>
      <c r="M21" t="str">
        <f t="shared" si="16"/>
        <v>13</v>
      </c>
      <c r="N21" t="str">
        <f t="shared" si="2"/>
        <v>00010100</v>
      </c>
      <c r="O21" t="str">
        <f t="shared" si="5"/>
        <v>0</v>
      </c>
      <c r="P21" t="str">
        <f t="shared" si="6"/>
        <v>0</v>
      </c>
      <c r="Q21" t="str">
        <f t="shared" si="7"/>
        <v>1</v>
      </c>
      <c r="R21" t="str">
        <f t="shared" si="8"/>
        <v>0</v>
      </c>
      <c r="S21" t="str">
        <f t="shared" si="9"/>
        <v>1</v>
      </c>
      <c r="T21" t="str">
        <f t="shared" si="10"/>
        <v>0</v>
      </c>
      <c r="U21" t="str">
        <f t="shared" si="11"/>
        <v>0</v>
      </c>
      <c r="V21" t="str">
        <f t="shared" si="12"/>
        <v>0</v>
      </c>
      <c r="W21" t="str">
        <f t="shared" si="13"/>
        <v>00101000</v>
      </c>
    </row>
    <row r="22" spans="1:27" x14ac:dyDescent="0.4">
      <c r="A22" t="str">
        <f t="shared" si="4"/>
        <v>14</v>
      </c>
      <c r="B22" t="str">
        <f t="shared" si="0"/>
        <v>46</v>
      </c>
      <c r="C22">
        <f t="shared" si="1"/>
        <v>70</v>
      </c>
      <c r="D22" t="s">
        <v>373</v>
      </c>
      <c r="M22" t="str">
        <f t="shared" si="16"/>
        <v>14</v>
      </c>
      <c r="N22" t="str">
        <f t="shared" si="2"/>
        <v>01000110</v>
      </c>
      <c r="O22" t="str">
        <f t="shared" si="5"/>
        <v>0</v>
      </c>
      <c r="P22" t="str">
        <f t="shared" si="6"/>
        <v>1</v>
      </c>
      <c r="Q22" t="str">
        <f t="shared" si="7"/>
        <v>1</v>
      </c>
      <c r="R22" t="str">
        <f t="shared" si="8"/>
        <v>0</v>
      </c>
      <c r="S22" t="str">
        <f t="shared" si="9"/>
        <v>0</v>
      </c>
      <c r="T22" t="str">
        <f t="shared" si="10"/>
        <v>0</v>
      </c>
      <c r="U22" t="str">
        <f t="shared" si="11"/>
        <v>1</v>
      </c>
      <c r="V22" t="str">
        <f t="shared" si="12"/>
        <v>0</v>
      </c>
      <c r="W22" t="str">
        <f t="shared" si="13"/>
        <v>01100010</v>
      </c>
    </row>
    <row r="23" spans="1:27" x14ac:dyDescent="0.4">
      <c r="A23" t="str">
        <f t="shared" si="4"/>
        <v>15</v>
      </c>
      <c r="B23" t="str">
        <f t="shared" si="0"/>
        <v>03</v>
      </c>
      <c r="C23">
        <f t="shared" si="1"/>
        <v>3</v>
      </c>
      <c r="D23" t="s">
        <v>372</v>
      </c>
      <c r="M23" t="str">
        <f t="shared" si="16"/>
        <v>15</v>
      </c>
      <c r="N23" t="str">
        <f t="shared" si="2"/>
        <v>00000011</v>
      </c>
      <c r="O23" t="str">
        <f t="shared" si="5"/>
        <v>1</v>
      </c>
      <c r="P23" t="str">
        <f t="shared" si="6"/>
        <v>1</v>
      </c>
      <c r="Q23" t="str">
        <f t="shared" si="7"/>
        <v>0</v>
      </c>
      <c r="R23" t="str">
        <f t="shared" si="8"/>
        <v>0</v>
      </c>
      <c r="S23" t="str">
        <f t="shared" si="9"/>
        <v>0</v>
      </c>
      <c r="T23" t="str">
        <f t="shared" si="10"/>
        <v>0</v>
      </c>
      <c r="U23" t="str">
        <f t="shared" si="11"/>
        <v>0</v>
      </c>
      <c r="V23" t="str">
        <f t="shared" si="12"/>
        <v>0</v>
      </c>
      <c r="W23" t="str">
        <f t="shared" si="13"/>
        <v>11000000</v>
      </c>
    </row>
    <row r="24" spans="1:27" x14ac:dyDescent="0.4">
      <c r="A24" t="str">
        <f t="shared" si="4"/>
        <v>16</v>
      </c>
      <c r="B24" t="str">
        <f t="shared" si="0"/>
        <v>01</v>
      </c>
      <c r="C24">
        <f t="shared" si="1"/>
        <v>1</v>
      </c>
      <c r="D24" t="s">
        <v>371</v>
      </c>
      <c r="M24" t="str">
        <f t="shared" si="16"/>
        <v>16</v>
      </c>
      <c r="N24" t="str">
        <f t="shared" si="2"/>
        <v>00000001</v>
      </c>
      <c r="O24" t="str">
        <f t="shared" si="5"/>
        <v>1</v>
      </c>
      <c r="P24" t="str">
        <f t="shared" si="6"/>
        <v>0</v>
      </c>
      <c r="Q24" t="str">
        <f t="shared" si="7"/>
        <v>0</v>
      </c>
      <c r="R24" t="str">
        <f t="shared" si="8"/>
        <v>0</v>
      </c>
      <c r="S24" t="str">
        <f t="shared" si="9"/>
        <v>0</v>
      </c>
      <c r="T24" t="str">
        <f t="shared" si="10"/>
        <v>0</v>
      </c>
      <c r="U24" t="str">
        <f t="shared" si="11"/>
        <v>0</v>
      </c>
      <c r="V24" t="str">
        <f t="shared" si="12"/>
        <v>0</v>
      </c>
      <c r="W24" t="str">
        <f t="shared" si="13"/>
        <v>10000000</v>
      </c>
    </row>
    <row r="25" spans="1:27" x14ac:dyDescent="0.4">
      <c r="A25" t="str">
        <f t="shared" si="4"/>
        <v>17</v>
      </c>
      <c r="B25" t="str">
        <f t="shared" si="0"/>
        <v>07</v>
      </c>
      <c r="C25">
        <f t="shared" si="1"/>
        <v>7</v>
      </c>
      <c r="D25" t="s">
        <v>370</v>
      </c>
      <c r="M25" t="str">
        <f t="shared" si="16"/>
        <v>17</v>
      </c>
      <c r="N25" t="str">
        <f t="shared" si="2"/>
        <v>00000111</v>
      </c>
      <c r="O25" t="str">
        <f t="shared" si="5"/>
        <v>1</v>
      </c>
      <c r="P25" t="str">
        <f t="shared" si="6"/>
        <v>1</v>
      </c>
      <c r="Q25" t="str">
        <f t="shared" si="7"/>
        <v>1</v>
      </c>
      <c r="R25" t="str">
        <f t="shared" si="8"/>
        <v>0</v>
      </c>
      <c r="S25" t="str">
        <f t="shared" si="9"/>
        <v>0</v>
      </c>
      <c r="T25" t="str">
        <f t="shared" si="10"/>
        <v>0</v>
      </c>
      <c r="U25" t="str">
        <f t="shared" si="11"/>
        <v>0</v>
      </c>
      <c r="V25" t="str">
        <f t="shared" si="12"/>
        <v>0</v>
      </c>
      <c r="W25" t="str">
        <f t="shared" si="13"/>
        <v>11100000</v>
      </c>
    </row>
    <row r="26" spans="1:27" x14ac:dyDescent="0.4">
      <c r="A26" t="str">
        <f t="shared" si="4"/>
        <v>18</v>
      </c>
      <c r="B26" t="str">
        <f t="shared" si="0"/>
        <v>41</v>
      </c>
      <c r="C26">
        <f t="shared" si="1"/>
        <v>65</v>
      </c>
      <c r="D26" t="s">
        <v>369</v>
      </c>
      <c r="M26" t="str">
        <f t="shared" si="16"/>
        <v>18</v>
      </c>
      <c r="N26" t="str">
        <f t="shared" si="2"/>
        <v>01000001</v>
      </c>
      <c r="O26" t="str">
        <f t="shared" si="5"/>
        <v>1</v>
      </c>
      <c r="P26" t="str">
        <f t="shared" si="6"/>
        <v>0</v>
      </c>
      <c r="Q26" t="str">
        <f t="shared" si="7"/>
        <v>0</v>
      </c>
      <c r="R26" t="str">
        <f t="shared" si="8"/>
        <v>0</v>
      </c>
      <c r="S26" t="str">
        <f t="shared" si="9"/>
        <v>0</v>
      </c>
      <c r="T26" t="str">
        <f t="shared" si="10"/>
        <v>0</v>
      </c>
      <c r="U26" t="str">
        <f t="shared" si="11"/>
        <v>1</v>
      </c>
      <c r="V26" t="str">
        <f t="shared" si="12"/>
        <v>0</v>
      </c>
      <c r="W26" t="str">
        <f t="shared" si="13"/>
        <v>10000010</v>
      </c>
    </row>
    <row r="27" spans="1:27" x14ac:dyDescent="0.4">
      <c r="A27" t="str">
        <f t="shared" si="4"/>
        <v>19</v>
      </c>
      <c r="B27" t="str">
        <f t="shared" si="0"/>
        <v>A6</v>
      </c>
      <c r="C27">
        <f t="shared" si="1"/>
        <v>166</v>
      </c>
      <c r="D27" t="s">
        <v>368</v>
      </c>
      <c r="M27" t="str">
        <f t="shared" si="16"/>
        <v>19</v>
      </c>
      <c r="N27" t="str">
        <f>HEX2BIN(B27,8)</f>
        <v>10100110</v>
      </c>
      <c r="O27" t="str">
        <f t="shared" si="5"/>
        <v>0</v>
      </c>
      <c r="P27" t="str">
        <f t="shared" si="6"/>
        <v>1</v>
      </c>
      <c r="Q27" t="str">
        <f t="shared" si="7"/>
        <v>1</v>
      </c>
      <c r="R27" t="str">
        <f t="shared" si="8"/>
        <v>0</v>
      </c>
      <c r="S27" t="str">
        <f t="shared" si="9"/>
        <v>0</v>
      </c>
      <c r="T27" t="str">
        <f t="shared" si="10"/>
        <v>1</v>
      </c>
      <c r="U27" t="str">
        <f t="shared" si="11"/>
        <v>0</v>
      </c>
      <c r="V27" t="str">
        <f t="shared" si="12"/>
        <v>1</v>
      </c>
      <c r="W27" t="str">
        <f t="shared" si="13"/>
        <v>01100101</v>
      </c>
    </row>
    <row r="28" spans="1:27" x14ac:dyDescent="0.4">
      <c r="A28" t="str">
        <f t="shared" si="4"/>
        <v>1A</v>
      </c>
      <c r="B28" t="str">
        <f t="shared" si="0"/>
        <v>22</v>
      </c>
      <c r="C28">
        <f t="shared" si="1"/>
        <v>34</v>
      </c>
      <c r="D28" t="s">
        <v>367</v>
      </c>
      <c r="M28" t="str">
        <f t="shared" si="16"/>
        <v>1A</v>
      </c>
      <c r="N28" t="str">
        <f t="shared" ref="N28:N85" si="19">HEX2BIN(B28,8)</f>
        <v>00100010</v>
      </c>
      <c r="O28" t="str">
        <f t="shared" si="5"/>
        <v>0</v>
      </c>
      <c r="P28" t="str">
        <f t="shared" si="6"/>
        <v>1</v>
      </c>
      <c r="Q28" t="str">
        <f t="shared" si="7"/>
        <v>0</v>
      </c>
      <c r="R28" t="str">
        <f t="shared" si="8"/>
        <v>0</v>
      </c>
      <c r="S28" t="str">
        <f t="shared" si="9"/>
        <v>0</v>
      </c>
      <c r="T28" t="str">
        <f t="shared" si="10"/>
        <v>1</v>
      </c>
      <c r="U28" t="str">
        <f t="shared" si="11"/>
        <v>0</v>
      </c>
      <c r="V28" t="str">
        <f t="shared" si="12"/>
        <v>0</v>
      </c>
      <c r="W28" t="str">
        <f t="shared" si="13"/>
        <v>01000100</v>
      </c>
    </row>
    <row r="29" spans="1:27" x14ac:dyDescent="0.4">
      <c r="A29" t="str">
        <f t="shared" si="4"/>
        <v>1B</v>
      </c>
      <c r="B29" t="str">
        <f t="shared" si="0"/>
        <v>00</v>
      </c>
      <c r="C29">
        <f t="shared" si="1"/>
        <v>0</v>
      </c>
      <c r="D29" t="s">
        <v>366</v>
      </c>
      <c r="M29" t="str">
        <f t="shared" si="16"/>
        <v>1B</v>
      </c>
      <c r="N29" t="str">
        <f t="shared" si="19"/>
        <v>00000000</v>
      </c>
      <c r="O29" t="str">
        <f t="shared" si="5"/>
        <v>0</v>
      </c>
      <c r="P29" t="str">
        <f t="shared" si="6"/>
        <v>0</v>
      </c>
      <c r="Q29" t="str">
        <f t="shared" si="7"/>
        <v>0</v>
      </c>
      <c r="R29" t="str">
        <f t="shared" si="8"/>
        <v>0</v>
      </c>
      <c r="S29" t="str">
        <f t="shared" si="9"/>
        <v>0</v>
      </c>
      <c r="T29" t="str">
        <f t="shared" si="10"/>
        <v>0</v>
      </c>
      <c r="U29" t="str">
        <f t="shared" si="11"/>
        <v>0</v>
      </c>
      <c r="V29" t="str">
        <f t="shared" si="12"/>
        <v>0</v>
      </c>
      <c r="W29" t="str">
        <f t="shared" si="13"/>
        <v>00000000</v>
      </c>
    </row>
    <row r="30" spans="1:27" x14ac:dyDescent="0.4">
      <c r="A30" t="str">
        <f t="shared" si="4"/>
        <v>1C</v>
      </c>
      <c r="B30" t="str">
        <f t="shared" si="0"/>
        <v>28</v>
      </c>
      <c r="C30">
        <f t="shared" si="1"/>
        <v>40</v>
      </c>
      <c r="D30" t="s">
        <v>365</v>
      </c>
      <c r="E30">
        <f>C30+256*C31</f>
        <v>808</v>
      </c>
      <c r="M30" t="str">
        <f t="shared" si="16"/>
        <v>1C</v>
      </c>
      <c r="N30" t="str">
        <f t="shared" si="19"/>
        <v>00101000</v>
      </c>
      <c r="O30" t="str">
        <f t="shared" si="5"/>
        <v>0</v>
      </c>
      <c r="P30" t="str">
        <f t="shared" si="6"/>
        <v>0</v>
      </c>
      <c r="Q30" t="str">
        <f t="shared" si="7"/>
        <v>0</v>
      </c>
      <c r="R30" t="str">
        <f t="shared" si="8"/>
        <v>1</v>
      </c>
      <c r="S30" t="str">
        <f t="shared" si="9"/>
        <v>0</v>
      </c>
      <c r="T30" t="str">
        <f t="shared" si="10"/>
        <v>1</v>
      </c>
      <c r="U30" t="str">
        <f t="shared" si="11"/>
        <v>0</v>
      </c>
      <c r="V30" t="str">
        <f t="shared" si="12"/>
        <v>0</v>
      </c>
      <c r="W30" t="str">
        <f t="shared" si="13"/>
        <v>00010100</v>
      </c>
    </row>
    <row r="31" spans="1:27" x14ac:dyDescent="0.4">
      <c r="A31" t="str">
        <f t="shared" si="4"/>
        <v>1D</v>
      </c>
      <c r="B31" t="str">
        <f t="shared" si="0"/>
        <v>03</v>
      </c>
      <c r="C31">
        <f t="shared" si="1"/>
        <v>3</v>
      </c>
      <c r="D31" t="s">
        <v>364</v>
      </c>
      <c r="M31" t="str">
        <f t="shared" si="16"/>
        <v>1D</v>
      </c>
      <c r="N31" t="str">
        <f t="shared" si="19"/>
        <v>00000011</v>
      </c>
      <c r="O31" t="str">
        <f t="shared" si="5"/>
        <v>1</v>
      </c>
      <c r="P31" t="str">
        <f t="shared" si="6"/>
        <v>1</v>
      </c>
      <c r="Q31" t="str">
        <f t="shared" si="7"/>
        <v>0</v>
      </c>
      <c r="R31" t="str">
        <f t="shared" si="8"/>
        <v>0</v>
      </c>
      <c r="S31" t="str">
        <f t="shared" si="9"/>
        <v>0</v>
      </c>
      <c r="T31" t="str">
        <f t="shared" si="10"/>
        <v>0</v>
      </c>
      <c r="U31" t="str">
        <f t="shared" si="11"/>
        <v>0</v>
      </c>
      <c r="V31" t="str">
        <f t="shared" si="12"/>
        <v>0</v>
      </c>
      <c r="W31" t="str">
        <f t="shared" si="13"/>
        <v>11000000</v>
      </c>
    </row>
    <row r="32" spans="1:27" x14ac:dyDescent="0.4">
      <c r="A32" t="str">
        <f t="shared" si="4"/>
        <v>1E</v>
      </c>
      <c r="B32" t="str">
        <f t="shared" si="0"/>
        <v>00</v>
      </c>
      <c r="C32">
        <f t="shared" si="1"/>
        <v>0</v>
      </c>
      <c r="D32" t="s">
        <v>363</v>
      </c>
      <c r="M32" t="str">
        <f t="shared" si="16"/>
        <v>1E</v>
      </c>
      <c r="N32" t="str">
        <f t="shared" si="19"/>
        <v>00000000</v>
      </c>
      <c r="O32" t="str">
        <f t="shared" si="5"/>
        <v>0</v>
      </c>
      <c r="P32" t="str">
        <f t="shared" si="6"/>
        <v>0</v>
      </c>
      <c r="Q32" t="str">
        <f t="shared" si="7"/>
        <v>0</v>
      </c>
      <c r="R32" t="str">
        <f t="shared" si="8"/>
        <v>0</v>
      </c>
      <c r="S32" t="str">
        <f t="shared" si="9"/>
        <v>0</v>
      </c>
      <c r="T32" t="str">
        <f t="shared" si="10"/>
        <v>0</v>
      </c>
      <c r="U32" t="str">
        <f t="shared" si="11"/>
        <v>0</v>
      </c>
      <c r="V32" t="str">
        <f t="shared" si="12"/>
        <v>0</v>
      </c>
      <c r="W32" t="str">
        <f t="shared" si="13"/>
        <v>00000000</v>
      </c>
    </row>
    <row r="33" spans="1:23" x14ac:dyDescent="0.4">
      <c r="A33" t="str">
        <f t="shared" si="4"/>
        <v>1F</v>
      </c>
      <c r="B33" t="str">
        <f t="shared" si="0"/>
        <v>00</v>
      </c>
      <c r="C33">
        <f t="shared" si="1"/>
        <v>0</v>
      </c>
      <c r="D33" t="s">
        <v>362</v>
      </c>
      <c r="M33" t="str">
        <f t="shared" si="16"/>
        <v>1F</v>
      </c>
      <c r="N33" t="str">
        <f t="shared" si="19"/>
        <v>00000000</v>
      </c>
      <c r="O33" t="str">
        <f t="shared" si="5"/>
        <v>0</v>
      </c>
      <c r="P33" t="str">
        <f t="shared" si="6"/>
        <v>0</v>
      </c>
      <c r="Q33" t="str">
        <f t="shared" si="7"/>
        <v>0</v>
      </c>
      <c r="R33" t="str">
        <f t="shared" si="8"/>
        <v>0</v>
      </c>
      <c r="S33" t="str">
        <f t="shared" si="9"/>
        <v>0</v>
      </c>
      <c r="T33" t="str">
        <f t="shared" si="10"/>
        <v>0</v>
      </c>
      <c r="U33" t="str">
        <f t="shared" si="11"/>
        <v>0</v>
      </c>
      <c r="V33" t="str">
        <f t="shared" si="12"/>
        <v>0</v>
      </c>
      <c r="W33" t="str">
        <f t="shared" si="13"/>
        <v>00000000</v>
      </c>
    </row>
    <row r="34" spans="1:23" x14ac:dyDescent="0.4">
      <c r="A34" t="str">
        <f t="shared" si="4"/>
        <v>20</v>
      </c>
      <c r="B34" t="str">
        <f t="shared" ref="B34:B65" si="20">LEFT(RIGHT(G$1,H$1-2*(ROW(B34)-2)),2)</f>
        <v>03</v>
      </c>
      <c r="C34">
        <f t="shared" ref="C34:C65" si="21">HEX2DEC(B34)</f>
        <v>3</v>
      </c>
      <c r="D34" t="s">
        <v>361</v>
      </c>
      <c r="M34" t="str">
        <f t="shared" si="16"/>
        <v>20</v>
      </c>
      <c r="N34" t="str">
        <f t="shared" si="19"/>
        <v>00000011</v>
      </c>
      <c r="O34" t="str">
        <f t="shared" si="5"/>
        <v>1</v>
      </c>
      <c r="P34" t="str">
        <f t="shared" si="6"/>
        <v>1</v>
      </c>
      <c r="Q34" t="str">
        <f t="shared" si="7"/>
        <v>0</v>
      </c>
      <c r="R34" t="str">
        <f t="shared" si="8"/>
        <v>0</v>
      </c>
      <c r="S34" t="str">
        <f t="shared" si="9"/>
        <v>0</v>
      </c>
      <c r="T34" t="str">
        <f t="shared" si="10"/>
        <v>0</v>
      </c>
      <c r="U34" t="str">
        <f t="shared" si="11"/>
        <v>0</v>
      </c>
      <c r="V34" t="str">
        <f t="shared" si="12"/>
        <v>0</v>
      </c>
      <c r="W34" t="str">
        <f t="shared" si="13"/>
        <v>11000000</v>
      </c>
    </row>
    <row r="35" spans="1:23" x14ac:dyDescent="0.4">
      <c r="A35" t="str">
        <f t="shared" ref="A35:A66" si="22">DEC2HEX(1+HEX2DEC(A34))</f>
        <v>21</v>
      </c>
      <c r="B35" t="str">
        <f t="shared" si="20"/>
        <v>03</v>
      </c>
      <c r="C35">
        <f t="shared" si="21"/>
        <v>3</v>
      </c>
      <c r="D35" t="s">
        <v>309</v>
      </c>
      <c r="M35" t="str">
        <f t="shared" si="16"/>
        <v>21</v>
      </c>
      <c r="N35" t="str">
        <f t="shared" si="19"/>
        <v>00000011</v>
      </c>
      <c r="O35" t="str">
        <f t="shared" si="5"/>
        <v>1</v>
      </c>
      <c r="P35" t="str">
        <f t="shared" si="6"/>
        <v>1</v>
      </c>
      <c r="Q35" t="str">
        <f t="shared" si="7"/>
        <v>0</v>
      </c>
      <c r="R35" t="str">
        <f t="shared" si="8"/>
        <v>0</v>
      </c>
      <c r="S35" t="str">
        <f t="shared" si="9"/>
        <v>0</v>
      </c>
      <c r="T35" t="str">
        <f t="shared" si="10"/>
        <v>0</v>
      </c>
      <c r="U35" t="str">
        <f t="shared" si="11"/>
        <v>0</v>
      </c>
      <c r="V35" t="str">
        <f t="shared" si="12"/>
        <v>0</v>
      </c>
      <c r="W35" t="str">
        <f t="shared" si="13"/>
        <v>11000000</v>
      </c>
    </row>
    <row r="36" spans="1:23" x14ac:dyDescent="0.4">
      <c r="A36" t="str">
        <f t="shared" si="22"/>
        <v>22</v>
      </c>
      <c r="B36" t="str">
        <f t="shared" si="20"/>
        <v>2B</v>
      </c>
      <c r="C36">
        <f t="shared" si="21"/>
        <v>43</v>
      </c>
      <c r="D36" t="s">
        <v>360</v>
      </c>
      <c r="M36" t="str">
        <f t="shared" si="16"/>
        <v>22</v>
      </c>
      <c r="N36" t="str">
        <f t="shared" si="19"/>
        <v>00101011</v>
      </c>
      <c r="O36" t="str">
        <f t="shared" si="5"/>
        <v>1</v>
      </c>
      <c r="P36" t="str">
        <f t="shared" si="6"/>
        <v>1</v>
      </c>
      <c r="Q36" t="str">
        <f t="shared" si="7"/>
        <v>0</v>
      </c>
      <c r="R36" t="str">
        <f t="shared" si="8"/>
        <v>1</v>
      </c>
      <c r="S36" t="str">
        <f t="shared" si="9"/>
        <v>0</v>
      </c>
      <c r="T36" t="str">
        <f t="shared" si="10"/>
        <v>1</v>
      </c>
      <c r="U36" t="str">
        <f t="shared" si="11"/>
        <v>0</v>
      </c>
      <c r="V36" t="str">
        <f t="shared" si="12"/>
        <v>0</v>
      </c>
      <c r="W36" t="str">
        <f t="shared" si="13"/>
        <v>11010100</v>
      </c>
    </row>
    <row r="37" spans="1:23" x14ac:dyDescent="0.4">
      <c r="A37" t="str">
        <f t="shared" si="22"/>
        <v>23</v>
      </c>
      <c r="B37" t="str">
        <f t="shared" si="20"/>
        <v>00</v>
      </c>
      <c r="C37">
        <f t="shared" si="21"/>
        <v>0</v>
      </c>
      <c r="M37" t="str">
        <f t="shared" si="16"/>
        <v>23</v>
      </c>
      <c r="N37" t="str">
        <f t="shared" si="19"/>
        <v>00000000</v>
      </c>
      <c r="O37" t="str">
        <f t="shared" si="5"/>
        <v>0</v>
      </c>
      <c r="P37" t="str">
        <f t="shared" si="6"/>
        <v>0</v>
      </c>
      <c r="Q37" t="str">
        <f t="shared" si="7"/>
        <v>0</v>
      </c>
      <c r="R37" t="str">
        <f t="shared" si="8"/>
        <v>0</v>
      </c>
      <c r="S37" t="str">
        <f t="shared" si="9"/>
        <v>0</v>
      </c>
      <c r="T37" t="str">
        <f t="shared" si="10"/>
        <v>0</v>
      </c>
      <c r="U37" t="str">
        <f t="shared" si="11"/>
        <v>0</v>
      </c>
      <c r="V37" t="str">
        <f t="shared" si="12"/>
        <v>0</v>
      </c>
      <c r="W37" t="str">
        <f t="shared" si="13"/>
        <v>00000000</v>
      </c>
    </row>
    <row r="38" spans="1:23" x14ac:dyDescent="0.4">
      <c r="A38" t="str">
        <f t="shared" si="22"/>
        <v>24</v>
      </c>
      <c r="B38" t="str">
        <f t="shared" si="20"/>
        <v>46</v>
      </c>
      <c r="C38">
        <f t="shared" si="21"/>
        <v>70</v>
      </c>
      <c r="M38" t="str">
        <f t="shared" si="16"/>
        <v>24</v>
      </c>
      <c r="N38" t="str">
        <f t="shared" si="19"/>
        <v>01000110</v>
      </c>
      <c r="O38" t="str">
        <f t="shared" si="5"/>
        <v>0</v>
      </c>
      <c r="P38" t="str">
        <f t="shared" si="6"/>
        <v>1</v>
      </c>
      <c r="Q38" t="str">
        <f t="shared" si="7"/>
        <v>1</v>
      </c>
      <c r="R38" t="str">
        <f t="shared" si="8"/>
        <v>0</v>
      </c>
      <c r="S38" t="str">
        <f t="shared" si="9"/>
        <v>0</v>
      </c>
      <c r="T38" t="str">
        <f t="shared" si="10"/>
        <v>0</v>
      </c>
      <c r="U38" t="str">
        <f t="shared" si="11"/>
        <v>1</v>
      </c>
      <c r="V38" t="str">
        <f t="shared" si="12"/>
        <v>0</v>
      </c>
      <c r="W38" t="str">
        <f t="shared" si="13"/>
        <v>01100010</v>
      </c>
    </row>
    <row r="39" spans="1:23" x14ac:dyDescent="0.4">
      <c r="A39" t="str">
        <f t="shared" si="22"/>
        <v>25</v>
      </c>
      <c r="B39" t="str">
        <f t="shared" si="20"/>
        <v>00</v>
      </c>
      <c r="C39">
        <f t="shared" si="21"/>
        <v>0</v>
      </c>
      <c r="M39" t="str">
        <f t="shared" si="16"/>
        <v>25</v>
      </c>
      <c r="N39" t="str">
        <f t="shared" si="19"/>
        <v>00000000</v>
      </c>
      <c r="O39" t="str">
        <f t="shared" si="5"/>
        <v>0</v>
      </c>
      <c r="P39" t="str">
        <f t="shared" si="6"/>
        <v>0</v>
      </c>
      <c r="Q39" t="str">
        <f t="shared" si="7"/>
        <v>0</v>
      </c>
      <c r="R39" t="str">
        <f t="shared" si="8"/>
        <v>0</v>
      </c>
      <c r="S39" t="str">
        <f t="shared" si="9"/>
        <v>0</v>
      </c>
      <c r="T39" t="str">
        <f t="shared" si="10"/>
        <v>0</v>
      </c>
      <c r="U39" t="str">
        <f t="shared" si="11"/>
        <v>0</v>
      </c>
      <c r="V39" t="str">
        <f t="shared" si="12"/>
        <v>0</v>
      </c>
      <c r="W39" t="str">
        <f t="shared" si="13"/>
        <v>00000000</v>
      </c>
    </row>
    <row r="40" spans="1:23" x14ac:dyDescent="0.4">
      <c r="A40" t="str">
        <f t="shared" si="22"/>
        <v>26</v>
      </c>
      <c r="B40" t="str">
        <f t="shared" si="20"/>
        <v>45</v>
      </c>
      <c r="C40">
        <f t="shared" si="21"/>
        <v>69</v>
      </c>
      <c r="M40" t="str">
        <f t="shared" si="16"/>
        <v>26</v>
      </c>
      <c r="N40" t="str">
        <f t="shared" si="19"/>
        <v>01000101</v>
      </c>
      <c r="O40" t="str">
        <f t="shared" si="5"/>
        <v>1</v>
      </c>
      <c r="P40" t="str">
        <f t="shared" si="6"/>
        <v>0</v>
      </c>
      <c r="Q40" t="str">
        <f t="shared" si="7"/>
        <v>1</v>
      </c>
      <c r="R40" t="str">
        <f t="shared" si="8"/>
        <v>0</v>
      </c>
      <c r="S40" t="str">
        <f t="shared" si="9"/>
        <v>0</v>
      </c>
      <c r="T40" t="str">
        <f t="shared" si="10"/>
        <v>0</v>
      </c>
      <c r="U40" t="str">
        <f t="shared" si="11"/>
        <v>1</v>
      </c>
      <c r="V40" t="str">
        <f t="shared" si="12"/>
        <v>0</v>
      </c>
      <c r="W40" t="str">
        <f t="shared" si="13"/>
        <v>10100010</v>
      </c>
    </row>
    <row r="41" spans="1:23" x14ac:dyDescent="0.4">
      <c r="A41" t="str">
        <f t="shared" si="22"/>
        <v>27</v>
      </c>
      <c r="B41" t="str">
        <f t="shared" si="20"/>
        <v>00</v>
      </c>
      <c r="C41">
        <f t="shared" si="21"/>
        <v>0</v>
      </c>
      <c r="M41" t="str">
        <f t="shared" si="16"/>
        <v>27</v>
      </c>
      <c r="N41" t="str">
        <f t="shared" si="19"/>
        <v>00000000</v>
      </c>
      <c r="O41" t="str">
        <f t="shared" si="5"/>
        <v>0</v>
      </c>
      <c r="P41" t="str">
        <f t="shared" si="6"/>
        <v>0</v>
      </c>
      <c r="Q41" t="str">
        <f t="shared" si="7"/>
        <v>0</v>
      </c>
      <c r="R41" t="str">
        <f t="shared" si="8"/>
        <v>0</v>
      </c>
      <c r="S41" t="str">
        <f t="shared" si="9"/>
        <v>0</v>
      </c>
      <c r="T41" t="str">
        <f t="shared" si="10"/>
        <v>0</v>
      </c>
      <c r="U41" t="str">
        <f t="shared" si="11"/>
        <v>0</v>
      </c>
      <c r="V41" t="str">
        <f t="shared" si="12"/>
        <v>0</v>
      </c>
      <c r="W41" t="str">
        <f t="shared" si="13"/>
        <v>00000000</v>
      </c>
    </row>
    <row r="42" spans="1:23" x14ac:dyDescent="0.4">
      <c r="A42" t="str">
        <f t="shared" si="22"/>
        <v>28</v>
      </c>
      <c r="B42" t="str">
        <f t="shared" si="20"/>
        <v>F8</v>
      </c>
      <c r="C42">
        <f t="shared" si="21"/>
        <v>248</v>
      </c>
      <c r="M42" t="str">
        <f t="shared" si="16"/>
        <v>28</v>
      </c>
      <c r="N42" t="str">
        <f t="shared" si="19"/>
        <v>11111000</v>
      </c>
      <c r="O42" t="str">
        <f t="shared" si="5"/>
        <v>0</v>
      </c>
      <c r="P42" t="str">
        <f t="shared" si="6"/>
        <v>0</v>
      </c>
      <c r="Q42" t="str">
        <f t="shared" si="7"/>
        <v>0</v>
      </c>
      <c r="R42" t="str">
        <f t="shared" si="8"/>
        <v>1</v>
      </c>
      <c r="S42" t="str">
        <f t="shared" si="9"/>
        <v>1</v>
      </c>
      <c r="T42" t="str">
        <f t="shared" si="10"/>
        <v>1</v>
      </c>
      <c r="U42" t="str">
        <f t="shared" si="11"/>
        <v>1</v>
      </c>
      <c r="V42" t="str">
        <f t="shared" si="12"/>
        <v>1</v>
      </c>
      <c r="W42" t="str">
        <f t="shared" si="13"/>
        <v>00011111</v>
      </c>
    </row>
    <row r="43" spans="1:23" x14ac:dyDescent="0.4">
      <c r="A43" t="str">
        <f t="shared" si="22"/>
        <v>29</v>
      </c>
      <c r="B43" t="str">
        <f t="shared" si="20"/>
        <v>87</v>
      </c>
      <c r="C43">
        <f t="shared" si="21"/>
        <v>135</v>
      </c>
      <c r="M43" t="str">
        <f t="shared" si="16"/>
        <v>29</v>
      </c>
      <c r="N43" t="str">
        <f t="shared" si="19"/>
        <v>10000111</v>
      </c>
      <c r="O43" t="str">
        <f t="shared" si="5"/>
        <v>1</v>
      </c>
      <c r="P43" t="str">
        <f t="shared" si="6"/>
        <v>1</v>
      </c>
      <c r="Q43" t="str">
        <f t="shared" si="7"/>
        <v>1</v>
      </c>
      <c r="R43" t="str">
        <f t="shared" si="8"/>
        <v>0</v>
      </c>
      <c r="S43" t="str">
        <f t="shared" si="9"/>
        <v>0</v>
      </c>
      <c r="T43" t="str">
        <f t="shared" si="10"/>
        <v>0</v>
      </c>
      <c r="U43" t="str">
        <f t="shared" si="11"/>
        <v>0</v>
      </c>
      <c r="V43" t="str">
        <f t="shared" si="12"/>
        <v>1</v>
      </c>
      <c r="W43" t="str">
        <f t="shared" si="13"/>
        <v>11100001</v>
      </c>
    </row>
    <row r="44" spans="1:23" x14ac:dyDescent="0.4">
      <c r="A44" t="str">
        <f t="shared" si="22"/>
        <v>2A</v>
      </c>
      <c r="B44" t="str">
        <f t="shared" si="20"/>
        <v>23</v>
      </c>
      <c r="C44">
        <f t="shared" si="21"/>
        <v>35</v>
      </c>
      <c r="M44" t="str">
        <f t="shared" si="16"/>
        <v>2A</v>
      </c>
      <c r="N44" t="str">
        <f t="shared" si="19"/>
        <v>00100011</v>
      </c>
      <c r="O44" t="str">
        <f t="shared" si="5"/>
        <v>1</v>
      </c>
      <c r="P44" t="str">
        <f t="shared" si="6"/>
        <v>1</v>
      </c>
      <c r="Q44" t="str">
        <f t="shared" si="7"/>
        <v>0</v>
      </c>
      <c r="R44" t="str">
        <f t="shared" si="8"/>
        <v>0</v>
      </c>
      <c r="S44" t="str">
        <f t="shared" si="9"/>
        <v>0</v>
      </c>
      <c r="T44" t="str">
        <f t="shared" si="10"/>
        <v>1</v>
      </c>
      <c r="U44" t="str">
        <f t="shared" si="11"/>
        <v>0</v>
      </c>
      <c r="V44" t="str">
        <f t="shared" si="12"/>
        <v>0</v>
      </c>
      <c r="W44" t="str">
        <f t="shared" si="13"/>
        <v>11000100</v>
      </c>
    </row>
    <row r="45" spans="1:23" x14ac:dyDescent="0.4">
      <c r="A45" t="str">
        <f t="shared" si="22"/>
        <v>2B</v>
      </c>
      <c r="B45" t="str">
        <f t="shared" si="20"/>
        <v>86</v>
      </c>
      <c r="C45">
        <f t="shared" si="21"/>
        <v>134</v>
      </c>
      <c r="M45" t="str">
        <f t="shared" si="16"/>
        <v>2B</v>
      </c>
      <c r="N45" t="str">
        <f t="shared" si="19"/>
        <v>10000110</v>
      </c>
      <c r="O45" t="str">
        <f t="shared" si="5"/>
        <v>0</v>
      </c>
      <c r="P45" t="str">
        <f t="shared" si="6"/>
        <v>1</v>
      </c>
      <c r="Q45" t="str">
        <f t="shared" si="7"/>
        <v>1</v>
      </c>
      <c r="R45" t="str">
        <f t="shared" si="8"/>
        <v>0</v>
      </c>
      <c r="S45" t="str">
        <f t="shared" si="9"/>
        <v>0</v>
      </c>
      <c r="T45" t="str">
        <f t="shared" si="10"/>
        <v>0</v>
      </c>
      <c r="U45" t="str">
        <f t="shared" si="11"/>
        <v>0</v>
      </c>
      <c r="V45" t="str">
        <f t="shared" si="12"/>
        <v>1</v>
      </c>
      <c r="W45" t="str">
        <f t="shared" si="13"/>
        <v>01100001</v>
      </c>
    </row>
    <row r="46" spans="1:23" x14ac:dyDescent="0.4">
      <c r="A46" t="str">
        <f t="shared" si="22"/>
        <v>2C</v>
      </c>
      <c r="B46" t="str">
        <f t="shared" si="20"/>
        <v>9B</v>
      </c>
      <c r="C46">
        <f t="shared" si="21"/>
        <v>155</v>
      </c>
      <c r="M46" t="str">
        <f t="shared" si="16"/>
        <v>2C</v>
      </c>
      <c r="N46" t="str">
        <f t="shared" si="19"/>
        <v>10011011</v>
      </c>
      <c r="O46" t="str">
        <f t="shared" si="5"/>
        <v>1</v>
      </c>
      <c r="P46" t="str">
        <f t="shared" si="6"/>
        <v>1</v>
      </c>
      <c r="Q46" t="str">
        <f t="shared" si="7"/>
        <v>0</v>
      </c>
      <c r="R46" t="str">
        <f t="shared" si="8"/>
        <v>1</v>
      </c>
      <c r="S46" t="str">
        <f t="shared" si="9"/>
        <v>1</v>
      </c>
      <c r="T46" t="str">
        <f t="shared" si="10"/>
        <v>0</v>
      </c>
      <c r="U46" t="str">
        <f t="shared" si="11"/>
        <v>0</v>
      </c>
      <c r="V46" t="str">
        <f t="shared" si="12"/>
        <v>1</v>
      </c>
      <c r="W46" t="str">
        <f t="shared" si="13"/>
        <v>11011001</v>
      </c>
    </row>
    <row r="47" spans="1:23" x14ac:dyDescent="0.4">
      <c r="A47" t="str">
        <f t="shared" si="22"/>
        <v>2D</v>
      </c>
      <c r="B47" t="str">
        <f t="shared" si="20"/>
        <v>9A</v>
      </c>
      <c r="C47">
        <f t="shared" si="21"/>
        <v>154</v>
      </c>
      <c r="M47" t="str">
        <f t="shared" si="16"/>
        <v>2D</v>
      </c>
      <c r="N47" t="str">
        <f t="shared" si="19"/>
        <v>10011010</v>
      </c>
      <c r="O47" t="str">
        <f t="shared" si="5"/>
        <v>0</v>
      </c>
      <c r="P47" t="str">
        <f t="shared" si="6"/>
        <v>1</v>
      </c>
      <c r="Q47" t="str">
        <f t="shared" si="7"/>
        <v>0</v>
      </c>
      <c r="R47" t="str">
        <f t="shared" si="8"/>
        <v>1</v>
      </c>
      <c r="S47" t="str">
        <f t="shared" si="9"/>
        <v>1</v>
      </c>
      <c r="T47" t="str">
        <f t="shared" si="10"/>
        <v>0</v>
      </c>
      <c r="U47" t="str">
        <f t="shared" si="11"/>
        <v>0</v>
      </c>
      <c r="V47" t="str">
        <f t="shared" si="12"/>
        <v>1</v>
      </c>
      <c r="W47" t="str">
        <f t="shared" si="13"/>
        <v>01011001</v>
      </c>
    </row>
    <row r="48" spans="1:23" x14ac:dyDescent="0.4">
      <c r="A48" t="str">
        <f t="shared" si="22"/>
        <v>2E</v>
      </c>
      <c r="B48" t="str">
        <f t="shared" si="20"/>
        <v>30</v>
      </c>
      <c r="C48">
        <f t="shared" si="21"/>
        <v>48</v>
      </c>
      <c r="M48" t="str">
        <f t="shared" si="16"/>
        <v>2E</v>
      </c>
      <c r="N48" t="str">
        <f t="shared" si="19"/>
        <v>00110000</v>
      </c>
      <c r="O48" t="str">
        <f t="shared" si="5"/>
        <v>0</v>
      </c>
      <c r="P48" t="str">
        <f t="shared" si="6"/>
        <v>0</v>
      </c>
      <c r="Q48" t="str">
        <f t="shared" si="7"/>
        <v>0</v>
      </c>
      <c r="R48" t="str">
        <f t="shared" si="8"/>
        <v>0</v>
      </c>
      <c r="S48" t="str">
        <f t="shared" si="9"/>
        <v>1</v>
      </c>
      <c r="T48" t="str">
        <f t="shared" si="10"/>
        <v>1</v>
      </c>
      <c r="U48" t="str">
        <f t="shared" si="11"/>
        <v>0</v>
      </c>
      <c r="V48" t="str">
        <f t="shared" si="12"/>
        <v>0</v>
      </c>
      <c r="W48" t="str">
        <f t="shared" si="13"/>
        <v>00001100</v>
      </c>
    </row>
    <row r="49" spans="1:23" x14ac:dyDescent="0.4">
      <c r="A49" t="str">
        <f t="shared" si="22"/>
        <v>2F</v>
      </c>
      <c r="B49" t="str">
        <f t="shared" si="20"/>
        <v>4C</v>
      </c>
      <c r="C49">
        <f t="shared" si="21"/>
        <v>76</v>
      </c>
      <c r="M49" t="str">
        <f t="shared" si="16"/>
        <v>2F</v>
      </c>
      <c r="N49" t="str">
        <f t="shared" si="19"/>
        <v>01001100</v>
      </c>
      <c r="O49" t="str">
        <f t="shared" si="5"/>
        <v>0</v>
      </c>
      <c r="P49" t="str">
        <f t="shared" si="6"/>
        <v>0</v>
      </c>
      <c r="Q49" t="str">
        <f t="shared" si="7"/>
        <v>1</v>
      </c>
      <c r="R49" t="str">
        <f t="shared" si="8"/>
        <v>1</v>
      </c>
      <c r="S49" t="str">
        <f t="shared" si="9"/>
        <v>0</v>
      </c>
      <c r="T49" t="str">
        <f t="shared" si="10"/>
        <v>0</v>
      </c>
      <c r="U49" t="str">
        <f t="shared" si="11"/>
        <v>1</v>
      </c>
      <c r="V49" t="str">
        <f t="shared" si="12"/>
        <v>0</v>
      </c>
      <c r="W49" t="str">
        <f t="shared" si="13"/>
        <v>00110010</v>
      </c>
    </row>
    <row r="50" spans="1:23" x14ac:dyDescent="0.4">
      <c r="A50" t="str">
        <f t="shared" si="22"/>
        <v>30</v>
      </c>
      <c r="B50" t="str">
        <f t="shared" si="20"/>
        <v>00</v>
      </c>
      <c r="C50">
        <f t="shared" si="21"/>
        <v>0</v>
      </c>
      <c r="M50" t="str">
        <f t="shared" si="16"/>
        <v>30</v>
      </c>
      <c r="N50" t="str">
        <f t="shared" si="19"/>
        <v>00000000</v>
      </c>
      <c r="O50" t="str">
        <f t="shared" si="5"/>
        <v>0</v>
      </c>
      <c r="P50" t="str">
        <f t="shared" si="6"/>
        <v>0</v>
      </c>
      <c r="Q50" t="str">
        <f t="shared" si="7"/>
        <v>0</v>
      </c>
      <c r="R50" t="str">
        <f t="shared" si="8"/>
        <v>0</v>
      </c>
      <c r="S50" t="str">
        <f t="shared" si="9"/>
        <v>0</v>
      </c>
      <c r="T50" t="str">
        <f t="shared" si="10"/>
        <v>0</v>
      </c>
      <c r="U50" t="str">
        <f t="shared" si="11"/>
        <v>0</v>
      </c>
      <c r="V50" t="str">
        <f t="shared" si="12"/>
        <v>0</v>
      </c>
      <c r="W50" t="str">
        <f t="shared" si="13"/>
        <v>00000000</v>
      </c>
    </row>
    <row r="51" spans="1:23" x14ac:dyDescent="0.4">
      <c r="A51" t="str">
        <f t="shared" si="22"/>
        <v>31</v>
      </c>
      <c r="B51" t="str">
        <f t="shared" si="20"/>
        <v>28</v>
      </c>
      <c r="C51">
        <f t="shared" si="21"/>
        <v>40</v>
      </c>
      <c r="M51" t="str">
        <f t="shared" si="16"/>
        <v>31</v>
      </c>
      <c r="N51" t="str">
        <f t="shared" si="19"/>
        <v>00101000</v>
      </c>
      <c r="O51" t="str">
        <f t="shared" si="5"/>
        <v>0</v>
      </c>
      <c r="P51" t="str">
        <f t="shared" si="6"/>
        <v>0</v>
      </c>
      <c r="Q51" t="str">
        <f t="shared" si="7"/>
        <v>0</v>
      </c>
      <c r="R51" t="str">
        <f t="shared" si="8"/>
        <v>1</v>
      </c>
      <c r="S51" t="str">
        <f t="shared" si="9"/>
        <v>0</v>
      </c>
      <c r="T51" t="str">
        <f t="shared" si="10"/>
        <v>1</v>
      </c>
      <c r="U51" t="str">
        <f t="shared" si="11"/>
        <v>0</v>
      </c>
      <c r="V51" t="str">
        <f t="shared" si="12"/>
        <v>0</v>
      </c>
      <c r="W51" t="str">
        <f t="shared" si="13"/>
        <v>00010100</v>
      </c>
    </row>
    <row r="52" spans="1:23" x14ac:dyDescent="0.4">
      <c r="A52" t="str">
        <f t="shared" si="22"/>
        <v>32</v>
      </c>
      <c r="B52" t="str">
        <f t="shared" si="20"/>
        <v>A9</v>
      </c>
      <c r="C52">
        <f t="shared" si="21"/>
        <v>169</v>
      </c>
      <c r="M52" t="str">
        <f t="shared" si="16"/>
        <v>32</v>
      </c>
      <c r="N52" t="str">
        <f t="shared" si="19"/>
        <v>10101001</v>
      </c>
      <c r="O52" t="str">
        <f t="shared" si="5"/>
        <v>1</v>
      </c>
      <c r="P52" t="str">
        <f t="shared" si="6"/>
        <v>0</v>
      </c>
      <c r="Q52" t="str">
        <f t="shared" si="7"/>
        <v>0</v>
      </c>
      <c r="R52" t="str">
        <f t="shared" si="8"/>
        <v>1</v>
      </c>
      <c r="S52" t="str">
        <f t="shared" si="9"/>
        <v>0</v>
      </c>
      <c r="T52" t="str">
        <f t="shared" si="10"/>
        <v>1</v>
      </c>
      <c r="U52" t="str">
        <f t="shared" si="11"/>
        <v>0</v>
      </c>
      <c r="V52" t="str">
        <f t="shared" si="12"/>
        <v>1</v>
      </c>
      <c r="W52" t="str">
        <f t="shared" si="13"/>
        <v>10010101</v>
      </c>
    </row>
    <row r="53" spans="1:23" x14ac:dyDescent="0.4">
      <c r="A53" t="str">
        <f t="shared" si="22"/>
        <v>33</v>
      </c>
      <c r="B53" t="str">
        <f t="shared" si="20"/>
        <v>22</v>
      </c>
      <c r="C53">
        <f t="shared" si="21"/>
        <v>34</v>
      </c>
      <c r="M53" t="str">
        <f t="shared" si="16"/>
        <v>33</v>
      </c>
      <c r="N53" t="str">
        <f t="shared" si="19"/>
        <v>00100010</v>
      </c>
      <c r="O53" t="str">
        <f t="shared" si="5"/>
        <v>0</v>
      </c>
      <c r="P53" t="str">
        <f t="shared" si="6"/>
        <v>1</v>
      </c>
      <c r="Q53" t="str">
        <f t="shared" si="7"/>
        <v>0</v>
      </c>
      <c r="R53" t="str">
        <f t="shared" si="8"/>
        <v>0</v>
      </c>
      <c r="S53" t="str">
        <f t="shared" si="9"/>
        <v>0</v>
      </c>
      <c r="T53" t="str">
        <f t="shared" si="10"/>
        <v>1</v>
      </c>
      <c r="U53" t="str">
        <f t="shared" si="11"/>
        <v>0</v>
      </c>
      <c r="V53" t="str">
        <f t="shared" si="12"/>
        <v>0</v>
      </c>
      <c r="W53" t="str">
        <f t="shared" si="13"/>
        <v>01000100</v>
      </c>
    </row>
    <row r="54" spans="1:23" x14ac:dyDescent="0.4">
      <c r="A54" t="str">
        <f t="shared" si="22"/>
        <v>34</v>
      </c>
      <c r="B54" t="str">
        <f t="shared" si="20"/>
        <v>09</v>
      </c>
      <c r="C54">
        <f t="shared" si="21"/>
        <v>9</v>
      </c>
      <c r="M54" t="str">
        <f t="shared" si="16"/>
        <v>34</v>
      </c>
      <c r="N54" t="str">
        <f t="shared" si="19"/>
        <v>00001001</v>
      </c>
      <c r="O54" t="str">
        <f t="shared" si="5"/>
        <v>1</v>
      </c>
      <c r="P54" t="str">
        <f t="shared" si="6"/>
        <v>0</v>
      </c>
      <c r="Q54" t="str">
        <f t="shared" si="7"/>
        <v>0</v>
      </c>
      <c r="R54" t="str">
        <f t="shared" si="8"/>
        <v>1</v>
      </c>
      <c r="S54" t="str">
        <f t="shared" si="9"/>
        <v>0</v>
      </c>
      <c r="T54" t="str">
        <f t="shared" si="10"/>
        <v>0</v>
      </c>
      <c r="U54" t="str">
        <f t="shared" si="11"/>
        <v>0</v>
      </c>
      <c r="V54" t="str">
        <f t="shared" si="12"/>
        <v>0</v>
      </c>
      <c r="W54" t="str">
        <f t="shared" si="13"/>
        <v>10010000</v>
      </c>
    </row>
    <row r="55" spans="1:23" x14ac:dyDescent="0.4">
      <c r="A55" t="str">
        <f t="shared" si="22"/>
        <v>35</v>
      </c>
      <c r="B55" t="str">
        <f t="shared" si="20"/>
        <v>00</v>
      </c>
      <c r="C55">
        <f t="shared" si="21"/>
        <v>0</v>
      </c>
      <c r="M55" t="str">
        <f t="shared" si="16"/>
        <v>35</v>
      </c>
      <c r="N55" t="str">
        <f t="shared" si="19"/>
        <v>00000000</v>
      </c>
      <c r="O55" t="str">
        <f t="shared" si="5"/>
        <v>0</v>
      </c>
      <c r="P55" t="str">
        <f t="shared" si="6"/>
        <v>0</v>
      </c>
      <c r="Q55" t="str">
        <f t="shared" si="7"/>
        <v>0</v>
      </c>
      <c r="R55" t="str">
        <f t="shared" si="8"/>
        <v>0</v>
      </c>
      <c r="S55" t="str">
        <f t="shared" si="9"/>
        <v>0</v>
      </c>
      <c r="T55" t="str">
        <f t="shared" si="10"/>
        <v>0</v>
      </c>
      <c r="U55" t="str">
        <f t="shared" si="11"/>
        <v>0</v>
      </c>
      <c r="V55" t="str">
        <f t="shared" si="12"/>
        <v>0</v>
      </c>
      <c r="W55" t="str">
        <f t="shared" si="13"/>
        <v>00000000</v>
      </c>
    </row>
    <row r="56" spans="1:23" x14ac:dyDescent="0.4">
      <c r="A56" t="str">
        <f t="shared" si="22"/>
        <v>36</v>
      </c>
      <c r="B56" t="str">
        <f t="shared" si="20"/>
        <v>00</v>
      </c>
      <c r="C56">
        <f t="shared" si="21"/>
        <v>0</v>
      </c>
      <c r="M56" t="str">
        <f t="shared" si="16"/>
        <v>36</v>
      </c>
      <c r="N56" t="str">
        <f t="shared" si="19"/>
        <v>00000000</v>
      </c>
      <c r="O56" t="str">
        <f t="shared" si="5"/>
        <v>0</v>
      </c>
      <c r="P56" t="str">
        <f t="shared" si="6"/>
        <v>0</v>
      </c>
      <c r="Q56" t="str">
        <f t="shared" si="7"/>
        <v>0</v>
      </c>
      <c r="R56" t="str">
        <f t="shared" si="8"/>
        <v>0</v>
      </c>
      <c r="S56" t="str">
        <f t="shared" si="9"/>
        <v>0</v>
      </c>
      <c r="T56" t="str">
        <f t="shared" si="10"/>
        <v>0</v>
      </c>
      <c r="U56" t="str">
        <f t="shared" si="11"/>
        <v>0</v>
      </c>
      <c r="V56" t="str">
        <f t="shared" si="12"/>
        <v>0</v>
      </c>
      <c r="W56" t="str">
        <f t="shared" si="13"/>
        <v>00000000</v>
      </c>
    </row>
    <row r="57" spans="1:23" x14ac:dyDescent="0.4">
      <c r="A57" t="str">
        <f t="shared" si="22"/>
        <v>37</v>
      </c>
      <c r="B57" t="str">
        <f t="shared" si="20"/>
        <v>00</v>
      </c>
      <c r="C57">
        <f t="shared" si="21"/>
        <v>0</v>
      </c>
      <c r="M57" t="str">
        <f t="shared" si="16"/>
        <v>37</v>
      </c>
      <c r="N57" t="str">
        <f t="shared" si="19"/>
        <v>00000000</v>
      </c>
      <c r="O57" t="str">
        <f t="shared" si="5"/>
        <v>0</v>
      </c>
      <c r="P57" t="str">
        <f t="shared" si="6"/>
        <v>0</v>
      </c>
      <c r="Q57" t="str">
        <f t="shared" si="7"/>
        <v>0</v>
      </c>
      <c r="R57" t="str">
        <f t="shared" si="8"/>
        <v>0</v>
      </c>
      <c r="S57" t="str">
        <f t="shared" si="9"/>
        <v>0</v>
      </c>
      <c r="T57" t="str">
        <f t="shared" si="10"/>
        <v>0</v>
      </c>
      <c r="U57" t="str">
        <f t="shared" si="11"/>
        <v>0</v>
      </c>
      <c r="V57" t="str">
        <f t="shared" si="12"/>
        <v>0</v>
      </c>
      <c r="W57" t="str">
        <f t="shared" si="13"/>
        <v>00000000</v>
      </c>
    </row>
    <row r="58" spans="1:23" x14ac:dyDescent="0.4">
      <c r="A58" t="str">
        <f t="shared" si="22"/>
        <v>38</v>
      </c>
      <c r="B58" t="str">
        <f t="shared" si="20"/>
        <v>09</v>
      </c>
      <c r="C58">
        <f t="shared" si="21"/>
        <v>9</v>
      </c>
      <c r="M58" t="str">
        <f t="shared" si="16"/>
        <v>38</v>
      </c>
      <c r="N58" t="str">
        <f t="shared" si="19"/>
        <v>00001001</v>
      </c>
      <c r="O58" t="str">
        <f t="shared" si="5"/>
        <v>1</v>
      </c>
      <c r="P58" t="str">
        <f t="shared" si="6"/>
        <v>0</v>
      </c>
      <c r="Q58" t="str">
        <f t="shared" si="7"/>
        <v>0</v>
      </c>
      <c r="R58" t="str">
        <f t="shared" si="8"/>
        <v>1</v>
      </c>
      <c r="S58" t="str">
        <f t="shared" si="9"/>
        <v>0</v>
      </c>
      <c r="T58" t="str">
        <f t="shared" si="10"/>
        <v>0</v>
      </c>
      <c r="U58" t="str">
        <f t="shared" si="11"/>
        <v>0</v>
      </c>
      <c r="V58" t="str">
        <f t="shared" si="12"/>
        <v>0</v>
      </c>
      <c r="W58" t="str">
        <f t="shared" si="13"/>
        <v>10010000</v>
      </c>
    </row>
    <row r="59" spans="1:23" x14ac:dyDescent="0.4">
      <c r="A59" t="str">
        <f t="shared" si="22"/>
        <v>39</v>
      </c>
      <c r="B59" t="str">
        <f t="shared" si="20"/>
        <v>00</v>
      </c>
      <c r="C59">
        <f t="shared" si="21"/>
        <v>0</v>
      </c>
      <c r="M59" t="str">
        <f t="shared" si="16"/>
        <v>39</v>
      </c>
      <c r="N59" t="str">
        <f t="shared" si="19"/>
        <v>00000000</v>
      </c>
      <c r="O59" t="str">
        <f t="shared" si="5"/>
        <v>0</v>
      </c>
      <c r="P59" t="str">
        <f t="shared" si="6"/>
        <v>0</v>
      </c>
      <c r="Q59" t="str">
        <f t="shared" si="7"/>
        <v>0</v>
      </c>
      <c r="R59" t="str">
        <f t="shared" si="8"/>
        <v>0</v>
      </c>
      <c r="S59" t="str">
        <f t="shared" si="9"/>
        <v>0</v>
      </c>
      <c r="T59" t="str">
        <f t="shared" si="10"/>
        <v>0</v>
      </c>
      <c r="U59" t="str">
        <f t="shared" si="11"/>
        <v>0</v>
      </c>
      <c r="V59" t="str">
        <f t="shared" si="12"/>
        <v>0</v>
      </c>
      <c r="W59" t="str">
        <f t="shared" si="13"/>
        <v>00000000</v>
      </c>
    </row>
    <row r="60" spans="1:23" x14ac:dyDescent="0.4">
      <c r="A60" t="str">
        <f t="shared" si="22"/>
        <v>3A</v>
      </c>
      <c r="B60" t="str">
        <f t="shared" si="20"/>
        <v>00</v>
      </c>
      <c r="C60">
        <f t="shared" si="21"/>
        <v>0</v>
      </c>
      <c r="M60" t="str">
        <f t="shared" si="16"/>
        <v>3A</v>
      </c>
      <c r="N60" t="str">
        <f t="shared" si="19"/>
        <v>00000000</v>
      </c>
      <c r="O60" t="str">
        <f t="shared" si="5"/>
        <v>0</v>
      </c>
      <c r="P60" t="str">
        <f t="shared" si="6"/>
        <v>0</v>
      </c>
      <c r="Q60" t="str">
        <f t="shared" si="7"/>
        <v>0</v>
      </c>
      <c r="R60" t="str">
        <f t="shared" si="8"/>
        <v>0</v>
      </c>
      <c r="S60" t="str">
        <f t="shared" si="9"/>
        <v>0</v>
      </c>
      <c r="T60" t="str">
        <f t="shared" si="10"/>
        <v>0</v>
      </c>
      <c r="U60" t="str">
        <f t="shared" si="11"/>
        <v>0</v>
      </c>
      <c r="V60" t="str">
        <f t="shared" si="12"/>
        <v>0</v>
      </c>
      <c r="W60" t="str">
        <f t="shared" si="13"/>
        <v>00000000</v>
      </c>
    </row>
    <row r="61" spans="1:23" x14ac:dyDescent="0.4">
      <c r="A61" t="str">
        <f t="shared" si="22"/>
        <v>3B</v>
      </c>
      <c r="B61" t="str">
        <f t="shared" si="20"/>
        <v>00</v>
      </c>
      <c r="C61">
        <f t="shared" si="21"/>
        <v>0</v>
      </c>
      <c r="M61" t="str">
        <f t="shared" si="16"/>
        <v>3B</v>
      </c>
      <c r="N61" t="str">
        <f t="shared" si="19"/>
        <v>00000000</v>
      </c>
      <c r="O61" t="str">
        <f t="shared" si="5"/>
        <v>0</v>
      </c>
      <c r="P61" t="str">
        <f t="shared" si="6"/>
        <v>0</v>
      </c>
      <c r="Q61" t="str">
        <f t="shared" si="7"/>
        <v>0</v>
      </c>
      <c r="R61" t="str">
        <f t="shared" si="8"/>
        <v>0</v>
      </c>
      <c r="S61" t="str">
        <f t="shared" si="9"/>
        <v>0</v>
      </c>
      <c r="T61" t="str">
        <f t="shared" si="10"/>
        <v>0</v>
      </c>
      <c r="U61" t="str">
        <f t="shared" si="11"/>
        <v>0</v>
      </c>
      <c r="V61" t="str">
        <f t="shared" si="12"/>
        <v>0</v>
      </c>
      <c r="W61" t="str">
        <f t="shared" si="13"/>
        <v>00000000</v>
      </c>
    </row>
    <row r="62" spans="1:23" x14ac:dyDescent="0.4">
      <c r="A62" t="str">
        <f t="shared" si="22"/>
        <v>3C</v>
      </c>
      <c r="B62" t="str">
        <f t="shared" si="20"/>
        <v>40</v>
      </c>
      <c r="C62">
        <f t="shared" si="21"/>
        <v>64</v>
      </c>
      <c r="M62" t="str">
        <f t="shared" si="16"/>
        <v>3C</v>
      </c>
      <c r="N62" t="str">
        <f t="shared" si="19"/>
        <v>01000000</v>
      </c>
      <c r="O62" t="str">
        <f t="shared" si="5"/>
        <v>0</v>
      </c>
      <c r="P62" t="str">
        <f t="shared" si="6"/>
        <v>0</v>
      </c>
      <c r="Q62" t="str">
        <f t="shared" si="7"/>
        <v>0</v>
      </c>
      <c r="R62" t="str">
        <f t="shared" si="8"/>
        <v>0</v>
      </c>
      <c r="S62" t="str">
        <f t="shared" si="9"/>
        <v>0</v>
      </c>
      <c r="T62" t="str">
        <f t="shared" si="10"/>
        <v>0</v>
      </c>
      <c r="U62" t="str">
        <f t="shared" si="11"/>
        <v>1</v>
      </c>
      <c r="V62" t="str">
        <f t="shared" si="12"/>
        <v>0</v>
      </c>
      <c r="W62" t="str">
        <f t="shared" si="13"/>
        <v>00000010</v>
      </c>
    </row>
    <row r="63" spans="1:23" x14ac:dyDescent="0.4">
      <c r="A63" t="str">
        <f t="shared" si="22"/>
        <v>3D</v>
      </c>
      <c r="B63" t="str">
        <f t="shared" si="20"/>
        <v>00</v>
      </c>
      <c r="C63">
        <f t="shared" si="21"/>
        <v>0</v>
      </c>
      <c r="M63" t="str">
        <f t="shared" si="16"/>
        <v>3D</v>
      </c>
      <c r="N63" t="str">
        <f t="shared" si="19"/>
        <v>00000000</v>
      </c>
      <c r="O63" t="str">
        <f t="shared" si="5"/>
        <v>0</v>
      </c>
      <c r="P63" t="str">
        <f t="shared" si="6"/>
        <v>0</v>
      </c>
      <c r="Q63" t="str">
        <f t="shared" si="7"/>
        <v>0</v>
      </c>
      <c r="R63" t="str">
        <f t="shared" si="8"/>
        <v>0</v>
      </c>
      <c r="S63" t="str">
        <f t="shared" si="9"/>
        <v>0</v>
      </c>
      <c r="T63" t="str">
        <f t="shared" si="10"/>
        <v>0</v>
      </c>
      <c r="U63" t="str">
        <f t="shared" si="11"/>
        <v>0</v>
      </c>
      <c r="V63" t="str">
        <f t="shared" si="12"/>
        <v>0</v>
      </c>
      <c r="W63" t="str">
        <f t="shared" si="13"/>
        <v>00000000</v>
      </c>
    </row>
    <row r="64" spans="1:23" x14ac:dyDescent="0.4">
      <c r="A64" t="str">
        <f t="shared" si="22"/>
        <v>3E</v>
      </c>
      <c r="B64" t="str">
        <f t="shared" si="20"/>
        <v>C8</v>
      </c>
      <c r="C64">
        <f t="shared" si="21"/>
        <v>200</v>
      </c>
      <c r="M64" t="str">
        <f t="shared" si="16"/>
        <v>3E</v>
      </c>
      <c r="N64" t="str">
        <f t="shared" si="19"/>
        <v>11001000</v>
      </c>
      <c r="O64" t="str">
        <f t="shared" si="5"/>
        <v>0</v>
      </c>
      <c r="P64" t="str">
        <f t="shared" si="6"/>
        <v>0</v>
      </c>
      <c r="Q64" t="str">
        <f t="shared" si="7"/>
        <v>0</v>
      </c>
      <c r="R64" t="str">
        <f t="shared" si="8"/>
        <v>1</v>
      </c>
      <c r="S64" t="str">
        <f t="shared" si="9"/>
        <v>0</v>
      </c>
      <c r="T64" t="str">
        <f t="shared" si="10"/>
        <v>0</v>
      </c>
      <c r="U64" t="str">
        <f t="shared" si="11"/>
        <v>1</v>
      </c>
      <c r="V64" t="str">
        <f t="shared" si="12"/>
        <v>1</v>
      </c>
      <c r="W64" t="str">
        <f t="shared" si="13"/>
        <v>00010011</v>
      </c>
    </row>
    <row r="65" spans="1:23" x14ac:dyDescent="0.4">
      <c r="A65" t="str">
        <f t="shared" si="22"/>
        <v>3F</v>
      </c>
      <c r="B65" t="str">
        <f t="shared" si="20"/>
        <v>C0</v>
      </c>
      <c r="C65">
        <f t="shared" si="21"/>
        <v>192</v>
      </c>
      <c r="M65" t="str">
        <f t="shared" si="16"/>
        <v>3F</v>
      </c>
      <c r="N65" t="str">
        <f t="shared" si="19"/>
        <v>11000000</v>
      </c>
      <c r="O65" t="str">
        <f t="shared" si="5"/>
        <v>0</v>
      </c>
      <c r="P65" t="str">
        <f t="shared" si="6"/>
        <v>0</v>
      </c>
      <c r="Q65" t="str">
        <f t="shared" si="7"/>
        <v>0</v>
      </c>
      <c r="R65" t="str">
        <f t="shared" si="8"/>
        <v>0</v>
      </c>
      <c r="S65" t="str">
        <f t="shared" si="9"/>
        <v>0</v>
      </c>
      <c r="T65" t="str">
        <f t="shared" si="10"/>
        <v>0</v>
      </c>
      <c r="U65" t="str">
        <f t="shared" si="11"/>
        <v>1</v>
      </c>
      <c r="V65" t="str">
        <f t="shared" si="12"/>
        <v>1</v>
      </c>
      <c r="W65" t="str">
        <f t="shared" si="13"/>
        <v>00000011</v>
      </c>
    </row>
    <row r="66" spans="1:23" x14ac:dyDescent="0.4">
      <c r="A66" t="str">
        <f t="shared" si="22"/>
        <v>40</v>
      </c>
      <c r="B66" t="str">
        <f t="shared" ref="B66:B85" si="23">LEFT(RIGHT(G$1,H$1-2*(ROW(B66)-2)),2)</f>
        <v>C4</v>
      </c>
      <c r="C66">
        <f t="shared" ref="C66:C85" si="24">HEX2DEC(B66)</f>
        <v>196</v>
      </c>
      <c r="M66" t="str">
        <f t="shared" si="16"/>
        <v>40</v>
      </c>
      <c r="N66" t="str">
        <f t="shared" si="19"/>
        <v>11000100</v>
      </c>
      <c r="O66" t="str">
        <f t="shared" si="5"/>
        <v>0</v>
      </c>
      <c r="P66" t="str">
        <f t="shared" si="6"/>
        <v>0</v>
      </c>
      <c r="Q66" t="str">
        <f t="shared" si="7"/>
        <v>1</v>
      </c>
      <c r="R66" t="str">
        <f t="shared" si="8"/>
        <v>0</v>
      </c>
      <c r="S66" t="str">
        <f t="shared" si="9"/>
        <v>0</v>
      </c>
      <c r="T66" t="str">
        <f t="shared" si="10"/>
        <v>0</v>
      </c>
      <c r="U66" t="str">
        <f t="shared" si="11"/>
        <v>1</v>
      </c>
      <c r="V66" t="str">
        <f t="shared" si="12"/>
        <v>1</v>
      </c>
      <c r="W66" t="str">
        <f t="shared" si="13"/>
        <v>00100011</v>
      </c>
    </row>
    <row r="67" spans="1:23" x14ac:dyDescent="0.4">
      <c r="A67" t="str">
        <f t="shared" ref="A67:A85" si="25">DEC2HEX(1+HEX2DEC(A66))</f>
        <v>41</v>
      </c>
      <c r="B67" t="str">
        <f t="shared" si="23"/>
        <v>2A</v>
      </c>
      <c r="C67">
        <f t="shared" si="24"/>
        <v>42</v>
      </c>
      <c r="M67" t="str">
        <f t="shared" si="16"/>
        <v>41</v>
      </c>
      <c r="N67" t="str">
        <f t="shared" si="19"/>
        <v>00101010</v>
      </c>
      <c r="O67" t="str">
        <f t="shared" ref="O67:O85" si="26">MID($N67,9-(COLUMN(O66)-14),1)</f>
        <v>0</v>
      </c>
      <c r="P67" t="str">
        <f t="shared" ref="P67:P85" si="27">MID($N67,9-(COLUMN(P66)-14),1)</f>
        <v>1</v>
      </c>
      <c r="Q67" t="str">
        <f t="shared" ref="Q67:Q85" si="28">MID($N67,9-(COLUMN(Q66)-14),1)</f>
        <v>0</v>
      </c>
      <c r="R67" t="str">
        <f t="shared" ref="R67:R85" si="29">MID($N67,9-(COLUMN(R66)-14),1)</f>
        <v>1</v>
      </c>
      <c r="S67" t="str">
        <f t="shared" ref="S67:S85" si="30">MID($N67,9-(COLUMN(S66)-14),1)</f>
        <v>0</v>
      </c>
      <c r="T67" t="str">
        <f t="shared" ref="T67:T85" si="31">MID($N67,9-(COLUMN(T66)-14),1)</f>
        <v>1</v>
      </c>
      <c r="U67" t="str">
        <f t="shared" ref="U67:U85" si="32">MID($N67,9-(COLUMN(U66)-14),1)</f>
        <v>0</v>
      </c>
      <c r="V67" t="str">
        <f t="shared" ref="V67:V85" si="33">MID($N67,9-(COLUMN(V66)-14),1)</f>
        <v>0</v>
      </c>
      <c r="W67" t="str">
        <f t="shared" ref="W67:W85" si="34">_xlfn.CONCAT(O67:V67)</f>
        <v>01010100</v>
      </c>
    </row>
    <row r="68" spans="1:23" x14ac:dyDescent="0.4">
      <c r="A68" t="str">
        <f t="shared" si="25"/>
        <v>42</v>
      </c>
      <c r="B68" t="str">
        <f t="shared" si="23"/>
        <v>06</v>
      </c>
      <c r="C68">
        <f t="shared" si="24"/>
        <v>6</v>
      </c>
      <c r="M68" t="str">
        <f t="shared" ref="M68:M85" si="35">DEC2HEX(1+HEX2DEC(M67),2)</f>
        <v>42</v>
      </c>
      <c r="N68" t="str">
        <f t="shared" si="19"/>
        <v>00000110</v>
      </c>
      <c r="O68" t="str">
        <f t="shared" si="26"/>
        <v>0</v>
      </c>
      <c r="P68" t="str">
        <f t="shared" si="27"/>
        <v>1</v>
      </c>
      <c r="Q68" t="str">
        <f t="shared" si="28"/>
        <v>1</v>
      </c>
      <c r="R68" t="str">
        <f t="shared" si="29"/>
        <v>0</v>
      </c>
      <c r="S68" t="str">
        <f t="shared" si="30"/>
        <v>0</v>
      </c>
      <c r="T68" t="str">
        <f t="shared" si="31"/>
        <v>0</v>
      </c>
      <c r="U68" t="str">
        <f t="shared" si="32"/>
        <v>0</v>
      </c>
      <c r="V68" t="str">
        <f t="shared" si="33"/>
        <v>0</v>
      </c>
      <c r="W68" t="str">
        <f t="shared" si="34"/>
        <v>01100000</v>
      </c>
    </row>
    <row r="69" spans="1:23" x14ac:dyDescent="0.4">
      <c r="A69" t="str">
        <f t="shared" si="25"/>
        <v>43</v>
      </c>
      <c r="B69" t="str">
        <f t="shared" si="23"/>
        <v>01</v>
      </c>
      <c r="C69">
        <f t="shared" si="24"/>
        <v>1</v>
      </c>
      <c r="M69" t="str">
        <f t="shared" si="35"/>
        <v>43</v>
      </c>
      <c r="N69" t="str">
        <f t="shared" si="19"/>
        <v>00000001</v>
      </c>
      <c r="O69" t="str">
        <f t="shared" si="26"/>
        <v>1</v>
      </c>
      <c r="P69" t="str">
        <f t="shared" si="27"/>
        <v>0</v>
      </c>
      <c r="Q69" t="str">
        <f t="shared" si="28"/>
        <v>0</v>
      </c>
      <c r="R69" t="str">
        <f t="shared" si="29"/>
        <v>0</v>
      </c>
      <c r="S69" t="str">
        <f t="shared" si="30"/>
        <v>0</v>
      </c>
      <c r="T69" t="str">
        <f t="shared" si="31"/>
        <v>0</v>
      </c>
      <c r="U69" t="str">
        <f t="shared" si="32"/>
        <v>0</v>
      </c>
      <c r="V69" t="str">
        <f t="shared" si="33"/>
        <v>0</v>
      </c>
      <c r="W69" t="str">
        <f t="shared" si="34"/>
        <v>10000000</v>
      </c>
    </row>
    <row r="70" spans="1:23" x14ac:dyDescent="0.4">
      <c r="A70" t="str">
        <f t="shared" si="25"/>
        <v>44</v>
      </c>
      <c r="B70" t="str">
        <f t="shared" si="23"/>
        <v>C2</v>
      </c>
      <c r="C70">
        <f t="shared" si="24"/>
        <v>194</v>
      </c>
      <c r="M70" t="str">
        <f t="shared" si="35"/>
        <v>44</v>
      </c>
      <c r="N70" t="str">
        <f t="shared" si="19"/>
        <v>11000010</v>
      </c>
      <c r="O70" t="str">
        <f t="shared" si="26"/>
        <v>0</v>
      </c>
      <c r="P70" t="str">
        <f t="shared" si="27"/>
        <v>1</v>
      </c>
      <c r="Q70" t="str">
        <f t="shared" si="28"/>
        <v>0</v>
      </c>
      <c r="R70" t="str">
        <f t="shared" si="29"/>
        <v>0</v>
      </c>
      <c r="S70" t="str">
        <f t="shared" si="30"/>
        <v>0</v>
      </c>
      <c r="T70" t="str">
        <f t="shared" si="31"/>
        <v>0</v>
      </c>
      <c r="U70" t="str">
        <f t="shared" si="32"/>
        <v>1</v>
      </c>
      <c r="V70" t="str">
        <f t="shared" si="33"/>
        <v>1</v>
      </c>
      <c r="W70" t="str">
        <f t="shared" si="34"/>
        <v>01000011</v>
      </c>
    </row>
    <row r="71" spans="1:23" x14ac:dyDescent="0.4">
      <c r="A71" t="str">
        <f t="shared" si="25"/>
        <v>45</v>
      </c>
      <c r="B71" t="str">
        <f t="shared" si="23"/>
        <v>94</v>
      </c>
      <c r="C71">
        <f t="shared" si="24"/>
        <v>148</v>
      </c>
      <c r="M71" t="str">
        <f t="shared" si="35"/>
        <v>45</v>
      </c>
      <c r="N71" t="str">
        <f t="shared" si="19"/>
        <v>10010100</v>
      </c>
      <c r="O71" t="str">
        <f t="shared" si="26"/>
        <v>0</v>
      </c>
      <c r="P71" t="str">
        <f t="shared" si="27"/>
        <v>0</v>
      </c>
      <c r="Q71" t="str">
        <f t="shared" si="28"/>
        <v>1</v>
      </c>
      <c r="R71" t="str">
        <f t="shared" si="29"/>
        <v>0</v>
      </c>
      <c r="S71" t="str">
        <f t="shared" si="30"/>
        <v>1</v>
      </c>
      <c r="T71" t="str">
        <f t="shared" si="31"/>
        <v>0</v>
      </c>
      <c r="U71" t="str">
        <f t="shared" si="32"/>
        <v>0</v>
      </c>
      <c r="V71" t="str">
        <f t="shared" si="33"/>
        <v>1</v>
      </c>
      <c r="W71" t="str">
        <f t="shared" si="34"/>
        <v>00101001</v>
      </c>
    </row>
    <row r="72" spans="1:23" x14ac:dyDescent="0.4">
      <c r="A72" t="str">
        <f t="shared" si="25"/>
        <v>46</v>
      </c>
      <c r="B72" t="str">
        <f t="shared" si="23"/>
        <v>00</v>
      </c>
      <c r="C72">
        <f t="shared" si="24"/>
        <v>0</v>
      </c>
      <c r="M72" t="str">
        <f t="shared" si="35"/>
        <v>46</v>
      </c>
      <c r="N72" t="str">
        <f t="shared" si="19"/>
        <v>00000000</v>
      </c>
      <c r="O72" t="str">
        <f t="shared" si="26"/>
        <v>0</v>
      </c>
      <c r="P72" t="str">
        <f t="shared" si="27"/>
        <v>0</v>
      </c>
      <c r="Q72" t="str">
        <f t="shared" si="28"/>
        <v>0</v>
      </c>
      <c r="R72" t="str">
        <f t="shared" si="29"/>
        <v>0</v>
      </c>
      <c r="S72" t="str">
        <f t="shared" si="30"/>
        <v>0</v>
      </c>
      <c r="T72" t="str">
        <f t="shared" si="31"/>
        <v>0</v>
      </c>
      <c r="U72" t="str">
        <f t="shared" si="32"/>
        <v>0</v>
      </c>
      <c r="V72" t="str">
        <f t="shared" si="33"/>
        <v>0</v>
      </c>
      <c r="W72" t="str">
        <f t="shared" si="34"/>
        <v>00000000</v>
      </c>
    </row>
    <row r="73" spans="1:23" x14ac:dyDescent="0.4">
      <c r="A73" t="str">
        <f t="shared" si="25"/>
        <v>47</v>
      </c>
      <c r="B73" t="str">
        <f t="shared" si="23"/>
        <v>00</v>
      </c>
      <c r="C73">
        <f t="shared" si="24"/>
        <v>0</v>
      </c>
      <c r="M73" t="str">
        <f t="shared" si="35"/>
        <v>47</v>
      </c>
      <c r="N73" t="str">
        <f t="shared" si="19"/>
        <v>00000000</v>
      </c>
      <c r="O73" t="str">
        <f t="shared" si="26"/>
        <v>0</v>
      </c>
      <c r="P73" t="str">
        <f t="shared" si="27"/>
        <v>0</v>
      </c>
      <c r="Q73" t="str">
        <f t="shared" si="28"/>
        <v>0</v>
      </c>
      <c r="R73" t="str">
        <f t="shared" si="29"/>
        <v>0</v>
      </c>
      <c r="S73" t="str">
        <f t="shared" si="30"/>
        <v>0</v>
      </c>
      <c r="T73" t="str">
        <f t="shared" si="31"/>
        <v>0</v>
      </c>
      <c r="U73" t="str">
        <f t="shared" si="32"/>
        <v>0</v>
      </c>
      <c r="V73" t="str">
        <f t="shared" si="33"/>
        <v>0</v>
      </c>
      <c r="W73" t="str">
        <f t="shared" si="34"/>
        <v>00000000</v>
      </c>
    </row>
    <row r="74" spans="1:23" x14ac:dyDescent="0.4">
      <c r="A74" t="str">
        <f t="shared" si="25"/>
        <v>48</v>
      </c>
      <c r="B74" t="str">
        <f t="shared" si="23"/>
        <v>00</v>
      </c>
      <c r="C74">
        <f t="shared" si="24"/>
        <v>0</v>
      </c>
      <c r="M74" t="str">
        <f t="shared" si="35"/>
        <v>48</v>
      </c>
      <c r="N74" t="str">
        <f t="shared" si="19"/>
        <v>00000000</v>
      </c>
      <c r="O74" t="str">
        <f t="shared" si="26"/>
        <v>0</v>
      </c>
      <c r="P74" t="str">
        <f t="shared" si="27"/>
        <v>0</v>
      </c>
      <c r="Q74" t="str">
        <f t="shared" si="28"/>
        <v>0</v>
      </c>
      <c r="R74" t="str">
        <f t="shared" si="29"/>
        <v>0</v>
      </c>
      <c r="S74" t="str">
        <f t="shared" si="30"/>
        <v>0</v>
      </c>
      <c r="T74" t="str">
        <f t="shared" si="31"/>
        <v>0</v>
      </c>
      <c r="U74" t="str">
        <f t="shared" si="32"/>
        <v>0</v>
      </c>
      <c r="V74" t="str">
        <f t="shared" si="33"/>
        <v>0</v>
      </c>
      <c r="W74" t="str">
        <f t="shared" si="34"/>
        <v>00000000</v>
      </c>
    </row>
    <row r="75" spans="1:23" x14ac:dyDescent="0.4">
      <c r="A75" t="str">
        <f t="shared" si="25"/>
        <v>49</v>
      </c>
      <c r="B75" t="str">
        <f t="shared" si="23"/>
        <v>00</v>
      </c>
      <c r="C75">
        <f t="shared" si="24"/>
        <v>0</v>
      </c>
      <c r="M75" t="str">
        <f t="shared" si="35"/>
        <v>49</v>
      </c>
      <c r="N75" t="str">
        <f t="shared" si="19"/>
        <v>00000000</v>
      </c>
      <c r="O75" t="str">
        <f t="shared" si="26"/>
        <v>0</v>
      </c>
      <c r="P75" t="str">
        <f t="shared" si="27"/>
        <v>0</v>
      </c>
      <c r="Q75" t="str">
        <f t="shared" si="28"/>
        <v>0</v>
      </c>
      <c r="R75" t="str">
        <f t="shared" si="29"/>
        <v>0</v>
      </c>
      <c r="S75" t="str">
        <f t="shared" si="30"/>
        <v>0</v>
      </c>
      <c r="T75" t="str">
        <f t="shared" si="31"/>
        <v>0</v>
      </c>
      <c r="U75" t="str">
        <f t="shared" si="32"/>
        <v>0</v>
      </c>
      <c r="V75" t="str">
        <f t="shared" si="33"/>
        <v>0</v>
      </c>
      <c r="W75" t="str">
        <f t="shared" si="34"/>
        <v>00000000</v>
      </c>
    </row>
    <row r="76" spans="1:23" x14ac:dyDescent="0.4">
      <c r="A76" t="str">
        <f t="shared" si="25"/>
        <v>4A</v>
      </c>
      <c r="B76" t="str">
        <f t="shared" si="23"/>
        <v>00</v>
      </c>
      <c r="C76">
        <f t="shared" si="24"/>
        <v>0</v>
      </c>
      <c r="M76" t="str">
        <f t="shared" si="35"/>
        <v>4A</v>
      </c>
      <c r="N76" t="str">
        <f t="shared" si="19"/>
        <v>00000000</v>
      </c>
      <c r="O76" t="str">
        <f t="shared" si="26"/>
        <v>0</v>
      </c>
      <c r="P76" t="str">
        <f t="shared" si="27"/>
        <v>0</v>
      </c>
      <c r="Q76" t="str">
        <f t="shared" si="28"/>
        <v>0</v>
      </c>
      <c r="R76" t="str">
        <f t="shared" si="29"/>
        <v>0</v>
      </c>
      <c r="S76" t="str">
        <f t="shared" si="30"/>
        <v>0</v>
      </c>
      <c r="T76" t="str">
        <f t="shared" si="31"/>
        <v>0</v>
      </c>
      <c r="U76" t="str">
        <f t="shared" si="32"/>
        <v>0</v>
      </c>
      <c r="V76" t="str">
        <f t="shared" si="33"/>
        <v>0</v>
      </c>
      <c r="W76" t="str">
        <f t="shared" si="34"/>
        <v>00000000</v>
      </c>
    </row>
    <row r="77" spans="1:23" x14ac:dyDescent="0.4">
      <c r="A77" t="str">
        <f t="shared" si="25"/>
        <v>4B</v>
      </c>
      <c r="B77" t="str">
        <f t="shared" si="23"/>
        <v>00</v>
      </c>
      <c r="C77">
        <f t="shared" si="24"/>
        <v>0</v>
      </c>
      <c r="M77" t="str">
        <f t="shared" si="35"/>
        <v>4B</v>
      </c>
      <c r="N77" t="str">
        <f t="shared" si="19"/>
        <v>00000000</v>
      </c>
      <c r="O77" t="str">
        <f t="shared" si="26"/>
        <v>0</v>
      </c>
      <c r="P77" t="str">
        <f t="shared" si="27"/>
        <v>0</v>
      </c>
      <c r="Q77" t="str">
        <f t="shared" si="28"/>
        <v>0</v>
      </c>
      <c r="R77" t="str">
        <f t="shared" si="29"/>
        <v>0</v>
      </c>
      <c r="S77" t="str">
        <f t="shared" si="30"/>
        <v>0</v>
      </c>
      <c r="T77" t="str">
        <f t="shared" si="31"/>
        <v>0</v>
      </c>
      <c r="U77" t="str">
        <f t="shared" si="32"/>
        <v>0</v>
      </c>
      <c r="V77" t="str">
        <f t="shared" si="33"/>
        <v>0</v>
      </c>
      <c r="W77" t="str">
        <f t="shared" si="34"/>
        <v>00000000</v>
      </c>
    </row>
    <row r="78" spans="1:23" x14ac:dyDescent="0.4">
      <c r="A78" t="str">
        <f t="shared" si="25"/>
        <v>4C</v>
      </c>
      <c r="B78" t="str">
        <f t="shared" si="23"/>
        <v>00</v>
      </c>
      <c r="C78">
        <f t="shared" si="24"/>
        <v>0</v>
      </c>
      <c r="M78" t="str">
        <f t="shared" si="35"/>
        <v>4C</v>
      </c>
      <c r="N78" t="str">
        <f t="shared" si="19"/>
        <v>00000000</v>
      </c>
      <c r="O78" t="str">
        <f t="shared" si="26"/>
        <v>0</v>
      </c>
      <c r="P78" t="str">
        <f t="shared" si="27"/>
        <v>0</v>
      </c>
      <c r="Q78" t="str">
        <f t="shared" si="28"/>
        <v>0</v>
      </c>
      <c r="R78" t="str">
        <f t="shared" si="29"/>
        <v>0</v>
      </c>
      <c r="S78" t="str">
        <f t="shared" si="30"/>
        <v>0</v>
      </c>
      <c r="T78" t="str">
        <f t="shared" si="31"/>
        <v>0</v>
      </c>
      <c r="U78" t="str">
        <f t="shared" si="32"/>
        <v>0</v>
      </c>
      <c r="V78" t="str">
        <f t="shared" si="33"/>
        <v>0</v>
      </c>
      <c r="W78" t="str">
        <f t="shared" si="34"/>
        <v>00000000</v>
      </c>
    </row>
    <row r="79" spans="1:23" x14ac:dyDescent="0.4">
      <c r="A79" t="str">
        <f t="shared" si="25"/>
        <v>4D</v>
      </c>
      <c r="B79" t="str">
        <f t="shared" si="23"/>
        <v>00</v>
      </c>
      <c r="C79">
        <f t="shared" si="24"/>
        <v>0</v>
      </c>
      <c r="M79" t="str">
        <f t="shared" si="35"/>
        <v>4D</v>
      </c>
      <c r="N79" t="str">
        <f t="shared" si="19"/>
        <v>00000000</v>
      </c>
      <c r="O79" t="str">
        <f t="shared" si="26"/>
        <v>0</v>
      </c>
      <c r="P79" t="str">
        <f t="shared" si="27"/>
        <v>0</v>
      </c>
      <c r="Q79" t="str">
        <f t="shared" si="28"/>
        <v>0</v>
      </c>
      <c r="R79" t="str">
        <f t="shared" si="29"/>
        <v>0</v>
      </c>
      <c r="S79" t="str">
        <f t="shared" si="30"/>
        <v>0</v>
      </c>
      <c r="T79" t="str">
        <f t="shared" si="31"/>
        <v>0</v>
      </c>
      <c r="U79" t="str">
        <f t="shared" si="32"/>
        <v>0</v>
      </c>
      <c r="V79" t="str">
        <f t="shared" si="33"/>
        <v>0</v>
      </c>
      <c r="W79" t="str">
        <f t="shared" si="34"/>
        <v>00000000</v>
      </c>
    </row>
    <row r="80" spans="1:23" x14ac:dyDescent="0.4">
      <c r="A80" t="str">
        <f t="shared" si="25"/>
        <v>4E</v>
      </c>
      <c r="B80" t="str">
        <f t="shared" si="23"/>
        <v>00</v>
      </c>
      <c r="C80">
        <f t="shared" si="24"/>
        <v>0</v>
      </c>
      <c r="M80" t="str">
        <f t="shared" si="35"/>
        <v>4E</v>
      </c>
      <c r="N80" t="str">
        <f t="shared" si="19"/>
        <v>00000000</v>
      </c>
      <c r="O80" t="str">
        <f t="shared" si="26"/>
        <v>0</v>
      </c>
      <c r="P80" t="str">
        <f t="shared" si="27"/>
        <v>0</v>
      </c>
      <c r="Q80" t="str">
        <f t="shared" si="28"/>
        <v>0</v>
      </c>
      <c r="R80" t="str">
        <f t="shared" si="29"/>
        <v>0</v>
      </c>
      <c r="S80" t="str">
        <f t="shared" si="30"/>
        <v>0</v>
      </c>
      <c r="T80" t="str">
        <f t="shared" si="31"/>
        <v>0</v>
      </c>
      <c r="U80" t="str">
        <f t="shared" si="32"/>
        <v>0</v>
      </c>
      <c r="V80" t="str">
        <f t="shared" si="33"/>
        <v>0</v>
      </c>
      <c r="W80" t="str">
        <f t="shared" si="34"/>
        <v>00000000</v>
      </c>
    </row>
    <row r="81" spans="1:23" x14ac:dyDescent="0.4">
      <c r="A81" t="str">
        <f t="shared" si="25"/>
        <v>4F</v>
      </c>
      <c r="B81" t="str">
        <f t="shared" si="23"/>
        <v>00</v>
      </c>
      <c r="C81">
        <f t="shared" si="24"/>
        <v>0</v>
      </c>
      <c r="M81" t="str">
        <f t="shared" si="35"/>
        <v>4F</v>
      </c>
      <c r="N81" t="str">
        <f t="shared" si="19"/>
        <v>00000000</v>
      </c>
      <c r="O81" t="str">
        <f t="shared" si="26"/>
        <v>0</v>
      </c>
      <c r="P81" t="str">
        <f t="shared" si="27"/>
        <v>0</v>
      </c>
      <c r="Q81" t="str">
        <f t="shared" si="28"/>
        <v>0</v>
      </c>
      <c r="R81" t="str">
        <f t="shared" si="29"/>
        <v>0</v>
      </c>
      <c r="S81" t="str">
        <f t="shared" si="30"/>
        <v>0</v>
      </c>
      <c r="T81" t="str">
        <f t="shared" si="31"/>
        <v>0</v>
      </c>
      <c r="U81" t="str">
        <f t="shared" si="32"/>
        <v>0</v>
      </c>
      <c r="V81" t="str">
        <f t="shared" si="33"/>
        <v>0</v>
      </c>
      <c r="W81" t="str">
        <f t="shared" si="34"/>
        <v>00000000</v>
      </c>
    </row>
    <row r="82" spans="1:23" x14ac:dyDescent="0.4">
      <c r="A82" t="str">
        <f t="shared" si="25"/>
        <v>50</v>
      </c>
      <c r="B82" t="str">
        <f t="shared" si="23"/>
        <v>00</v>
      </c>
      <c r="C82">
        <f t="shared" si="24"/>
        <v>0</v>
      </c>
      <c r="M82" t="str">
        <f t="shared" si="35"/>
        <v>50</v>
      </c>
      <c r="N82" t="str">
        <f t="shared" si="19"/>
        <v>00000000</v>
      </c>
      <c r="O82" t="str">
        <f t="shared" si="26"/>
        <v>0</v>
      </c>
      <c r="P82" t="str">
        <f t="shared" si="27"/>
        <v>0</v>
      </c>
      <c r="Q82" t="str">
        <f t="shared" si="28"/>
        <v>0</v>
      </c>
      <c r="R82" t="str">
        <f t="shared" si="29"/>
        <v>0</v>
      </c>
      <c r="S82" t="str">
        <f t="shared" si="30"/>
        <v>0</v>
      </c>
      <c r="T82" t="str">
        <f t="shared" si="31"/>
        <v>0</v>
      </c>
      <c r="U82" t="str">
        <f t="shared" si="32"/>
        <v>0</v>
      </c>
      <c r="V82" t="str">
        <f t="shared" si="33"/>
        <v>0</v>
      </c>
      <c r="W82" t="str">
        <f t="shared" si="34"/>
        <v>00000000</v>
      </c>
    </row>
    <row r="83" spans="1:23" x14ac:dyDescent="0.4">
      <c r="A83" t="str">
        <f t="shared" si="25"/>
        <v>51</v>
      </c>
      <c r="B83" t="str">
        <f t="shared" si="23"/>
        <v>00</v>
      </c>
      <c r="C83">
        <f t="shared" si="24"/>
        <v>0</v>
      </c>
      <c r="M83" t="str">
        <f t="shared" si="35"/>
        <v>51</v>
      </c>
      <c r="N83" t="str">
        <f t="shared" si="19"/>
        <v>00000000</v>
      </c>
      <c r="O83" t="str">
        <f t="shared" si="26"/>
        <v>0</v>
      </c>
      <c r="P83" t="str">
        <f t="shared" si="27"/>
        <v>0</v>
      </c>
      <c r="Q83" t="str">
        <f t="shared" si="28"/>
        <v>0</v>
      </c>
      <c r="R83" t="str">
        <f t="shared" si="29"/>
        <v>0</v>
      </c>
      <c r="S83" t="str">
        <f t="shared" si="30"/>
        <v>0</v>
      </c>
      <c r="T83" t="str">
        <f t="shared" si="31"/>
        <v>0</v>
      </c>
      <c r="U83" t="str">
        <f t="shared" si="32"/>
        <v>0</v>
      </c>
      <c r="V83" t="str">
        <f t="shared" si="33"/>
        <v>0</v>
      </c>
      <c r="W83" t="str">
        <f t="shared" si="34"/>
        <v>00000000</v>
      </c>
    </row>
    <row r="84" spans="1:23" x14ac:dyDescent="0.4">
      <c r="A84" t="str">
        <f t="shared" si="25"/>
        <v>52</v>
      </c>
      <c r="B84" t="str">
        <f t="shared" si="23"/>
        <v>00</v>
      </c>
      <c r="C84">
        <f t="shared" si="24"/>
        <v>0</v>
      </c>
      <c r="M84" t="str">
        <f t="shared" si="35"/>
        <v>52</v>
      </c>
      <c r="N84" t="str">
        <f t="shared" si="19"/>
        <v>00000000</v>
      </c>
      <c r="O84" t="str">
        <f t="shared" si="26"/>
        <v>0</v>
      </c>
      <c r="P84" t="str">
        <f t="shared" si="27"/>
        <v>0</v>
      </c>
      <c r="Q84" t="str">
        <f t="shared" si="28"/>
        <v>0</v>
      </c>
      <c r="R84" t="str">
        <f t="shared" si="29"/>
        <v>0</v>
      </c>
      <c r="S84" t="str">
        <f t="shared" si="30"/>
        <v>0</v>
      </c>
      <c r="T84" t="str">
        <f t="shared" si="31"/>
        <v>0</v>
      </c>
      <c r="U84" t="str">
        <f t="shared" si="32"/>
        <v>0</v>
      </c>
      <c r="V84" t="str">
        <f t="shared" si="33"/>
        <v>0</v>
      </c>
      <c r="W84" t="str">
        <f t="shared" si="34"/>
        <v>00000000</v>
      </c>
    </row>
    <row r="85" spans="1:23" x14ac:dyDescent="0.4">
      <c r="A85" t="str">
        <f t="shared" si="25"/>
        <v>53</v>
      </c>
      <c r="B85" t="str">
        <f t="shared" si="23"/>
        <v>00</v>
      </c>
      <c r="C85">
        <f t="shared" si="24"/>
        <v>0</v>
      </c>
      <c r="M85" t="str">
        <f t="shared" si="35"/>
        <v>53</v>
      </c>
      <c r="N85" t="str">
        <f t="shared" si="19"/>
        <v>00000000</v>
      </c>
      <c r="O85" t="str">
        <f t="shared" si="26"/>
        <v>0</v>
      </c>
      <c r="P85" t="str">
        <f t="shared" si="27"/>
        <v>0</v>
      </c>
      <c r="Q85" t="str">
        <f t="shared" si="28"/>
        <v>0</v>
      </c>
      <c r="R85" t="str">
        <f t="shared" si="29"/>
        <v>0</v>
      </c>
      <c r="S85" t="str">
        <f t="shared" si="30"/>
        <v>0</v>
      </c>
      <c r="T85" t="str">
        <f t="shared" si="31"/>
        <v>0</v>
      </c>
      <c r="U85" t="str">
        <f t="shared" si="32"/>
        <v>0</v>
      </c>
      <c r="V85" t="str">
        <f t="shared" si="33"/>
        <v>0</v>
      </c>
      <c r="W85" t="str">
        <f t="shared" si="34"/>
        <v>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6792-5605-4368-928B-B0959C78B1EF}">
  <dimension ref="A1:AC86"/>
  <sheetViews>
    <sheetView workbookViewId="0">
      <pane ySplit="1" topLeftCell="A2" activePane="bottomLeft" state="frozen"/>
      <selection pane="bottomLeft" activeCell="C1" sqref="A1:C1048576"/>
    </sheetView>
  </sheetViews>
  <sheetFormatPr defaultRowHeight="14.6" x14ac:dyDescent="0.4"/>
  <cols>
    <col min="1" max="1" width="5.53515625" bestFit="1" customWidth="1"/>
    <col min="2" max="2" width="2.921875" bestFit="1" customWidth="1"/>
    <col min="3" max="3" width="19.3828125" bestFit="1" customWidth="1"/>
    <col min="4" max="5" width="3.69140625" bestFit="1" customWidth="1"/>
    <col min="6" max="6" width="11.3828125" bestFit="1" customWidth="1"/>
    <col min="7" max="7" width="2.07421875" customWidth="1"/>
    <col min="8" max="9" width="3.69140625" bestFit="1" customWidth="1"/>
    <col min="10" max="10" width="11.53515625" bestFit="1" customWidth="1"/>
    <col min="11" max="11" width="2.07421875" customWidth="1"/>
    <col min="12" max="13" width="3.69140625" bestFit="1" customWidth="1"/>
    <col min="14" max="14" width="9.69140625" bestFit="1" customWidth="1"/>
    <col min="15" max="15" width="1.69140625" customWidth="1"/>
    <col min="16" max="17" width="3.69140625" bestFit="1" customWidth="1"/>
    <col min="18" max="18" width="9.69140625" bestFit="1" customWidth="1"/>
    <col min="19" max="19" width="9.69140625" customWidth="1"/>
    <col min="21" max="21" width="2.69140625" bestFit="1" customWidth="1"/>
    <col min="22" max="22" width="2.921875" bestFit="1" customWidth="1"/>
  </cols>
  <sheetData>
    <row r="1" spans="1:29" x14ac:dyDescent="0.4">
      <c r="A1" t="s">
        <v>1</v>
      </c>
      <c r="C1" t="s">
        <v>29</v>
      </c>
      <c r="D1" s="8" t="s">
        <v>439</v>
      </c>
      <c r="E1" s="8"/>
      <c r="F1" s="8"/>
      <c r="G1" s="1"/>
      <c r="H1" s="8" t="s">
        <v>440</v>
      </c>
      <c r="I1" s="8"/>
      <c r="J1" s="8"/>
      <c r="K1" s="1"/>
      <c r="L1" s="8"/>
      <c r="M1" s="8"/>
      <c r="N1" s="8"/>
      <c r="O1" s="1"/>
      <c r="P1" s="8"/>
      <c r="Q1" s="8"/>
      <c r="R1" s="8"/>
      <c r="S1" s="4"/>
      <c r="T1" s="4"/>
      <c r="U1">
        <v>95</v>
      </c>
      <c r="AA1">
        <v>106</v>
      </c>
      <c r="AB1">
        <v>88</v>
      </c>
      <c r="AC1">
        <v>100</v>
      </c>
    </row>
    <row r="2" spans="1:29" x14ac:dyDescent="0.4">
      <c r="D2" t="s">
        <v>2</v>
      </c>
      <c r="E2" t="s">
        <v>3</v>
      </c>
      <c r="F2" t="s">
        <v>4</v>
      </c>
      <c r="G2" s="2"/>
      <c r="H2" t="s">
        <v>2</v>
      </c>
      <c r="I2" t="s">
        <v>3</v>
      </c>
      <c r="J2" t="s">
        <v>4</v>
      </c>
      <c r="K2" s="2"/>
      <c r="L2" t="s">
        <v>2</v>
      </c>
      <c r="M2" t="s">
        <v>3</v>
      </c>
      <c r="N2" t="s">
        <v>4</v>
      </c>
      <c r="O2" s="2"/>
      <c r="P2" t="s">
        <v>2</v>
      </c>
      <c r="Q2" t="s">
        <v>3</v>
      </c>
      <c r="R2" t="s">
        <v>4</v>
      </c>
      <c r="U2" t="str">
        <f>DEC2HEX(U1)</f>
        <v>5F</v>
      </c>
      <c r="W2" s="3" t="s">
        <v>350</v>
      </c>
      <c r="X2">
        <f>LEN(W2)</f>
        <v>168</v>
      </c>
      <c r="AA2" t="str">
        <f>DEC2HEX(AA1)</f>
        <v>6A</v>
      </c>
      <c r="AB2" t="str">
        <f>DEC2HEX(AB1)</f>
        <v>58</v>
      </c>
      <c r="AC2" t="str">
        <f>DEC2HEX(AC1)</f>
        <v>64</v>
      </c>
    </row>
    <row r="3" spans="1:29" x14ac:dyDescent="0.4">
      <c r="A3">
        <v>0</v>
      </c>
      <c r="B3" t="str">
        <f>DEC2HEX(A3)</f>
        <v>0</v>
      </c>
      <c r="C3" t="s">
        <v>16</v>
      </c>
      <c r="D3" t="s">
        <v>398</v>
      </c>
      <c r="E3">
        <f>HEX2DEC(D3)</f>
        <v>171</v>
      </c>
      <c r="G3" s="2"/>
      <c r="H3" t="s">
        <v>397</v>
      </c>
      <c r="I3">
        <f>HEX2DEC(H3)</f>
        <v>42</v>
      </c>
      <c r="K3" s="2"/>
      <c r="L3" t="s">
        <v>336</v>
      </c>
      <c r="M3">
        <f>HEX2DEC(L3)</f>
        <v>106</v>
      </c>
      <c r="O3" s="2"/>
      <c r="P3" t="s">
        <v>336</v>
      </c>
      <c r="Q3">
        <f>HEX2DEC(P3)</f>
        <v>106</v>
      </c>
      <c r="V3" t="str">
        <f>LEFT(RIGHT($W$2,$X$2-2*(ROW(V3)-3)),2)</f>
        <v>6A</v>
      </c>
    </row>
    <row r="4" spans="1:29" x14ac:dyDescent="0.4">
      <c r="A4">
        <v>1</v>
      </c>
      <c r="B4" t="str">
        <f t="shared" ref="B4:B67" si="0">DEC2HEX(A4)</f>
        <v>1</v>
      </c>
      <c r="C4" t="s">
        <v>17</v>
      </c>
      <c r="D4" t="s">
        <v>399</v>
      </c>
      <c r="E4">
        <f t="shared" ref="E4:E62" si="1">HEX2DEC(D4)</f>
        <v>124</v>
      </c>
      <c r="G4" s="2"/>
      <c r="H4" t="s">
        <v>425</v>
      </c>
      <c r="I4">
        <f t="shared" ref="I4:I62" si="2">HEX2DEC(H4)</f>
        <v>46</v>
      </c>
      <c r="K4" s="2"/>
      <c r="L4" t="s">
        <v>333</v>
      </c>
      <c r="M4">
        <f t="shared" ref="M4:M62" si="3">HEX2DEC(L4)</f>
        <v>88</v>
      </c>
      <c r="O4" s="2"/>
      <c r="P4" t="s">
        <v>337</v>
      </c>
      <c r="Q4">
        <f t="shared" ref="Q4:Q67" si="4">HEX2DEC(P4)</f>
        <v>109</v>
      </c>
      <c r="V4" t="str">
        <f t="shared" ref="V4:V67" si="5">LEFT(RIGHT($W$2,$X$2-2*(ROW(V4)-3)),2)</f>
        <v>58</v>
      </c>
    </row>
    <row r="5" spans="1:29" x14ac:dyDescent="0.4">
      <c r="A5">
        <v>2</v>
      </c>
      <c r="B5" t="str">
        <f t="shared" si="0"/>
        <v>2</v>
      </c>
      <c r="C5" t="s">
        <v>21</v>
      </c>
      <c r="D5" t="s">
        <v>399</v>
      </c>
      <c r="E5">
        <f t="shared" si="1"/>
        <v>124</v>
      </c>
      <c r="G5" s="2"/>
      <c r="H5" t="s">
        <v>425</v>
      </c>
      <c r="I5">
        <f t="shared" si="2"/>
        <v>46</v>
      </c>
      <c r="K5" s="2"/>
      <c r="L5" t="s">
        <v>351</v>
      </c>
      <c r="M5">
        <f t="shared" si="3"/>
        <v>100</v>
      </c>
      <c r="O5" s="2"/>
      <c r="P5" t="s">
        <v>8</v>
      </c>
      <c r="Q5">
        <f t="shared" si="4"/>
        <v>120</v>
      </c>
      <c r="V5" t="str">
        <f t="shared" si="5"/>
        <v>64</v>
      </c>
    </row>
    <row r="6" spans="1:29" x14ac:dyDescent="0.4">
      <c r="A6">
        <v>3</v>
      </c>
      <c r="B6" t="str">
        <f t="shared" si="0"/>
        <v>3</v>
      </c>
      <c r="C6" t="s">
        <v>18</v>
      </c>
      <c r="D6" t="s">
        <v>400</v>
      </c>
      <c r="E6">
        <f t="shared" si="1"/>
        <v>29</v>
      </c>
      <c r="G6" s="2"/>
      <c r="H6" t="s">
        <v>397</v>
      </c>
      <c r="I6">
        <f t="shared" si="2"/>
        <v>42</v>
      </c>
      <c r="K6" s="2"/>
      <c r="L6" t="s">
        <v>49</v>
      </c>
      <c r="M6">
        <f t="shared" si="3"/>
        <v>65</v>
      </c>
      <c r="O6" s="2"/>
      <c r="P6" t="s">
        <v>333</v>
      </c>
      <c r="Q6">
        <f t="shared" si="4"/>
        <v>88</v>
      </c>
      <c r="V6" t="str">
        <f t="shared" si="5"/>
        <v>41</v>
      </c>
    </row>
    <row r="7" spans="1:29" x14ac:dyDescent="0.4">
      <c r="A7">
        <v>4</v>
      </c>
      <c r="B7" t="str">
        <f t="shared" si="0"/>
        <v>4</v>
      </c>
      <c r="C7" t="s">
        <v>19</v>
      </c>
      <c r="D7" t="s">
        <v>399</v>
      </c>
      <c r="E7">
        <f t="shared" si="1"/>
        <v>124</v>
      </c>
      <c r="G7" s="2"/>
      <c r="H7" t="s">
        <v>426</v>
      </c>
      <c r="I7">
        <f t="shared" si="2"/>
        <v>61</v>
      </c>
      <c r="K7" s="2"/>
      <c r="L7" t="s">
        <v>352</v>
      </c>
      <c r="M7">
        <f t="shared" si="3"/>
        <v>135</v>
      </c>
      <c r="O7" s="2"/>
      <c r="P7" t="s">
        <v>327</v>
      </c>
      <c r="Q7">
        <f t="shared" si="4"/>
        <v>189</v>
      </c>
      <c r="V7" t="str">
        <f t="shared" si="5"/>
        <v>87</v>
      </c>
    </row>
    <row r="8" spans="1:29" x14ac:dyDescent="0.4">
      <c r="A8">
        <v>5</v>
      </c>
      <c r="B8" t="str">
        <f t="shared" si="0"/>
        <v>5</v>
      </c>
      <c r="C8" t="s">
        <v>20</v>
      </c>
      <c r="D8" t="s">
        <v>401</v>
      </c>
      <c r="E8">
        <f t="shared" si="1"/>
        <v>90</v>
      </c>
      <c r="G8" s="2"/>
      <c r="H8" t="s">
        <v>426</v>
      </c>
      <c r="I8">
        <f t="shared" si="2"/>
        <v>61</v>
      </c>
      <c r="K8" s="2"/>
      <c r="L8" t="s">
        <v>336</v>
      </c>
      <c r="M8">
        <f t="shared" si="3"/>
        <v>106</v>
      </c>
      <c r="O8" s="2"/>
      <c r="P8" t="s">
        <v>330</v>
      </c>
      <c r="Q8">
        <f t="shared" si="4"/>
        <v>126</v>
      </c>
      <c r="V8" t="str">
        <f t="shared" si="5"/>
        <v>6A</v>
      </c>
    </row>
    <row r="9" spans="1:29" x14ac:dyDescent="0.4">
      <c r="A9">
        <v>6</v>
      </c>
      <c r="B9" t="str">
        <f t="shared" si="0"/>
        <v>6</v>
      </c>
      <c r="C9" t="s">
        <v>22</v>
      </c>
      <c r="D9" t="s">
        <v>6</v>
      </c>
      <c r="E9">
        <f t="shared" si="1"/>
        <v>3</v>
      </c>
      <c r="F9" t="str">
        <f>_xlfn.XLOOKUP(E9,Sheet2!$A:$A,Sheet2!$B:$B)</f>
        <v>Poison</v>
      </c>
      <c r="G9" s="2"/>
      <c r="H9" t="s">
        <v>331</v>
      </c>
      <c r="I9">
        <f t="shared" si="2"/>
        <v>11</v>
      </c>
      <c r="J9" t="str">
        <f>_xlfn.XLOOKUP(I9,Sheet2!$A:$A,Sheet2!$B:$B)</f>
        <v>Grass</v>
      </c>
      <c r="K9" s="2"/>
      <c r="L9" t="s">
        <v>320</v>
      </c>
      <c r="M9">
        <f t="shared" si="3"/>
        <v>12</v>
      </c>
      <c r="N9" t="str">
        <f>_xlfn.XLOOKUP(M9,Sheet2!$A:$A,Sheet2!$B:$B)</f>
        <v>Electric</v>
      </c>
      <c r="O9" s="2"/>
      <c r="P9" t="s">
        <v>320</v>
      </c>
      <c r="Q9">
        <f t="shared" si="4"/>
        <v>12</v>
      </c>
      <c r="R9" t="str">
        <f>_xlfn.XLOOKUP(Q9,Sheet2!$A:$A,Sheet2!$B:$B)</f>
        <v>Electric</v>
      </c>
      <c r="V9" t="str">
        <f t="shared" si="5"/>
        <v>0C</v>
      </c>
    </row>
    <row r="10" spans="1:29" x14ac:dyDescent="0.4">
      <c r="A10">
        <v>7</v>
      </c>
      <c r="B10" t="str">
        <f t="shared" si="0"/>
        <v>7</v>
      </c>
      <c r="C10" t="s">
        <v>23</v>
      </c>
      <c r="D10" t="s">
        <v>402</v>
      </c>
      <c r="E10">
        <f t="shared" si="1"/>
        <v>13</v>
      </c>
      <c r="F10" t="str">
        <f>_xlfn.XLOOKUP(E10,Sheet2!$A:$A,Sheet2!$B:$B)</f>
        <v>Psychic</v>
      </c>
      <c r="G10" s="2"/>
      <c r="H10" t="s">
        <v>6</v>
      </c>
      <c r="I10">
        <f t="shared" si="2"/>
        <v>3</v>
      </c>
      <c r="J10" t="str">
        <f>_xlfn.XLOOKUP(I10,Sheet2!$A:$A,Sheet2!$B:$B)</f>
        <v>Poison</v>
      </c>
      <c r="K10" s="2"/>
      <c r="L10" t="s">
        <v>320</v>
      </c>
      <c r="M10">
        <f t="shared" si="3"/>
        <v>12</v>
      </c>
      <c r="N10" t="str">
        <f>_xlfn.XLOOKUP(M10,Sheet2!$A:$A,Sheet2!$B:$B)</f>
        <v>Electric</v>
      </c>
      <c r="O10" s="2"/>
      <c r="P10" t="s">
        <v>0</v>
      </c>
      <c r="Q10">
        <f t="shared" si="4"/>
        <v>15</v>
      </c>
      <c r="R10" t="str">
        <f>_xlfn.XLOOKUP(Q10,Sheet2!$A:$A,Sheet2!$B:$B)</f>
        <v>Dragon</v>
      </c>
      <c r="V10" t="str">
        <f t="shared" si="5"/>
        <v>0C</v>
      </c>
    </row>
    <row r="11" spans="1:29" x14ac:dyDescent="0.4">
      <c r="A11">
        <v>8</v>
      </c>
      <c r="B11" t="str">
        <f t="shared" si="0"/>
        <v>8</v>
      </c>
      <c r="C11" t="s">
        <v>52</v>
      </c>
      <c r="D11" t="s">
        <v>12</v>
      </c>
      <c r="E11">
        <f t="shared" si="1"/>
        <v>70</v>
      </c>
      <c r="G11" s="2"/>
      <c r="H11" t="s">
        <v>47</v>
      </c>
      <c r="I11">
        <f t="shared" si="2"/>
        <v>45</v>
      </c>
      <c r="K11" s="2"/>
      <c r="L11" t="s">
        <v>47</v>
      </c>
      <c r="M11">
        <f t="shared" si="3"/>
        <v>45</v>
      </c>
      <c r="O11" s="2"/>
      <c r="P11" t="s">
        <v>47</v>
      </c>
      <c r="Q11">
        <f t="shared" si="4"/>
        <v>45</v>
      </c>
      <c r="V11" t="str">
        <f t="shared" si="5"/>
        <v>2D</v>
      </c>
    </row>
    <row r="12" spans="1:29" x14ac:dyDescent="0.4">
      <c r="A12">
        <v>9</v>
      </c>
      <c r="B12" t="str">
        <f t="shared" si="0"/>
        <v>9</v>
      </c>
      <c r="C12" t="s">
        <v>358</v>
      </c>
      <c r="D12" s="5" t="s">
        <v>15</v>
      </c>
      <c r="E12">
        <f t="shared" si="1"/>
        <v>2</v>
      </c>
      <c r="G12" s="2"/>
      <c r="H12" t="s">
        <v>10</v>
      </c>
      <c r="I12">
        <f t="shared" si="2"/>
        <v>1</v>
      </c>
      <c r="K12" s="2"/>
      <c r="L12" t="s">
        <v>6</v>
      </c>
      <c r="M12">
        <f t="shared" si="3"/>
        <v>3</v>
      </c>
      <c r="O12" s="2"/>
      <c r="P12" t="s">
        <v>6</v>
      </c>
      <c r="Q12">
        <f t="shared" si="4"/>
        <v>3</v>
      </c>
      <c r="V12" t="str">
        <f t="shared" si="5"/>
        <v>03</v>
      </c>
    </row>
    <row r="13" spans="1:29" x14ac:dyDescent="0.4">
      <c r="A13">
        <v>10</v>
      </c>
      <c r="B13" t="str">
        <f t="shared" si="0"/>
        <v>A</v>
      </c>
      <c r="C13" t="s">
        <v>63</v>
      </c>
      <c r="D13" t="s">
        <v>7</v>
      </c>
      <c r="E13">
        <f t="shared" si="1"/>
        <v>0</v>
      </c>
      <c r="G13" s="2"/>
      <c r="H13" t="s">
        <v>7</v>
      </c>
      <c r="I13">
        <f t="shared" si="2"/>
        <v>0</v>
      </c>
      <c r="K13" s="2"/>
      <c r="L13" t="s">
        <v>7</v>
      </c>
      <c r="M13">
        <f t="shared" si="3"/>
        <v>0</v>
      </c>
      <c r="O13" s="2"/>
      <c r="P13" t="s">
        <v>7</v>
      </c>
      <c r="Q13">
        <f t="shared" si="4"/>
        <v>0</v>
      </c>
      <c r="V13" t="str">
        <f t="shared" si="5"/>
        <v>00</v>
      </c>
    </row>
    <row r="14" spans="1:29" x14ac:dyDescent="0.4">
      <c r="A14">
        <v>11</v>
      </c>
      <c r="B14" t="str">
        <f t="shared" si="0"/>
        <v>B</v>
      </c>
      <c r="C14" t="s">
        <v>63</v>
      </c>
      <c r="D14" t="s">
        <v>320</v>
      </c>
      <c r="E14">
        <f t="shared" si="1"/>
        <v>12</v>
      </c>
      <c r="G14" s="2"/>
      <c r="H14" t="s">
        <v>10</v>
      </c>
      <c r="I14">
        <f t="shared" si="2"/>
        <v>1</v>
      </c>
      <c r="K14" s="2"/>
      <c r="L14" t="s">
        <v>6</v>
      </c>
      <c r="M14">
        <f t="shared" si="3"/>
        <v>3</v>
      </c>
      <c r="O14" s="2"/>
      <c r="P14" t="s">
        <v>6</v>
      </c>
      <c r="Q14">
        <f t="shared" si="4"/>
        <v>3</v>
      </c>
      <c r="V14" t="str">
        <f t="shared" si="5"/>
        <v>03</v>
      </c>
    </row>
    <row r="15" spans="1:29" x14ac:dyDescent="0.4">
      <c r="A15">
        <v>12</v>
      </c>
      <c r="B15" t="str">
        <f t="shared" si="0"/>
        <v>C</v>
      </c>
      <c r="C15" t="s">
        <v>64</v>
      </c>
      <c r="D15" t="s">
        <v>7</v>
      </c>
      <c r="E15">
        <f t="shared" si="1"/>
        <v>0</v>
      </c>
      <c r="G15" s="2"/>
      <c r="H15" t="s">
        <v>7</v>
      </c>
      <c r="I15">
        <f t="shared" si="2"/>
        <v>0</v>
      </c>
      <c r="K15" s="2"/>
      <c r="L15" t="s">
        <v>7</v>
      </c>
      <c r="M15">
        <f t="shared" si="3"/>
        <v>0</v>
      </c>
      <c r="O15" s="2"/>
      <c r="P15" t="s">
        <v>7</v>
      </c>
      <c r="Q15">
        <f t="shared" si="4"/>
        <v>0</v>
      </c>
      <c r="V15" t="str">
        <f t="shared" si="5"/>
        <v>00</v>
      </c>
    </row>
    <row r="16" spans="1:29" x14ac:dyDescent="0.4">
      <c r="A16">
        <v>13</v>
      </c>
      <c r="B16" t="str">
        <f t="shared" si="0"/>
        <v>D</v>
      </c>
      <c r="C16" t="s">
        <v>64</v>
      </c>
      <c r="D16" t="s">
        <v>7</v>
      </c>
      <c r="E16">
        <f t="shared" si="1"/>
        <v>0</v>
      </c>
      <c r="G16" s="2"/>
      <c r="H16" t="s">
        <v>7</v>
      </c>
      <c r="I16">
        <f t="shared" si="2"/>
        <v>0</v>
      </c>
      <c r="K16" s="2"/>
      <c r="L16" t="s">
        <v>7</v>
      </c>
      <c r="M16">
        <f t="shared" si="3"/>
        <v>0</v>
      </c>
      <c r="O16" s="2"/>
      <c r="P16" t="s">
        <v>7</v>
      </c>
      <c r="Q16">
        <f t="shared" si="4"/>
        <v>0</v>
      </c>
      <c r="V16" t="str">
        <f t="shared" si="5"/>
        <v>00</v>
      </c>
    </row>
    <row r="17" spans="1:22" x14ac:dyDescent="0.4">
      <c r="A17">
        <v>14</v>
      </c>
      <c r="B17" t="str">
        <f t="shared" si="0"/>
        <v>E</v>
      </c>
      <c r="C17" t="s">
        <v>65</v>
      </c>
      <c r="D17" t="s">
        <v>403</v>
      </c>
      <c r="E17">
        <f t="shared" si="1"/>
        <v>221</v>
      </c>
      <c r="G17" s="2"/>
      <c r="H17" t="s">
        <v>7</v>
      </c>
      <c r="I17">
        <f t="shared" si="2"/>
        <v>0</v>
      </c>
      <c r="K17" s="2"/>
      <c r="L17" t="s">
        <v>7</v>
      </c>
      <c r="M17">
        <f t="shared" si="3"/>
        <v>0</v>
      </c>
      <c r="O17" s="2"/>
      <c r="P17" t="s">
        <v>7</v>
      </c>
      <c r="Q17">
        <f t="shared" si="4"/>
        <v>0</v>
      </c>
      <c r="V17" t="str">
        <f t="shared" si="5"/>
        <v>00</v>
      </c>
    </row>
    <row r="18" spans="1:22" x14ac:dyDescent="0.4">
      <c r="A18">
        <v>15</v>
      </c>
      <c r="B18" t="str">
        <f t="shared" si="0"/>
        <v>F</v>
      </c>
      <c r="C18" t="s">
        <v>65</v>
      </c>
      <c r="D18" t="s">
        <v>7</v>
      </c>
      <c r="E18">
        <f t="shared" si="1"/>
        <v>0</v>
      </c>
      <c r="G18" s="2"/>
      <c r="H18" t="s">
        <v>7</v>
      </c>
      <c r="I18">
        <f t="shared" si="2"/>
        <v>0</v>
      </c>
      <c r="K18" s="2"/>
      <c r="L18" t="s">
        <v>7</v>
      </c>
      <c r="M18">
        <f t="shared" si="3"/>
        <v>0</v>
      </c>
      <c r="O18" s="2"/>
      <c r="P18" t="s">
        <v>7</v>
      </c>
      <c r="Q18">
        <f t="shared" si="4"/>
        <v>0</v>
      </c>
      <c r="V18" t="str">
        <f t="shared" si="5"/>
        <v>00</v>
      </c>
    </row>
    <row r="19" spans="1:22" x14ac:dyDescent="0.4">
      <c r="A19">
        <v>16</v>
      </c>
      <c r="B19" t="str">
        <f t="shared" si="0"/>
        <v>10</v>
      </c>
      <c r="C19" t="s">
        <v>325</v>
      </c>
      <c r="D19" t="s">
        <v>7</v>
      </c>
      <c r="E19">
        <f t="shared" si="1"/>
        <v>0</v>
      </c>
      <c r="G19" s="2"/>
      <c r="H19" t="s">
        <v>7</v>
      </c>
      <c r="I19">
        <f t="shared" si="2"/>
        <v>0</v>
      </c>
      <c r="K19" s="2"/>
      <c r="L19" t="s">
        <v>7</v>
      </c>
      <c r="M19">
        <f t="shared" si="3"/>
        <v>0</v>
      </c>
      <c r="O19" s="2"/>
      <c r="P19" t="s">
        <v>7</v>
      </c>
      <c r="Q19">
        <f t="shared" si="4"/>
        <v>0</v>
      </c>
      <c r="V19" t="str">
        <f t="shared" si="5"/>
        <v>00</v>
      </c>
    </row>
    <row r="20" spans="1:22" x14ac:dyDescent="0.4">
      <c r="A20">
        <v>17</v>
      </c>
      <c r="B20" t="str">
        <f t="shared" si="0"/>
        <v>11</v>
      </c>
      <c r="C20" t="s">
        <v>325</v>
      </c>
      <c r="D20" t="s">
        <v>7</v>
      </c>
      <c r="E20">
        <f t="shared" si="1"/>
        <v>0</v>
      </c>
      <c r="G20" s="2"/>
      <c r="H20" t="s">
        <v>7</v>
      </c>
      <c r="I20">
        <f t="shared" si="2"/>
        <v>0</v>
      </c>
      <c r="K20" s="2"/>
      <c r="L20" t="s">
        <v>7</v>
      </c>
      <c r="M20">
        <f t="shared" si="3"/>
        <v>0</v>
      </c>
      <c r="O20" s="2"/>
      <c r="P20" t="s">
        <v>7</v>
      </c>
      <c r="Q20">
        <f t="shared" si="4"/>
        <v>0</v>
      </c>
      <c r="V20" t="str">
        <f t="shared" si="5"/>
        <v>00</v>
      </c>
    </row>
    <row r="21" spans="1:22" x14ac:dyDescent="0.4">
      <c r="A21">
        <v>18</v>
      </c>
      <c r="B21" t="str">
        <f t="shared" si="0"/>
        <v>12</v>
      </c>
      <c r="C21" t="s">
        <v>25</v>
      </c>
      <c r="D21" t="s">
        <v>306</v>
      </c>
      <c r="E21">
        <f t="shared" si="1"/>
        <v>127</v>
      </c>
      <c r="G21" s="2"/>
      <c r="H21" t="s">
        <v>356</v>
      </c>
      <c r="I21">
        <f t="shared" si="2"/>
        <v>31</v>
      </c>
      <c r="K21" s="2"/>
      <c r="L21" t="s">
        <v>306</v>
      </c>
      <c r="M21">
        <f t="shared" si="3"/>
        <v>127</v>
      </c>
      <c r="O21" s="2"/>
      <c r="P21" t="s">
        <v>306</v>
      </c>
      <c r="Q21">
        <f t="shared" si="4"/>
        <v>127</v>
      </c>
      <c r="V21" t="str">
        <f t="shared" si="5"/>
        <v>7F</v>
      </c>
    </row>
    <row r="22" spans="1:22" x14ac:dyDescent="0.4">
      <c r="A22">
        <v>19</v>
      </c>
      <c r="B22" t="str">
        <f t="shared" si="0"/>
        <v>13</v>
      </c>
      <c r="C22" t="s">
        <v>24</v>
      </c>
      <c r="D22" t="s">
        <v>48</v>
      </c>
      <c r="E22">
        <f t="shared" si="1"/>
        <v>20</v>
      </c>
      <c r="G22" s="2"/>
      <c r="H22" t="s">
        <v>48</v>
      </c>
      <c r="I22">
        <f t="shared" si="2"/>
        <v>20</v>
      </c>
      <c r="K22" s="2"/>
      <c r="L22" t="s">
        <v>48</v>
      </c>
      <c r="M22">
        <f t="shared" si="3"/>
        <v>20</v>
      </c>
      <c r="O22" s="2"/>
      <c r="P22" t="s">
        <v>48</v>
      </c>
      <c r="Q22">
        <f t="shared" si="4"/>
        <v>20</v>
      </c>
      <c r="V22" t="str">
        <f t="shared" si="5"/>
        <v>14</v>
      </c>
    </row>
    <row r="23" spans="1:22" x14ac:dyDescent="0.4">
      <c r="A23">
        <v>20</v>
      </c>
      <c r="B23" t="str">
        <f t="shared" si="0"/>
        <v>14</v>
      </c>
      <c r="C23" t="s">
        <v>66</v>
      </c>
      <c r="D23" t="s">
        <v>12</v>
      </c>
      <c r="E23">
        <f t="shared" si="1"/>
        <v>70</v>
      </c>
      <c r="G23" s="2"/>
      <c r="H23" t="s">
        <v>12</v>
      </c>
      <c r="I23">
        <f t="shared" si="2"/>
        <v>70</v>
      </c>
      <c r="K23" s="2"/>
      <c r="L23" t="s">
        <v>12</v>
      </c>
      <c r="M23">
        <f t="shared" si="3"/>
        <v>70</v>
      </c>
      <c r="O23" s="2"/>
      <c r="P23" t="s">
        <v>12</v>
      </c>
      <c r="Q23">
        <f t="shared" si="4"/>
        <v>70</v>
      </c>
      <c r="V23" t="str">
        <f t="shared" si="5"/>
        <v>46</v>
      </c>
    </row>
    <row r="24" spans="1:22" x14ac:dyDescent="0.4">
      <c r="A24">
        <v>21</v>
      </c>
      <c r="B24" t="str">
        <f t="shared" si="0"/>
        <v>15</v>
      </c>
      <c r="C24" t="s">
        <v>67</v>
      </c>
      <c r="D24" t="s">
        <v>15</v>
      </c>
      <c r="E24">
        <f t="shared" si="1"/>
        <v>2</v>
      </c>
      <c r="G24" s="2"/>
      <c r="H24" t="s">
        <v>6</v>
      </c>
      <c r="I24">
        <f t="shared" si="2"/>
        <v>3</v>
      </c>
      <c r="K24" s="2"/>
      <c r="L24" t="s">
        <v>6</v>
      </c>
      <c r="M24">
        <f t="shared" si="3"/>
        <v>3</v>
      </c>
      <c r="O24" s="2"/>
      <c r="P24" t="s">
        <v>6</v>
      </c>
      <c r="Q24">
        <f t="shared" si="4"/>
        <v>3</v>
      </c>
      <c r="V24" t="str">
        <f t="shared" si="5"/>
        <v>03</v>
      </c>
    </row>
    <row r="25" spans="1:22" x14ac:dyDescent="0.4">
      <c r="A25">
        <v>22</v>
      </c>
      <c r="B25" t="str">
        <f t="shared" si="0"/>
        <v>16</v>
      </c>
      <c r="C25" t="s">
        <v>68</v>
      </c>
      <c r="D25" t="s">
        <v>10</v>
      </c>
      <c r="E25">
        <f t="shared" si="1"/>
        <v>1</v>
      </c>
      <c r="F25" t="str">
        <f>_xlfn.XLOOKUP(E25,Sheet2!$A:$A,Sheet2!$C:$C)</f>
        <v>Monster</v>
      </c>
      <c r="G25" s="2"/>
      <c r="H25" t="s">
        <v>10</v>
      </c>
      <c r="I25">
        <f t="shared" si="2"/>
        <v>1</v>
      </c>
      <c r="J25" t="str">
        <f>_xlfn.XLOOKUP(I25,Sheet2!$A:$A,Sheet2!$C:$C)</f>
        <v>Monster</v>
      </c>
      <c r="K25" s="2"/>
      <c r="L25" t="s">
        <v>10</v>
      </c>
      <c r="M25">
        <f t="shared" si="3"/>
        <v>1</v>
      </c>
      <c r="N25" t="str">
        <f>_xlfn.XLOOKUP(M25,Sheet2!$A:$A,Sheet2!$C:$C)</f>
        <v>Monster</v>
      </c>
      <c r="O25" s="2"/>
      <c r="P25" t="s">
        <v>10</v>
      </c>
      <c r="Q25">
        <f t="shared" si="4"/>
        <v>1</v>
      </c>
      <c r="R25" t="str">
        <f>_xlfn.XLOOKUP(Q25,Sheet2!$A:$A,Sheet2!$C:$C)</f>
        <v>Monster</v>
      </c>
      <c r="V25" t="str">
        <f t="shared" si="5"/>
        <v>01</v>
      </c>
    </row>
    <row r="26" spans="1:22" x14ac:dyDescent="0.4">
      <c r="A26">
        <v>23</v>
      </c>
      <c r="B26" t="str">
        <f t="shared" si="0"/>
        <v>17</v>
      </c>
      <c r="C26" t="s">
        <v>69</v>
      </c>
      <c r="D26" t="s">
        <v>15</v>
      </c>
      <c r="E26">
        <f t="shared" si="1"/>
        <v>2</v>
      </c>
      <c r="F26" t="str">
        <f>_xlfn.XLOOKUP(E26,Sheet2!$A:$A,Sheet2!$C:$C)</f>
        <v>Water 1 (Amphibious)</v>
      </c>
      <c r="G26" s="2"/>
      <c r="H26" t="s">
        <v>354</v>
      </c>
      <c r="I26">
        <f t="shared" si="2"/>
        <v>7</v>
      </c>
      <c r="J26" t="str">
        <f>_xlfn.XLOOKUP(I26,Sheet2!$A:$A,Sheet2!$C:$C)</f>
        <v>Grass</v>
      </c>
      <c r="K26" s="2"/>
      <c r="L26" t="s">
        <v>9</v>
      </c>
      <c r="M26">
        <f t="shared" si="3"/>
        <v>5</v>
      </c>
      <c r="N26" t="str">
        <f>_xlfn.XLOOKUP(M26,Sheet2!$A:$A,Sheet2!$C:$C)</f>
        <v>Field</v>
      </c>
      <c r="O26" s="2"/>
      <c r="P26" t="s">
        <v>9</v>
      </c>
      <c r="Q26">
        <f t="shared" si="4"/>
        <v>5</v>
      </c>
      <c r="R26" t="str">
        <f>_xlfn.XLOOKUP(Q26,Sheet2!$A:$A,Sheet2!$C:$C)</f>
        <v>Field</v>
      </c>
      <c r="V26" t="str">
        <f t="shared" si="5"/>
        <v>05</v>
      </c>
    </row>
    <row r="27" spans="1:22" x14ac:dyDescent="0.4">
      <c r="A27">
        <v>24</v>
      </c>
      <c r="B27" t="str">
        <f t="shared" si="0"/>
        <v>18</v>
      </c>
      <c r="C27" t="s">
        <v>70</v>
      </c>
      <c r="D27" t="s">
        <v>404</v>
      </c>
      <c r="E27">
        <f t="shared" si="1"/>
        <v>213</v>
      </c>
      <c r="F27" t="str">
        <f>_xlfn.XLOOKUP(E27,Sheet2!$A:$A,Sheet2!$D:$D)</f>
        <v>Comatose</v>
      </c>
      <c r="G27" s="2"/>
      <c r="H27" t="s">
        <v>49</v>
      </c>
      <c r="I27">
        <f t="shared" si="2"/>
        <v>65</v>
      </c>
      <c r="J27" t="str">
        <f>_xlfn.XLOOKUP(I27,Sheet2!$A:$A,Sheet2!$D:$D)</f>
        <v>Overgrow</v>
      </c>
      <c r="K27" s="2"/>
      <c r="L27" t="s">
        <v>308</v>
      </c>
      <c r="M27">
        <f t="shared" si="3"/>
        <v>9</v>
      </c>
      <c r="N27" t="str">
        <f>_xlfn.XLOOKUP(M27,Sheet2!$A:$A,Sheet2!$D:$D)</f>
        <v>Static</v>
      </c>
      <c r="O27" s="2"/>
      <c r="P27" t="s">
        <v>338</v>
      </c>
      <c r="Q27">
        <f t="shared" si="4"/>
        <v>104</v>
      </c>
      <c r="R27" t="str">
        <f>_xlfn.XLOOKUP(Q27,Sheet2!$A:$A,Sheet2!$D:$D)</f>
        <v>Mold Breaker</v>
      </c>
      <c r="V27" t="str">
        <f t="shared" si="5"/>
        <v>09</v>
      </c>
    </row>
    <row r="28" spans="1:22" x14ac:dyDescent="0.4">
      <c r="A28">
        <v>25</v>
      </c>
      <c r="B28" t="str">
        <f t="shared" si="0"/>
        <v>19</v>
      </c>
      <c r="C28" t="s">
        <v>71</v>
      </c>
      <c r="D28" t="s">
        <v>48</v>
      </c>
      <c r="E28">
        <f t="shared" si="1"/>
        <v>20</v>
      </c>
      <c r="F28" t="str">
        <f>_xlfn.XLOOKUP(E28,Sheet2!$A:$A,Sheet2!$D:$D)</f>
        <v>Own Tempo</v>
      </c>
      <c r="G28" s="2"/>
      <c r="H28" t="s">
        <v>357</v>
      </c>
      <c r="I28">
        <f t="shared" si="2"/>
        <v>166</v>
      </c>
      <c r="J28" t="str">
        <f>_xlfn.XLOOKUP(I28,Sheet2!$A:$A,Sheet2!$D:$D)</f>
        <v>Flower Veil</v>
      </c>
      <c r="K28" s="2"/>
      <c r="L28" t="s">
        <v>308</v>
      </c>
      <c r="M28">
        <f t="shared" si="3"/>
        <v>9</v>
      </c>
      <c r="N28" t="str">
        <f>_xlfn.XLOOKUP(M28,Sheet2!$A:$A,Sheet2!$D:$D)</f>
        <v>Static</v>
      </c>
      <c r="O28" s="2"/>
      <c r="P28" t="s">
        <v>338</v>
      </c>
      <c r="Q28">
        <f t="shared" si="4"/>
        <v>104</v>
      </c>
      <c r="R28" t="str">
        <f>_xlfn.XLOOKUP(Q28,Sheet2!$A:$A,Sheet2!$D:$D)</f>
        <v>Mold Breaker</v>
      </c>
      <c r="V28" t="str">
        <f t="shared" si="5"/>
        <v>09</v>
      </c>
    </row>
    <row r="29" spans="1:22" x14ac:dyDescent="0.4">
      <c r="A29">
        <v>26</v>
      </c>
      <c r="B29" t="str">
        <f t="shared" si="0"/>
        <v>1A</v>
      </c>
      <c r="C29" t="s">
        <v>72</v>
      </c>
      <c r="D29" t="s">
        <v>405</v>
      </c>
      <c r="E29">
        <f t="shared" si="1"/>
        <v>144</v>
      </c>
      <c r="F29" t="str">
        <f>_xlfn.XLOOKUP(E29,Sheet2!$A:$A,Sheet2!$D:$D)</f>
        <v>Regenerator</v>
      </c>
      <c r="G29" s="2"/>
      <c r="H29" t="s">
        <v>427</v>
      </c>
      <c r="I29">
        <f t="shared" si="2"/>
        <v>34</v>
      </c>
      <c r="J29" t="str">
        <f>_xlfn.XLOOKUP(I29,Sheet2!$A:$A,Sheet2!$D:$D)</f>
        <v>Chlorophyll</v>
      </c>
      <c r="K29" s="2"/>
      <c r="L29" t="s">
        <v>332</v>
      </c>
      <c r="M29">
        <f t="shared" si="3"/>
        <v>57</v>
      </c>
      <c r="N29" t="str">
        <f>_xlfn.XLOOKUP(M29,Sheet2!$A:$A,Sheet2!$D:$D)</f>
        <v>Plus</v>
      </c>
      <c r="O29" s="2"/>
      <c r="P29" t="s">
        <v>338</v>
      </c>
      <c r="Q29">
        <f t="shared" si="4"/>
        <v>104</v>
      </c>
      <c r="R29" t="str">
        <f>_xlfn.XLOOKUP(Q29,Sheet2!$A:$A,Sheet2!$D:$D)</f>
        <v>Mold Breaker</v>
      </c>
      <c r="V29" t="str">
        <f t="shared" si="5"/>
        <v>39</v>
      </c>
    </row>
    <row r="30" spans="1:22" x14ac:dyDescent="0.4">
      <c r="A30">
        <v>27</v>
      </c>
      <c r="B30" t="str">
        <f t="shared" si="0"/>
        <v>1B</v>
      </c>
      <c r="C30" t="s">
        <v>326</v>
      </c>
      <c r="D30" t="s">
        <v>7</v>
      </c>
      <c r="E30">
        <f t="shared" si="1"/>
        <v>0</v>
      </c>
      <c r="G30" s="2"/>
      <c r="H30" t="s">
        <v>7</v>
      </c>
      <c r="I30">
        <f t="shared" si="2"/>
        <v>0</v>
      </c>
      <c r="K30" s="2"/>
      <c r="L30" t="s">
        <v>7</v>
      </c>
      <c r="M30">
        <f t="shared" si="3"/>
        <v>0</v>
      </c>
      <c r="O30" s="2"/>
      <c r="P30" t="s">
        <v>7</v>
      </c>
      <c r="Q30">
        <f t="shared" si="4"/>
        <v>0</v>
      </c>
      <c r="V30" t="str">
        <f t="shared" si="5"/>
        <v>00</v>
      </c>
    </row>
    <row r="31" spans="1:22" x14ac:dyDescent="0.4">
      <c r="A31">
        <v>28</v>
      </c>
      <c r="B31" t="str">
        <f t="shared" si="0"/>
        <v>1C</v>
      </c>
      <c r="C31" s="9" t="s">
        <v>392</v>
      </c>
      <c r="D31" t="s">
        <v>406</v>
      </c>
      <c r="E31">
        <f t="shared" si="1"/>
        <v>121</v>
      </c>
      <c r="F31" s="8">
        <f>E32*256+E31</f>
        <v>889</v>
      </c>
      <c r="G31" s="2"/>
      <c r="H31" t="s">
        <v>7</v>
      </c>
      <c r="I31">
        <f t="shared" si="2"/>
        <v>0</v>
      </c>
      <c r="J31" s="8">
        <f>I32*256+I31</f>
        <v>0</v>
      </c>
      <c r="K31" s="2"/>
      <c r="L31" t="s">
        <v>339</v>
      </c>
      <c r="M31">
        <f t="shared" si="3"/>
        <v>79</v>
      </c>
      <c r="N31" s="8">
        <f>M32*256+M31</f>
        <v>847</v>
      </c>
      <c r="O31" s="2"/>
      <c r="P31" t="s">
        <v>339</v>
      </c>
      <c r="Q31">
        <f t="shared" si="4"/>
        <v>79</v>
      </c>
      <c r="R31" s="8">
        <f>Q32*256+Q31</f>
        <v>847</v>
      </c>
      <c r="V31" t="str">
        <f t="shared" si="5"/>
        <v>4F</v>
      </c>
    </row>
    <row r="32" spans="1:22" x14ac:dyDescent="0.4">
      <c r="A32">
        <v>29</v>
      </c>
      <c r="B32" t="str">
        <f t="shared" si="0"/>
        <v>1D</v>
      </c>
      <c r="C32" s="9"/>
      <c r="D32" t="s">
        <v>6</v>
      </c>
      <c r="E32">
        <f t="shared" si="1"/>
        <v>3</v>
      </c>
      <c r="F32" s="8"/>
      <c r="G32" s="2"/>
      <c r="H32" t="s">
        <v>7</v>
      </c>
      <c r="I32">
        <f t="shared" si="2"/>
        <v>0</v>
      </c>
      <c r="J32" s="8"/>
      <c r="K32" s="2"/>
      <c r="L32" t="s">
        <v>6</v>
      </c>
      <c r="M32">
        <f t="shared" si="3"/>
        <v>3</v>
      </c>
      <c r="N32" s="8"/>
      <c r="O32" s="2"/>
      <c r="P32" t="s">
        <v>6</v>
      </c>
      <c r="Q32">
        <f t="shared" si="4"/>
        <v>3</v>
      </c>
      <c r="R32" s="8"/>
      <c r="V32" t="str">
        <f t="shared" si="5"/>
        <v>03</v>
      </c>
    </row>
    <row r="33" spans="1:22" x14ac:dyDescent="0.4">
      <c r="A33">
        <v>30</v>
      </c>
      <c r="B33" t="str">
        <f t="shared" si="0"/>
        <v>1E</v>
      </c>
      <c r="C33" s="9" t="s">
        <v>349</v>
      </c>
      <c r="D33" t="s">
        <v>7</v>
      </c>
      <c r="E33">
        <f t="shared" si="1"/>
        <v>0</v>
      </c>
      <c r="F33" s="8">
        <f>E34*256+E33</f>
        <v>0</v>
      </c>
      <c r="G33" s="2"/>
      <c r="H33" t="s">
        <v>7</v>
      </c>
      <c r="I33">
        <f t="shared" si="2"/>
        <v>0</v>
      </c>
      <c r="J33" s="8">
        <f>I34*256+I33</f>
        <v>0</v>
      </c>
      <c r="K33" s="2"/>
      <c r="L33" t="s">
        <v>7</v>
      </c>
      <c r="M33">
        <f t="shared" si="3"/>
        <v>0</v>
      </c>
      <c r="N33" s="8">
        <f>M34*256+M33</f>
        <v>0</v>
      </c>
      <c r="O33" s="2"/>
      <c r="P33" t="s">
        <v>7</v>
      </c>
      <c r="Q33">
        <f t="shared" si="4"/>
        <v>0</v>
      </c>
      <c r="R33" s="8">
        <f>Q34*256+Q33</f>
        <v>0</v>
      </c>
      <c r="V33" t="str">
        <f t="shared" si="5"/>
        <v>00</v>
      </c>
    </row>
    <row r="34" spans="1:22" x14ac:dyDescent="0.4">
      <c r="A34">
        <v>31</v>
      </c>
      <c r="B34" t="str">
        <f t="shared" si="0"/>
        <v>1F</v>
      </c>
      <c r="C34" s="9"/>
      <c r="D34" t="s">
        <v>7</v>
      </c>
      <c r="E34">
        <f t="shared" si="1"/>
        <v>0</v>
      </c>
      <c r="F34" s="8"/>
      <c r="G34" s="2"/>
      <c r="H34" t="s">
        <v>7</v>
      </c>
      <c r="I34">
        <f t="shared" si="2"/>
        <v>0</v>
      </c>
      <c r="J34" s="8"/>
      <c r="K34" s="2"/>
      <c r="L34" t="s">
        <v>7</v>
      </c>
      <c r="M34">
        <f t="shared" si="3"/>
        <v>0</v>
      </c>
      <c r="N34" s="8"/>
      <c r="O34" s="2"/>
      <c r="P34" t="s">
        <v>7</v>
      </c>
      <c r="Q34">
        <f t="shared" si="4"/>
        <v>0</v>
      </c>
      <c r="R34" s="8"/>
      <c r="V34" t="str">
        <f t="shared" si="5"/>
        <v>00</v>
      </c>
    </row>
    <row r="35" spans="1:22" x14ac:dyDescent="0.4">
      <c r="A35">
        <v>32</v>
      </c>
      <c r="B35" t="str">
        <f t="shared" si="0"/>
        <v>20</v>
      </c>
      <c r="C35" t="s">
        <v>324</v>
      </c>
      <c r="D35" s="5" t="s">
        <v>15</v>
      </c>
      <c r="E35">
        <f t="shared" si="1"/>
        <v>2</v>
      </c>
      <c r="G35" s="2"/>
      <c r="H35" s="5" t="s">
        <v>10</v>
      </c>
      <c r="I35">
        <f t="shared" si="2"/>
        <v>1</v>
      </c>
      <c r="K35" s="2"/>
      <c r="L35" t="s">
        <v>15</v>
      </c>
      <c r="M35">
        <f t="shared" si="3"/>
        <v>2</v>
      </c>
      <c r="O35" s="2"/>
      <c r="P35" t="s">
        <v>15</v>
      </c>
      <c r="Q35">
        <f t="shared" si="4"/>
        <v>2</v>
      </c>
      <c r="V35" t="str">
        <f t="shared" si="5"/>
        <v>02</v>
      </c>
    </row>
    <row r="36" spans="1:22" x14ac:dyDescent="0.4">
      <c r="A36">
        <v>33</v>
      </c>
      <c r="B36" t="str">
        <f t="shared" si="0"/>
        <v>21</v>
      </c>
      <c r="C36" t="s">
        <v>309</v>
      </c>
      <c r="D36" t="s">
        <v>308</v>
      </c>
      <c r="E36">
        <f t="shared" si="1"/>
        <v>9</v>
      </c>
      <c r="F36" t="str">
        <f>_xlfn.XLOOKUP(E36,Sheet2!$A:$A,Sheet2!$E:$E)</f>
        <v>Pink</v>
      </c>
      <c r="G36" s="2"/>
      <c r="H36" t="s">
        <v>6</v>
      </c>
      <c r="I36">
        <f t="shared" si="2"/>
        <v>3</v>
      </c>
      <c r="J36" t="str">
        <f>_xlfn.XLOOKUP(I36,Sheet2!$A:$A,Sheet2!$E:$E)</f>
        <v>Green</v>
      </c>
      <c r="K36" s="2"/>
      <c r="L36" t="s">
        <v>15</v>
      </c>
      <c r="M36">
        <f t="shared" si="3"/>
        <v>2</v>
      </c>
      <c r="N36" t="str">
        <f>_xlfn.XLOOKUP(M36,Sheet2!$A:$A,Sheet2!$E:$E)</f>
        <v>Yellow</v>
      </c>
      <c r="O36" s="2"/>
      <c r="P36" t="s">
        <v>15</v>
      </c>
      <c r="Q36">
        <f t="shared" si="4"/>
        <v>2</v>
      </c>
      <c r="R36" t="str">
        <f>_xlfn.XLOOKUP(Q36,Sheet2!$A:$A,Sheet2!$E:$E)</f>
        <v>Yellow</v>
      </c>
      <c r="V36" t="str">
        <f t="shared" si="5"/>
        <v>02</v>
      </c>
    </row>
    <row r="37" spans="1:22" x14ac:dyDescent="0.4">
      <c r="A37">
        <v>34</v>
      </c>
      <c r="B37" t="str">
        <f t="shared" si="0"/>
        <v>22</v>
      </c>
      <c r="C37" s="10" t="s">
        <v>28</v>
      </c>
      <c r="D37" t="s">
        <v>407</v>
      </c>
      <c r="E37">
        <f t="shared" si="1"/>
        <v>138</v>
      </c>
      <c r="F37" s="8">
        <f>E38*256+E37</f>
        <v>138</v>
      </c>
      <c r="G37" s="2"/>
      <c r="H37" t="s">
        <v>428</v>
      </c>
      <c r="I37">
        <f t="shared" si="2"/>
        <v>51</v>
      </c>
      <c r="J37" s="8">
        <f>I38*256+I37</f>
        <v>51</v>
      </c>
      <c r="K37" s="2"/>
      <c r="L37" t="s">
        <v>353</v>
      </c>
      <c r="M37">
        <f t="shared" si="3"/>
        <v>230</v>
      </c>
      <c r="N37" s="8">
        <f>M38*256+M37</f>
        <v>230</v>
      </c>
      <c r="O37" s="2"/>
      <c r="P37" t="s">
        <v>340</v>
      </c>
      <c r="Q37">
        <f t="shared" si="4"/>
        <v>19</v>
      </c>
      <c r="R37" s="8">
        <f>Q38*256+Q37</f>
        <v>275</v>
      </c>
      <c r="V37" t="str">
        <f t="shared" si="5"/>
        <v>E6</v>
      </c>
    </row>
    <row r="38" spans="1:22" x14ac:dyDescent="0.4">
      <c r="A38">
        <v>35</v>
      </c>
      <c r="B38" t="str">
        <f t="shared" si="0"/>
        <v>23</v>
      </c>
      <c r="C38" s="10"/>
      <c r="D38" s="5" t="s">
        <v>7</v>
      </c>
      <c r="E38">
        <f t="shared" si="1"/>
        <v>0</v>
      </c>
      <c r="F38" s="8"/>
      <c r="G38" s="2"/>
      <c r="H38" t="s">
        <v>7</v>
      </c>
      <c r="I38">
        <f t="shared" si="2"/>
        <v>0</v>
      </c>
      <c r="J38" s="8"/>
      <c r="K38" s="2"/>
      <c r="L38" t="s">
        <v>7</v>
      </c>
      <c r="M38">
        <f t="shared" si="3"/>
        <v>0</v>
      </c>
      <c r="N38" s="8"/>
      <c r="O38" s="2"/>
      <c r="P38" t="s">
        <v>10</v>
      </c>
      <c r="Q38">
        <f t="shared" si="4"/>
        <v>1</v>
      </c>
      <c r="R38" s="8"/>
      <c r="V38" t="str">
        <f t="shared" si="5"/>
        <v>00</v>
      </c>
    </row>
    <row r="39" spans="1:22" x14ac:dyDescent="0.4">
      <c r="A39">
        <v>36</v>
      </c>
      <c r="B39" t="str">
        <f t="shared" si="0"/>
        <v>24</v>
      </c>
      <c r="C39" s="10" t="s">
        <v>26</v>
      </c>
      <c r="D39" t="s">
        <v>408</v>
      </c>
      <c r="E39">
        <f t="shared" si="1"/>
        <v>180</v>
      </c>
      <c r="F39" s="8">
        <f>E40*256+E39</f>
        <v>180</v>
      </c>
      <c r="G39" s="2"/>
      <c r="H39" t="s">
        <v>12</v>
      </c>
      <c r="I39">
        <f t="shared" si="2"/>
        <v>70</v>
      </c>
      <c r="J39" s="8">
        <f>I40*256+I39</f>
        <v>70</v>
      </c>
      <c r="K39" s="2"/>
      <c r="L39" t="s">
        <v>341</v>
      </c>
      <c r="M39">
        <f t="shared" si="3"/>
        <v>140</v>
      </c>
      <c r="N39" s="8">
        <f>M40*256+M39</f>
        <v>140</v>
      </c>
      <c r="O39" s="2"/>
      <c r="P39" t="s">
        <v>341</v>
      </c>
      <c r="Q39">
        <f t="shared" si="4"/>
        <v>140</v>
      </c>
      <c r="R39" s="8">
        <f>Q40*256+Q39</f>
        <v>140</v>
      </c>
      <c r="V39" t="str">
        <f t="shared" si="5"/>
        <v>8C</v>
      </c>
    </row>
    <row r="40" spans="1:22" x14ac:dyDescent="0.4">
      <c r="A40">
        <v>37</v>
      </c>
      <c r="B40" t="str">
        <f t="shared" si="0"/>
        <v>25</v>
      </c>
      <c r="C40" s="10"/>
      <c r="D40" t="s">
        <v>7</v>
      </c>
      <c r="E40">
        <f t="shared" si="1"/>
        <v>0</v>
      </c>
      <c r="F40" s="8"/>
      <c r="G40" s="2"/>
      <c r="H40" t="s">
        <v>7</v>
      </c>
      <c r="I40">
        <f t="shared" si="2"/>
        <v>0</v>
      </c>
      <c r="J40" s="8"/>
      <c r="K40" s="2"/>
      <c r="L40" t="s">
        <v>7</v>
      </c>
      <c r="M40">
        <f t="shared" si="3"/>
        <v>0</v>
      </c>
      <c r="N40" s="8"/>
      <c r="O40" s="2"/>
      <c r="P40" t="s">
        <v>7</v>
      </c>
      <c r="Q40">
        <f t="shared" si="4"/>
        <v>0</v>
      </c>
      <c r="R40" s="8"/>
      <c r="V40" t="str">
        <f t="shared" si="5"/>
        <v>00</v>
      </c>
    </row>
    <row r="41" spans="1:22" x14ac:dyDescent="0.4">
      <c r="A41">
        <v>38</v>
      </c>
      <c r="B41" t="str">
        <f t="shared" si="0"/>
        <v>26</v>
      </c>
      <c r="C41" s="10" t="s">
        <v>27</v>
      </c>
      <c r="D41" s="5" t="s">
        <v>409</v>
      </c>
      <c r="E41">
        <f t="shared" si="1"/>
        <v>27</v>
      </c>
      <c r="F41" s="8">
        <f>E42*256+E41</f>
        <v>795</v>
      </c>
      <c r="G41" s="2"/>
      <c r="H41" t="s">
        <v>429</v>
      </c>
      <c r="I41">
        <f t="shared" si="2"/>
        <v>69</v>
      </c>
      <c r="J41" s="8">
        <f>I42*256+I41</f>
        <v>69</v>
      </c>
      <c r="K41" s="2"/>
      <c r="L41" t="s">
        <v>342</v>
      </c>
      <c r="M41">
        <f t="shared" si="3"/>
        <v>103</v>
      </c>
      <c r="N41" s="8">
        <f>M42*256+M41</f>
        <v>615</v>
      </c>
      <c r="O41" s="2"/>
      <c r="P41" t="s">
        <v>342</v>
      </c>
      <c r="Q41">
        <f t="shared" si="4"/>
        <v>103</v>
      </c>
      <c r="R41" s="8">
        <f>Q42*256+Q41</f>
        <v>615</v>
      </c>
      <c r="V41" t="str">
        <f t="shared" si="5"/>
        <v>67</v>
      </c>
    </row>
    <row r="42" spans="1:22" x14ac:dyDescent="0.4">
      <c r="A42">
        <v>39</v>
      </c>
      <c r="B42" t="str">
        <f t="shared" si="0"/>
        <v>27</v>
      </c>
      <c r="C42" s="10"/>
      <c r="D42" s="5" t="s">
        <v>6</v>
      </c>
      <c r="E42">
        <f t="shared" si="1"/>
        <v>3</v>
      </c>
      <c r="F42" s="8"/>
      <c r="G42" s="2"/>
      <c r="H42" t="s">
        <v>7</v>
      </c>
      <c r="I42">
        <f t="shared" si="2"/>
        <v>0</v>
      </c>
      <c r="J42" s="8"/>
      <c r="K42" s="2"/>
      <c r="L42" t="s">
        <v>15</v>
      </c>
      <c r="M42">
        <f t="shared" si="3"/>
        <v>2</v>
      </c>
      <c r="N42" s="8"/>
      <c r="O42" s="2"/>
      <c r="P42" t="s">
        <v>15</v>
      </c>
      <c r="Q42">
        <f t="shared" si="4"/>
        <v>2</v>
      </c>
      <c r="R42" s="8"/>
      <c r="V42" t="str">
        <f t="shared" si="5"/>
        <v>02</v>
      </c>
    </row>
    <row r="43" spans="1:22" x14ac:dyDescent="0.4">
      <c r="A43">
        <v>40</v>
      </c>
      <c r="B43" t="str">
        <f t="shared" si="0"/>
        <v>28</v>
      </c>
      <c r="C43" s="6" t="str">
        <f t="shared" ref="C43:C54" si="6">_xlfn.CONCAT("TM ",(ROW(C43)-43)*8+1," - ",(ROW(C43)-43)*8+8)</f>
        <v>TM 1 - 8</v>
      </c>
      <c r="D43" t="s">
        <v>410</v>
      </c>
      <c r="E43">
        <f t="shared" si="1"/>
        <v>253</v>
      </c>
      <c r="G43" s="2"/>
      <c r="H43" t="s">
        <v>430</v>
      </c>
      <c r="I43">
        <f t="shared" si="2"/>
        <v>248</v>
      </c>
      <c r="K43" s="2"/>
      <c r="L43" t="s">
        <v>11</v>
      </c>
      <c r="M43">
        <f t="shared" si="3"/>
        <v>32</v>
      </c>
      <c r="O43" s="2"/>
      <c r="P43" t="s">
        <v>11</v>
      </c>
      <c r="Q43">
        <f t="shared" si="4"/>
        <v>32</v>
      </c>
      <c r="V43" t="str">
        <f t="shared" si="5"/>
        <v>20</v>
      </c>
    </row>
    <row r="44" spans="1:22" x14ac:dyDescent="0.4">
      <c r="A44">
        <v>41</v>
      </c>
      <c r="B44" t="str">
        <f t="shared" si="0"/>
        <v>29</v>
      </c>
      <c r="C44" s="6" t="str">
        <f t="shared" si="6"/>
        <v>TM 9 - 16</v>
      </c>
      <c r="D44" t="s">
        <v>411</v>
      </c>
      <c r="E44">
        <f t="shared" si="1"/>
        <v>247</v>
      </c>
      <c r="G44" s="2"/>
      <c r="H44" t="s">
        <v>352</v>
      </c>
      <c r="I44">
        <f t="shared" si="2"/>
        <v>135</v>
      </c>
      <c r="K44" s="2"/>
      <c r="L44" t="s">
        <v>343</v>
      </c>
      <c r="M44">
        <f t="shared" si="3"/>
        <v>194</v>
      </c>
      <c r="O44" s="2"/>
      <c r="P44" t="s">
        <v>343</v>
      </c>
      <c r="Q44">
        <f t="shared" si="4"/>
        <v>194</v>
      </c>
      <c r="V44" t="str">
        <f t="shared" si="5"/>
        <v>C2</v>
      </c>
    </row>
    <row r="45" spans="1:22" x14ac:dyDescent="0.4">
      <c r="A45">
        <v>42</v>
      </c>
      <c r="B45" t="str">
        <f t="shared" si="0"/>
        <v>2A</v>
      </c>
      <c r="C45" s="6" t="str">
        <f t="shared" si="6"/>
        <v>TM 17 - 24</v>
      </c>
      <c r="D45" t="s">
        <v>412</v>
      </c>
      <c r="E45">
        <f t="shared" si="1"/>
        <v>195</v>
      </c>
      <c r="G45" s="2"/>
      <c r="H45" t="s">
        <v>431</v>
      </c>
      <c r="I45">
        <f t="shared" si="2"/>
        <v>35</v>
      </c>
      <c r="K45" s="2"/>
      <c r="L45" t="s">
        <v>334</v>
      </c>
      <c r="M45">
        <f t="shared" si="3"/>
        <v>155</v>
      </c>
      <c r="O45" s="2"/>
      <c r="P45" t="s">
        <v>334</v>
      </c>
      <c r="Q45">
        <f t="shared" si="4"/>
        <v>155</v>
      </c>
      <c r="V45" t="str">
        <f t="shared" si="5"/>
        <v>9B</v>
      </c>
    </row>
    <row r="46" spans="1:22" x14ac:dyDescent="0.4">
      <c r="A46">
        <v>43</v>
      </c>
      <c r="B46" t="str">
        <f t="shared" si="0"/>
        <v>2B</v>
      </c>
      <c r="C46" s="6" t="str">
        <f t="shared" si="6"/>
        <v>TM 25 - 32</v>
      </c>
      <c r="D46" t="s">
        <v>413</v>
      </c>
      <c r="E46">
        <f t="shared" si="1"/>
        <v>246</v>
      </c>
      <c r="G46" s="2"/>
      <c r="H46" t="s">
        <v>432</v>
      </c>
      <c r="I46">
        <f t="shared" si="2"/>
        <v>134</v>
      </c>
      <c r="K46" s="2"/>
      <c r="L46" t="s">
        <v>328</v>
      </c>
      <c r="M46">
        <f t="shared" si="3"/>
        <v>197</v>
      </c>
      <c r="O46" s="2"/>
      <c r="P46" t="s">
        <v>328</v>
      </c>
      <c r="Q46">
        <f t="shared" si="4"/>
        <v>197</v>
      </c>
      <c r="V46" t="str">
        <f t="shared" si="5"/>
        <v>C5</v>
      </c>
    </row>
    <row r="47" spans="1:22" x14ac:dyDescent="0.4">
      <c r="A47">
        <v>44</v>
      </c>
      <c r="B47" t="str">
        <f t="shared" si="0"/>
        <v>2C</v>
      </c>
      <c r="C47" s="6" t="str">
        <f t="shared" si="6"/>
        <v>TM 33 - 40</v>
      </c>
      <c r="D47" t="s">
        <v>306</v>
      </c>
      <c r="E47">
        <f t="shared" si="1"/>
        <v>127</v>
      </c>
      <c r="G47" s="2"/>
      <c r="H47" t="s">
        <v>334</v>
      </c>
      <c r="I47">
        <f t="shared" si="2"/>
        <v>155</v>
      </c>
      <c r="K47" s="2"/>
      <c r="L47" t="s">
        <v>7</v>
      </c>
      <c r="M47">
        <f t="shared" si="3"/>
        <v>0</v>
      </c>
      <c r="O47" s="2"/>
      <c r="P47" t="s">
        <v>7</v>
      </c>
      <c r="Q47">
        <f t="shared" si="4"/>
        <v>0</v>
      </c>
      <c r="V47" t="str">
        <f t="shared" si="5"/>
        <v>00</v>
      </c>
    </row>
    <row r="48" spans="1:22" x14ac:dyDescent="0.4">
      <c r="A48">
        <v>45</v>
      </c>
      <c r="B48" t="str">
        <f t="shared" si="0"/>
        <v>2D</v>
      </c>
      <c r="C48" s="6" t="str">
        <f t="shared" si="6"/>
        <v>TM 41 - 48</v>
      </c>
      <c r="D48" t="s">
        <v>414</v>
      </c>
      <c r="E48">
        <f t="shared" si="1"/>
        <v>91</v>
      </c>
      <c r="G48" s="2"/>
      <c r="H48" t="s">
        <v>50</v>
      </c>
      <c r="I48">
        <f t="shared" si="2"/>
        <v>154</v>
      </c>
      <c r="K48" s="2"/>
      <c r="L48" t="s">
        <v>50</v>
      </c>
      <c r="M48">
        <f t="shared" si="3"/>
        <v>154</v>
      </c>
      <c r="O48" s="2"/>
      <c r="P48" t="s">
        <v>50</v>
      </c>
      <c r="Q48">
        <f t="shared" si="4"/>
        <v>154</v>
      </c>
      <c r="V48" t="str">
        <f t="shared" si="5"/>
        <v>9A</v>
      </c>
    </row>
    <row r="49" spans="1:25" x14ac:dyDescent="0.4">
      <c r="A49">
        <v>46</v>
      </c>
      <c r="B49" t="str">
        <f t="shared" si="0"/>
        <v>2E</v>
      </c>
      <c r="C49" s="6" t="str">
        <f t="shared" si="6"/>
        <v>TM 49 - 56</v>
      </c>
      <c r="D49" t="s">
        <v>415</v>
      </c>
      <c r="E49">
        <f t="shared" si="1"/>
        <v>240</v>
      </c>
      <c r="G49" s="2"/>
      <c r="H49" t="s">
        <v>347</v>
      </c>
      <c r="I49">
        <f t="shared" si="2"/>
        <v>48</v>
      </c>
      <c r="K49" s="2"/>
      <c r="L49" t="s">
        <v>344</v>
      </c>
      <c r="M49">
        <f t="shared" si="3"/>
        <v>137</v>
      </c>
      <c r="O49" s="2"/>
      <c r="P49" t="s">
        <v>344</v>
      </c>
      <c r="Q49">
        <f t="shared" si="4"/>
        <v>137</v>
      </c>
      <c r="V49" t="str">
        <f t="shared" si="5"/>
        <v>89</v>
      </c>
    </row>
    <row r="50" spans="1:25" x14ac:dyDescent="0.4">
      <c r="A50">
        <v>47</v>
      </c>
      <c r="B50" t="str">
        <f t="shared" si="0"/>
        <v>2F</v>
      </c>
      <c r="C50" s="6" t="str">
        <f t="shared" si="6"/>
        <v>TM 57 - 64</v>
      </c>
      <c r="D50" t="s">
        <v>416</v>
      </c>
      <c r="E50">
        <f t="shared" si="1"/>
        <v>207</v>
      </c>
      <c r="G50" s="2"/>
      <c r="H50" t="s">
        <v>433</v>
      </c>
      <c r="I50">
        <f t="shared" si="2"/>
        <v>76</v>
      </c>
      <c r="K50" s="2"/>
      <c r="L50" t="s">
        <v>9</v>
      </c>
      <c r="M50">
        <f t="shared" si="3"/>
        <v>5</v>
      </c>
      <c r="O50" s="2"/>
      <c r="P50" t="s">
        <v>9</v>
      </c>
      <c r="Q50">
        <f t="shared" si="4"/>
        <v>5</v>
      </c>
      <c r="V50" t="str">
        <f t="shared" si="5"/>
        <v>05</v>
      </c>
    </row>
    <row r="51" spans="1:25" x14ac:dyDescent="0.4">
      <c r="A51">
        <v>48</v>
      </c>
      <c r="B51" t="str">
        <f t="shared" si="0"/>
        <v>30</v>
      </c>
      <c r="C51" s="6" t="str">
        <f t="shared" si="6"/>
        <v>TM 65 - 72</v>
      </c>
      <c r="D51" t="s">
        <v>14</v>
      </c>
      <c r="E51">
        <f t="shared" si="1"/>
        <v>8</v>
      </c>
      <c r="G51" s="2"/>
      <c r="H51" t="s">
        <v>7</v>
      </c>
      <c r="I51">
        <f t="shared" si="2"/>
        <v>0</v>
      </c>
      <c r="K51" s="2"/>
      <c r="L51" t="s">
        <v>345</v>
      </c>
      <c r="M51">
        <f t="shared" si="3"/>
        <v>136</v>
      </c>
      <c r="O51" s="2"/>
      <c r="P51" t="s">
        <v>345</v>
      </c>
      <c r="Q51">
        <f t="shared" si="4"/>
        <v>136</v>
      </c>
      <c r="V51" t="str">
        <f t="shared" si="5"/>
        <v>88</v>
      </c>
    </row>
    <row r="52" spans="1:25" x14ac:dyDescent="0.4">
      <c r="A52">
        <v>49</v>
      </c>
      <c r="B52" t="str">
        <f t="shared" si="0"/>
        <v>31</v>
      </c>
      <c r="C52" s="6" t="str">
        <f t="shared" si="6"/>
        <v>TM 73 - 80</v>
      </c>
      <c r="D52" t="s">
        <v>417</v>
      </c>
      <c r="E52">
        <f t="shared" si="1"/>
        <v>249</v>
      </c>
      <c r="G52" s="2"/>
      <c r="H52" t="s">
        <v>393</v>
      </c>
      <c r="I52">
        <f t="shared" si="2"/>
        <v>40</v>
      </c>
      <c r="K52" s="2"/>
      <c r="L52" t="s">
        <v>335</v>
      </c>
      <c r="M52">
        <f t="shared" si="3"/>
        <v>33</v>
      </c>
      <c r="O52" s="2"/>
      <c r="P52" t="s">
        <v>335</v>
      </c>
      <c r="Q52">
        <f t="shared" si="4"/>
        <v>33</v>
      </c>
      <c r="V52" t="str">
        <f t="shared" si="5"/>
        <v>21</v>
      </c>
    </row>
    <row r="53" spans="1:25" x14ac:dyDescent="0.4">
      <c r="A53">
        <v>50</v>
      </c>
      <c r="B53" t="str">
        <f t="shared" si="0"/>
        <v>32</v>
      </c>
      <c r="C53" s="6" t="str">
        <f t="shared" si="6"/>
        <v>TM 81 - 88</v>
      </c>
      <c r="D53" t="s">
        <v>418</v>
      </c>
      <c r="E53">
        <f t="shared" si="1"/>
        <v>131</v>
      </c>
      <c r="G53" s="2"/>
      <c r="H53" t="s">
        <v>434</v>
      </c>
      <c r="I53">
        <f t="shared" si="2"/>
        <v>169</v>
      </c>
      <c r="K53" s="2"/>
      <c r="L53" t="s">
        <v>346</v>
      </c>
      <c r="M53">
        <f t="shared" si="3"/>
        <v>192</v>
      </c>
      <c r="O53" s="2"/>
      <c r="P53" t="s">
        <v>346</v>
      </c>
      <c r="Q53">
        <f t="shared" si="4"/>
        <v>192</v>
      </c>
      <c r="V53" t="str">
        <f t="shared" si="5"/>
        <v>C0</v>
      </c>
    </row>
    <row r="54" spans="1:25" x14ac:dyDescent="0.4">
      <c r="A54">
        <v>51</v>
      </c>
      <c r="B54" t="str">
        <f t="shared" si="0"/>
        <v>33</v>
      </c>
      <c r="C54" s="6" t="str">
        <f t="shared" si="6"/>
        <v>TM 89 - 96</v>
      </c>
      <c r="D54" t="s">
        <v>419</v>
      </c>
      <c r="E54">
        <f t="shared" si="1"/>
        <v>110</v>
      </c>
      <c r="G54" s="2"/>
      <c r="H54" t="s">
        <v>427</v>
      </c>
      <c r="I54">
        <f t="shared" si="2"/>
        <v>34</v>
      </c>
      <c r="K54" s="2"/>
      <c r="L54" t="s">
        <v>13</v>
      </c>
      <c r="M54">
        <f t="shared" si="3"/>
        <v>18</v>
      </c>
      <c r="O54" s="2"/>
      <c r="P54" t="s">
        <v>13</v>
      </c>
      <c r="Q54">
        <f t="shared" si="4"/>
        <v>18</v>
      </c>
      <c r="V54" t="str">
        <f t="shared" si="5"/>
        <v>12</v>
      </c>
    </row>
    <row r="55" spans="1:25" x14ac:dyDescent="0.4">
      <c r="A55">
        <v>52</v>
      </c>
      <c r="B55" t="str">
        <f t="shared" si="0"/>
        <v>34</v>
      </c>
      <c r="C55" s="6" t="s">
        <v>442</v>
      </c>
      <c r="D55" t="s">
        <v>420</v>
      </c>
      <c r="E55">
        <f t="shared" si="1"/>
        <v>157</v>
      </c>
      <c r="G55" s="2"/>
      <c r="H55" t="s">
        <v>308</v>
      </c>
      <c r="I55">
        <f t="shared" si="2"/>
        <v>9</v>
      </c>
      <c r="K55" s="2"/>
      <c r="L55" t="s">
        <v>14</v>
      </c>
      <c r="M55">
        <f t="shared" si="3"/>
        <v>8</v>
      </c>
      <c r="O55" s="2"/>
      <c r="P55" t="s">
        <v>14</v>
      </c>
      <c r="Q55">
        <f t="shared" si="4"/>
        <v>8</v>
      </c>
      <c r="V55" t="str">
        <f t="shared" si="5"/>
        <v>08</v>
      </c>
      <c r="W55" t="str">
        <f>DEC2BIN(E55)</f>
        <v>10011101</v>
      </c>
      <c r="X55" t="str">
        <f>DEC2BIN(I55)</f>
        <v>1001</v>
      </c>
    </row>
    <row r="56" spans="1:25" x14ac:dyDescent="0.4">
      <c r="A56">
        <v>53</v>
      </c>
      <c r="B56" t="str">
        <f t="shared" si="0"/>
        <v>35</v>
      </c>
      <c r="C56" s="6" t="s">
        <v>443</v>
      </c>
      <c r="D56" t="s">
        <v>7</v>
      </c>
      <c r="E56">
        <f t="shared" si="1"/>
        <v>0</v>
      </c>
      <c r="G56" s="2"/>
      <c r="H56" t="s">
        <v>7</v>
      </c>
      <c r="I56">
        <f t="shared" si="2"/>
        <v>0</v>
      </c>
      <c r="K56" s="2"/>
      <c r="L56" t="s">
        <v>7</v>
      </c>
      <c r="M56">
        <f t="shared" si="3"/>
        <v>0</v>
      </c>
      <c r="O56" s="2"/>
      <c r="P56" t="s">
        <v>7</v>
      </c>
      <c r="Q56">
        <f t="shared" si="4"/>
        <v>0</v>
      </c>
      <c r="V56" t="str">
        <f t="shared" si="5"/>
        <v>00</v>
      </c>
    </row>
    <row r="57" spans="1:25" x14ac:dyDescent="0.4">
      <c r="A57">
        <v>54</v>
      </c>
      <c r="B57" t="str">
        <f t="shared" si="0"/>
        <v>36</v>
      </c>
      <c r="C57" s="6" t="s">
        <v>444</v>
      </c>
      <c r="D57" t="s">
        <v>7</v>
      </c>
      <c r="E57">
        <f t="shared" si="1"/>
        <v>0</v>
      </c>
      <c r="G57" s="2"/>
      <c r="H57" t="s">
        <v>7</v>
      </c>
      <c r="I57">
        <f t="shared" si="2"/>
        <v>0</v>
      </c>
      <c r="K57" s="2"/>
      <c r="L57" t="s">
        <v>7</v>
      </c>
      <c r="M57">
        <f t="shared" si="3"/>
        <v>0</v>
      </c>
      <c r="O57" s="2"/>
      <c r="P57" t="s">
        <v>7</v>
      </c>
      <c r="Q57">
        <f t="shared" si="4"/>
        <v>0</v>
      </c>
      <c r="V57" t="str">
        <f t="shared" si="5"/>
        <v>00</v>
      </c>
    </row>
    <row r="58" spans="1:25" x14ac:dyDescent="0.4">
      <c r="A58">
        <v>55</v>
      </c>
      <c r="B58" t="str">
        <f t="shared" si="0"/>
        <v>37</v>
      </c>
      <c r="C58" s="6" t="s">
        <v>445</v>
      </c>
      <c r="D58" t="s">
        <v>7</v>
      </c>
      <c r="E58">
        <f t="shared" si="1"/>
        <v>0</v>
      </c>
      <c r="G58" s="2"/>
      <c r="H58" t="s">
        <v>7</v>
      </c>
      <c r="I58">
        <f t="shared" si="2"/>
        <v>0</v>
      </c>
      <c r="K58" s="2"/>
      <c r="L58" t="s">
        <v>7</v>
      </c>
      <c r="M58">
        <f t="shared" si="3"/>
        <v>0</v>
      </c>
      <c r="O58" s="2"/>
      <c r="P58" t="s">
        <v>7</v>
      </c>
      <c r="Q58">
        <f t="shared" si="4"/>
        <v>0</v>
      </c>
      <c r="V58" t="str">
        <f t="shared" si="5"/>
        <v>00</v>
      </c>
    </row>
    <row r="59" spans="1:25" x14ac:dyDescent="0.4">
      <c r="A59">
        <v>56</v>
      </c>
      <c r="B59" t="str">
        <f t="shared" si="0"/>
        <v>38</v>
      </c>
      <c r="C59" s="6" t="s">
        <v>449</v>
      </c>
      <c r="D59" t="s">
        <v>395</v>
      </c>
      <c r="E59">
        <f t="shared" si="1"/>
        <v>129</v>
      </c>
      <c r="G59" s="2"/>
      <c r="H59" t="s">
        <v>308</v>
      </c>
      <c r="I59">
        <f t="shared" si="2"/>
        <v>9</v>
      </c>
      <c r="K59" s="2"/>
      <c r="L59" t="s">
        <v>7</v>
      </c>
      <c r="M59">
        <f t="shared" si="3"/>
        <v>0</v>
      </c>
      <c r="O59" s="2"/>
      <c r="P59" t="s">
        <v>7</v>
      </c>
      <c r="Q59">
        <f t="shared" si="4"/>
        <v>0</v>
      </c>
      <c r="V59" t="str">
        <f t="shared" si="5"/>
        <v>00</v>
      </c>
    </row>
    <row r="60" spans="1:25" x14ac:dyDescent="0.4">
      <c r="A60">
        <v>57</v>
      </c>
      <c r="B60" t="str">
        <f t="shared" si="0"/>
        <v>39</v>
      </c>
      <c r="C60" s="7" t="s">
        <v>450</v>
      </c>
      <c r="D60" t="s">
        <v>7</v>
      </c>
      <c r="E60">
        <f t="shared" si="1"/>
        <v>0</v>
      </c>
      <c r="G60" s="2"/>
      <c r="H60" t="s">
        <v>7</v>
      </c>
      <c r="I60">
        <f t="shared" si="2"/>
        <v>0</v>
      </c>
      <c r="K60" s="2"/>
      <c r="L60" t="s">
        <v>7</v>
      </c>
      <c r="M60">
        <f t="shared" si="3"/>
        <v>0</v>
      </c>
      <c r="O60" s="2"/>
      <c r="P60" t="s">
        <v>7</v>
      </c>
      <c r="Q60">
        <f t="shared" si="4"/>
        <v>0</v>
      </c>
      <c r="V60" t="str">
        <f t="shared" si="5"/>
        <v>00</v>
      </c>
    </row>
    <row r="61" spans="1:25" x14ac:dyDescent="0.4">
      <c r="A61">
        <v>58</v>
      </c>
      <c r="B61" t="str">
        <f t="shared" si="0"/>
        <v>3A</v>
      </c>
      <c r="C61" s="7"/>
      <c r="D61" t="s">
        <v>7</v>
      </c>
      <c r="E61">
        <f t="shared" si="1"/>
        <v>0</v>
      </c>
      <c r="G61" s="2"/>
      <c r="H61" t="s">
        <v>7</v>
      </c>
      <c r="I61">
        <f t="shared" si="2"/>
        <v>0</v>
      </c>
      <c r="K61" s="2"/>
      <c r="L61" t="s">
        <v>7</v>
      </c>
      <c r="M61">
        <f t="shared" si="3"/>
        <v>0</v>
      </c>
      <c r="O61" s="2"/>
      <c r="P61" t="s">
        <v>7</v>
      </c>
      <c r="Q61">
        <f t="shared" si="4"/>
        <v>0</v>
      </c>
      <c r="V61" t="str">
        <f t="shared" si="5"/>
        <v>00</v>
      </c>
    </row>
    <row r="62" spans="1:25" x14ac:dyDescent="0.4">
      <c r="A62">
        <v>59</v>
      </c>
      <c r="B62" t="str">
        <f t="shared" si="0"/>
        <v>3B</v>
      </c>
      <c r="C62" s="7"/>
      <c r="D62" t="s">
        <v>7</v>
      </c>
      <c r="E62">
        <f t="shared" si="1"/>
        <v>0</v>
      </c>
      <c r="G62" s="2"/>
      <c r="H62" t="s">
        <v>7</v>
      </c>
      <c r="I62">
        <f t="shared" si="2"/>
        <v>0</v>
      </c>
      <c r="K62" s="2"/>
      <c r="L62" t="s">
        <v>7</v>
      </c>
      <c r="M62">
        <f t="shared" si="3"/>
        <v>0</v>
      </c>
      <c r="O62" s="2"/>
      <c r="P62" t="s">
        <v>7</v>
      </c>
      <c r="Q62">
        <f t="shared" si="4"/>
        <v>0</v>
      </c>
      <c r="V62" t="str">
        <f t="shared" si="5"/>
        <v>00</v>
      </c>
    </row>
    <row r="63" spans="1:25" x14ac:dyDescent="0.4">
      <c r="A63">
        <v>60</v>
      </c>
      <c r="B63" t="str">
        <f t="shared" si="0"/>
        <v>3C</v>
      </c>
      <c r="C63" s="7" t="s">
        <v>446</v>
      </c>
      <c r="D63" t="s">
        <v>417</v>
      </c>
      <c r="E63">
        <f t="shared" ref="E63:E81" si="7">HEX2DEC(D63)</f>
        <v>249</v>
      </c>
      <c r="G63" s="2"/>
      <c r="H63" t="s">
        <v>394</v>
      </c>
      <c r="I63">
        <f t="shared" ref="I63:I81" si="8">HEX2DEC(H63)</f>
        <v>64</v>
      </c>
      <c r="K63" s="2"/>
      <c r="L63" t="s">
        <v>307</v>
      </c>
      <c r="M63">
        <f t="shared" ref="M63:M81" si="9">HEX2DEC(L63)</f>
        <v>16</v>
      </c>
      <c r="O63" s="2"/>
      <c r="P63" t="s">
        <v>307</v>
      </c>
      <c r="Q63">
        <f t="shared" si="4"/>
        <v>16</v>
      </c>
      <c r="V63" t="str">
        <f t="shared" si="5"/>
        <v>10</v>
      </c>
      <c r="Y63">
        <f>118/2-1</f>
        <v>58</v>
      </c>
    </row>
    <row r="64" spans="1:25" x14ac:dyDescent="0.4">
      <c r="A64">
        <v>61</v>
      </c>
      <c r="B64" t="str">
        <f t="shared" si="0"/>
        <v>3D</v>
      </c>
      <c r="C64" s="7"/>
      <c r="D64" t="s">
        <v>15</v>
      </c>
      <c r="E64">
        <f t="shared" si="7"/>
        <v>2</v>
      </c>
      <c r="G64" s="2"/>
      <c r="H64" t="s">
        <v>7</v>
      </c>
      <c r="I64">
        <f t="shared" si="8"/>
        <v>0</v>
      </c>
      <c r="K64" s="2"/>
      <c r="L64" t="s">
        <v>347</v>
      </c>
      <c r="M64">
        <f t="shared" si="9"/>
        <v>48</v>
      </c>
      <c r="O64" s="2"/>
      <c r="P64" t="s">
        <v>347</v>
      </c>
      <c r="Q64">
        <f t="shared" si="4"/>
        <v>48</v>
      </c>
      <c r="V64" t="str">
        <f t="shared" si="5"/>
        <v>30</v>
      </c>
    </row>
    <row r="65" spans="1:22" x14ac:dyDescent="0.4">
      <c r="A65">
        <v>62</v>
      </c>
      <c r="B65" t="str">
        <f t="shared" si="0"/>
        <v>3E</v>
      </c>
      <c r="C65" s="7"/>
      <c r="D65" t="s">
        <v>359</v>
      </c>
      <c r="E65">
        <f t="shared" si="7"/>
        <v>74</v>
      </c>
      <c r="G65" s="2"/>
      <c r="H65" t="s">
        <v>435</v>
      </c>
      <c r="I65">
        <f t="shared" si="8"/>
        <v>200</v>
      </c>
      <c r="K65" s="2"/>
      <c r="L65" t="s">
        <v>307</v>
      </c>
      <c r="M65">
        <f t="shared" si="9"/>
        <v>16</v>
      </c>
      <c r="O65" s="2"/>
      <c r="P65" t="s">
        <v>307</v>
      </c>
      <c r="Q65">
        <f t="shared" si="4"/>
        <v>16</v>
      </c>
      <c r="V65" t="str">
        <f t="shared" si="5"/>
        <v>10</v>
      </c>
    </row>
    <row r="66" spans="1:22" x14ac:dyDescent="0.4">
      <c r="A66">
        <v>63</v>
      </c>
      <c r="B66" t="str">
        <f t="shared" si="0"/>
        <v>3F</v>
      </c>
      <c r="C66" s="7"/>
      <c r="D66" t="s">
        <v>421</v>
      </c>
      <c r="E66">
        <f t="shared" si="7"/>
        <v>123</v>
      </c>
      <c r="G66" s="2"/>
      <c r="H66" t="s">
        <v>346</v>
      </c>
      <c r="I66">
        <f t="shared" si="8"/>
        <v>192</v>
      </c>
      <c r="K66" s="2"/>
      <c r="L66" t="s">
        <v>348</v>
      </c>
      <c r="M66">
        <f t="shared" si="9"/>
        <v>81</v>
      </c>
      <c r="O66" s="2"/>
      <c r="P66" t="s">
        <v>348</v>
      </c>
      <c r="Q66">
        <f t="shared" si="4"/>
        <v>81</v>
      </c>
      <c r="V66" t="str">
        <f t="shared" si="5"/>
        <v>51</v>
      </c>
    </row>
    <row r="67" spans="1:22" x14ac:dyDescent="0.4">
      <c r="A67">
        <v>64</v>
      </c>
      <c r="B67" t="str">
        <f t="shared" si="0"/>
        <v>40</v>
      </c>
      <c r="C67" s="7" t="s">
        <v>447</v>
      </c>
      <c r="D67" t="s">
        <v>422</v>
      </c>
      <c r="E67">
        <f t="shared" si="7"/>
        <v>167</v>
      </c>
      <c r="G67" s="2"/>
      <c r="H67" t="s">
        <v>436</v>
      </c>
      <c r="I67">
        <f t="shared" si="8"/>
        <v>196</v>
      </c>
      <c r="K67" s="2"/>
      <c r="L67" t="s">
        <v>335</v>
      </c>
      <c r="M67">
        <f t="shared" si="9"/>
        <v>33</v>
      </c>
      <c r="O67" s="2"/>
      <c r="P67" t="s">
        <v>335</v>
      </c>
      <c r="Q67">
        <f t="shared" si="4"/>
        <v>33</v>
      </c>
      <c r="V67" t="str">
        <f t="shared" si="5"/>
        <v>21</v>
      </c>
    </row>
    <row r="68" spans="1:22" x14ac:dyDescent="0.4">
      <c r="A68">
        <v>65</v>
      </c>
      <c r="B68" t="str">
        <f t="shared" ref="B68:B81" si="10">DEC2HEX(A68)</f>
        <v>41</v>
      </c>
      <c r="C68" s="7"/>
      <c r="D68" t="s">
        <v>355</v>
      </c>
      <c r="E68">
        <f t="shared" si="7"/>
        <v>255</v>
      </c>
      <c r="G68" s="2"/>
      <c r="H68" t="s">
        <v>397</v>
      </c>
      <c r="I68">
        <f t="shared" si="8"/>
        <v>42</v>
      </c>
      <c r="K68" s="2"/>
      <c r="L68" t="s">
        <v>329</v>
      </c>
      <c r="M68">
        <f t="shared" si="9"/>
        <v>24</v>
      </c>
      <c r="O68" s="2"/>
      <c r="P68" t="s">
        <v>329</v>
      </c>
      <c r="Q68">
        <f t="shared" ref="Q68:Q81" si="11">HEX2DEC(P68)</f>
        <v>24</v>
      </c>
      <c r="V68" t="str">
        <f t="shared" ref="V68:V86" si="12">LEFT(RIGHT($W$2,$X$2-2*(ROW(V68)-3)),2)</f>
        <v>18</v>
      </c>
    </row>
    <row r="69" spans="1:22" x14ac:dyDescent="0.4">
      <c r="A69">
        <v>66</v>
      </c>
      <c r="B69" t="str">
        <f t="shared" si="10"/>
        <v>42</v>
      </c>
      <c r="C69" s="7"/>
      <c r="D69" t="s">
        <v>423</v>
      </c>
      <c r="E69">
        <f t="shared" si="7"/>
        <v>211</v>
      </c>
      <c r="G69" s="2"/>
      <c r="H69" t="s">
        <v>437</v>
      </c>
      <c r="I69">
        <f t="shared" si="8"/>
        <v>6</v>
      </c>
      <c r="K69" s="2"/>
      <c r="L69" t="s">
        <v>51</v>
      </c>
      <c r="M69">
        <f t="shared" si="9"/>
        <v>130</v>
      </c>
      <c r="O69" s="2"/>
      <c r="P69" t="s">
        <v>51</v>
      </c>
      <c r="Q69">
        <f t="shared" si="11"/>
        <v>130</v>
      </c>
      <c r="V69" t="str">
        <f t="shared" si="12"/>
        <v>82</v>
      </c>
    </row>
    <row r="70" spans="1:22" x14ac:dyDescent="0.4">
      <c r="A70">
        <v>67</v>
      </c>
      <c r="B70" t="str">
        <f t="shared" si="10"/>
        <v>43</v>
      </c>
      <c r="C70" s="7"/>
      <c r="D70" t="s">
        <v>424</v>
      </c>
      <c r="E70">
        <f t="shared" si="7"/>
        <v>242</v>
      </c>
      <c r="G70" s="2"/>
      <c r="H70" t="s">
        <v>10</v>
      </c>
      <c r="I70">
        <f t="shared" si="8"/>
        <v>1</v>
      </c>
      <c r="K70" s="2"/>
      <c r="L70" t="s">
        <v>7</v>
      </c>
      <c r="M70">
        <f t="shared" si="9"/>
        <v>0</v>
      </c>
      <c r="O70" s="2"/>
      <c r="P70" t="s">
        <v>7</v>
      </c>
      <c r="Q70">
        <f t="shared" si="11"/>
        <v>0</v>
      </c>
      <c r="V70" t="str">
        <f t="shared" si="12"/>
        <v>00</v>
      </c>
    </row>
    <row r="71" spans="1:22" x14ac:dyDescent="0.4">
      <c r="A71">
        <v>68</v>
      </c>
      <c r="B71" t="str">
        <f t="shared" si="10"/>
        <v>44</v>
      </c>
      <c r="C71" s="7" t="s">
        <v>448</v>
      </c>
      <c r="D71" t="s">
        <v>13</v>
      </c>
      <c r="E71">
        <f t="shared" si="7"/>
        <v>18</v>
      </c>
      <c r="G71" s="2"/>
      <c r="H71" t="s">
        <v>343</v>
      </c>
      <c r="I71">
        <f t="shared" si="8"/>
        <v>194</v>
      </c>
      <c r="K71" s="2"/>
      <c r="L71" t="s">
        <v>5</v>
      </c>
      <c r="M71">
        <f t="shared" si="9"/>
        <v>4</v>
      </c>
      <c r="O71" s="2"/>
      <c r="P71" t="s">
        <v>5</v>
      </c>
      <c r="Q71">
        <f t="shared" si="11"/>
        <v>4</v>
      </c>
      <c r="V71" t="str">
        <f t="shared" si="12"/>
        <v>04</v>
      </c>
    </row>
    <row r="72" spans="1:22" x14ac:dyDescent="0.4">
      <c r="A72">
        <v>69</v>
      </c>
      <c r="B72" t="str">
        <f t="shared" si="10"/>
        <v>45</v>
      </c>
      <c r="C72" s="7"/>
      <c r="D72" t="s">
        <v>396</v>
      </c>
      <c r="E72">
        <f t="shared" si="7"/>
        <v>72</v>
      </c>
      <c r="G72" s="2"/>
      <c r="H72" t="s">
        <v>438</v>
      </c>
      <c r="I72">
        <f t="shared" si="8"/>
        <v>148</v>
      </c>
      <c r="K72" s="2"/>
      <c r="L72" t="s">
        <v>7</v>
      </c>
      <c r="M72">
        <f t="shared" si="9"/>
        <v>0</v>
      </c>
      <c r="O72" s="2"/>
      <c r="P72" t="s">
        <v>7</v>
      </c>
      <c r="Q72">
        <f t="shared" si="11"/>
        <v>0</v>
      </c>
      <c r="V72" t="str">
        <f t="shared" si="12"/>
        <v>00</v>
      </c>
    </row>
    <row r="73" spans="1:22" x14ac:dyDescent="0.4">
      <c r="A73">
        <v>70</v>
      </c>
      <c r="B73" t="str">
        <f t="shared" si="10"/>
        <v>46</v>
      </c>
      <c r="C73" s="7"/>
      <c r="D73" t="s">
        <v>7</v>
      </c>
      <c r="E73">
        <f t="shared" si="7"/>
        <v>0</v>
      </c>
      <c r="G73" s="2"/>
      <c r="H73" t="s">
        <v>7</v>
      </c>
      <c r="I73">
        <f t="shared" si="8"/>
        <v>0</v>
      </c>
      <c r="K73" s="2"/>
      <c r="L73" t="s">
        <v>7</v>
      </c>
      <c r="M73">
        <f t="shared" si="9"/>
        <v>0</v>
      </c>
      <c r="O73" s="2"/>
      <c r="P73" t="s">
        <v>7</v>
      </c>
      <c r="Q73">
        <f t="shared" si="11"/>
        <v>0</v>
      </c>
      <c r="V73" t="str">
        <f t="shared" si="12"/>
        <v>00</v>
      </c>
    </row>
    <row r="74" spans="1:22" x14ac:dyDescent="0.4">
      <c r="A74">
        <v>71</v>
      </c>
      <c r="B74" t="str">
        <f t="shared" si="10"/>
        <v>47</v>
      </c>
      <c r="C74" s="7"/>
      <c r="D74" t="s">
        <v>7</v>
      </c>
      <c r="E74">
        <f t="shared" si="7"/>
        <v>0</v>
      </c>
      <c r="G74" s="2"/>
      <c r="H74" t="s">
        <v>7</v>
      </c>
      <c r="I74">
        <f t="shared" si="8"/>
        <v>0</v>
      </c>
      <c r="K74" s="2"/>
      <c r="L74" t="s">
        <v>7</v>
      </c>
      <c r="M74">
        <f t="shared" si="9"/>
        <v>0</v>
      </c>
      <c r="O74" s="2"/>
      <c r="P74" t="s">
        <v>7</v>
      </c>
      <c r="Q74">
        <f t="shared" si="11"/>
        <v>0</v>
      </c>
      <c r="V74" t="str">
        <f t="shared" si="12"/>
        <v>00</v>
      </c>
    </row>
    <row r="75" spans="1:22" x14ac:dyDescent="0.4">
      <c r="A75">
        <v>72</v>
      </c>
      <c r="B75" t="str">
        <f t="shared" si="10"/>
        <v>48</v>
      </c>
      <c r="C75" s="7" t="s">
        <v>451</v>
      </c>
      <c r="D75" t="s">
        <v>7</v>
      </c>
      <c r="E75">
        <f t="shared" si="7"/>
        <v>0</v>
      </c>
      <c r="G75" s="2"/>
      <c r="H75" t="s">
        <v>7</v>
      </c>
      <c r="I75">
        <f t="shared" si="8"/>
        <v>0</v>
      </c>
      <c r="K75" s="2"/>
      <c r="L75" t="s">
        <v>7</v>
      </c>
      <c r="M75">
        <f t="shared" si="9"/>
        <v>0</v>
      </c>
      <c r="O75" s="2"/>
      <c r="P75" t="s">
        <v>7</v>
      </c>
      <c r="Q75">
        <f t="shared" si="11"/>
        <v>0</v>
      </c>
      <c r="V75" t="str">
        <f t="shared" si="12"/>
        <v>00</v>
      </c>
    </row>
    <row r="76" spans="1:22" x14ac:dyDescent="0.4">
      <c r="A76">
        <v>73</v>
      </c>
      <c r="B76" t="str">
        <f t="shared" si="10"/>
        <v>49</v>
      </c>
      <c r="C76" s="7"/>
      <c r="D76" t="s">
        <v>7</v>
      </c>
      <c r="E76">
        <f t="shared" si="7"/>
        <v>0</v>
      </c>
      <c r="G76" s="2"/>
      <c r="H76" t="s">
        <v>7</v>
      </c>
      <c r="I76">
        <f t="shared" si="8"/>
        <v>0</v>
      </c>
      <c r="K76" s="2"/>
      <c r="L76" t="s">
        <v>7</v>
      </c>
      <c r="M76">
        <f t="shared" si="9"/>
        <v>0</v>
      </c>
      <c r="O76" s="2"/>
      <c r="P76" t="s">
        <v>7</v>
      </c>
      <c r="Q76">
        <f t="shared" si="11"/>
        <v>0</v>
      </c>
      <c r="V76" t="str">
        <f t="shared" si="12"/>
        <v>00</v>
      </c>
    </row>
    <row r="77" spans="1:22" x14ac:dyDescent="0.4">
      <c r="A77">
        <v>74</v>
      </c>
      <c r="B77" t="str">
        <f t="shared" si="10"/>
        <v>4A</v>
      </c>
      <c r="C77" s="7"/>
      <c r="D77" t="s">
        <v>7</v>
      </c>
      <c r="E77">
        <f t="shared" si="7"/>
        <v>0</v>
      </c>
      <c r="G77" s="2"/>
      <c r="H77" t="s">
        <v>7</v>
      </c>
      <c r="I77">
        <f t="shared" si="8"/>
        <v>0</v>
      </c>
      <c r="K77" s="2"/>
      <c r="L77" t="s">
        <v>7</v>
      </c>
      <c r="M77">
        <f t="shared" si="9"/>
        <v>0</v>
      </c>
      <c r="O77" s="2"/>
      <c r="P77" t="s">
        <v>7</v>
      </c>
      <c r="Q77">
        <f t="shared" si="11"/>
        <v>0</v>
      </c>
      <c r="V77" t="str">
        <f t="shared" si="12"/>
        <v>00</v>
      </c>
    </row>
    <row r="78" spans="1:22" x14ac:dyDescent="0.4">
      <c r="A78">
        <v>75</v>
      </c>
      <c r="B78" t="str">
        <f t="shared" si="10"/>
        <v>4B</v>
      </c>
      <c r="C78" s="7"/>
      <c r="D78" t="s">
        <v>7</v>
      </c>
      <c r="E78">
        <f t="shared" si="7"/>
        <v>0</v>
      </c>
      <c r="G78" s="2"/>
      <c r="H78" t="s">
        <v>7</v>
      </c>
      <c r="I78">
        <f t="shared" si="8"/>
        <v>0</v>
      </c>
      <c r="K78" s="2"/>
      <c r="L78" t="s">
        <v>7</v>
      </c>
      <c r="M78">
        <f t="shared" si="9"/>
        <v>0</v>
      </c>
      <c r="O78" s="2"/>
      <c r="P78" t="s">
        <v>7</v>
      </c>
      <c r="Q78">
        <f t="shared" si="11"/>
        <v>0</v>
      </c>
      <c r="V78" t="str">
        <f t="shared" si="12"/>
        <v>00</v>
      </c>
    </row>
    <row r="79" spans="1:22" x14ac:dyDescent="0.4">
      <c r="A79">
        <v>76</v>
      </c>
      <c r="B79" t="str">
        <f t="shared" si="10"/>
        <v>4C</v>
      </c>
      <c r="C79" s="8" t="s">
        <v>323</v>
      </c>
      <c r="D79" t="s">
        <v>7</v>
      </c>
      <c r="E79">
        <f t="shared" si="7"/>
        <v>0</v>
      </c>
      <c r="F79">
        <f>E79+256*E80</f>
        <v>0</v>
      </c>
      <c r="G79" s="2"/>
      <c r="H79" t="s">
        <v>7</v>
      </c>
      <c r="I79">
        <f t="shared" si="8"/>
        <v>0</v>
      </c>
      <c r="K79" s="2"/>
      <c r="L79" t="s">
        <v>7</v>
      </c>
      <c r="M79">
        <f t="shared" si="9"/>
        <v>0</v>
      </c>
      <c r="O79" s="2"/>
      <c r="P79" t="s">
        <v>7</v>
      </c>
      <c r="Q79">
        <f t="shared" si="11"/>
        <v>0</v>
      </c>
      <c r="V79" t="str">
        <f t="shared" si="12"/>
        <v>00</v>
      </c>
    </row>
    <row r="80" spans="1:22" x14ac:dyDescent="0.4">
      <c r="A80">
        <v>77</v>
      </c>
      <c r="B80" t="str">
        <f t="shared" si="10"/>
        <v>4D</v>
      </c>
      <c r="C80" s="8"/>
      <c r="D80" t="s">
        <v>7</v>
      </c>
      <c r="E80">
        <f t="shared" si="7"/>
        <v>0</v>
      </c>
      <c r="G80" s="2"/>
      <c r="H80" t="s">
        <v>7</v>
      </c>
      <c r="I80">
        <f t="shared" si="8"/>
        <v>0</v>
      </c>
      <c r="K80" s="2"/>
      <c r="L80" t="s">
        <v>7</v>
      </c>
      <c r="M80">
        <f t="shared" si="9"/>
        <v>0</v>
      </c>
      <c r="O80" s="2"/>
      <c r="P80" t="s">
        <v>7</v>
      </c>
      <c r="Q80">
        <f t="shared" si="11"/>
        <v>0</v>
      </c>
      <c r="V80" t="str">
        <f t="shared" si="12"/>
        <v>00</v>
      </c>
    </row>
    <row r="81" spans="1:22" x14ac:dyDescent="0.4">
      <c r="A81">
        <v>78</v>
      </c>
      <c r="B81" t="str">
        <f t="shared" si="10"/>
        <v>4E</v>
      </c>
      <c r="C81" s="8" t="s">
        <v>322</v>
      </c>
      <c r="D81" t="s">
        <v>7</v>
      </c>
      <c r="E81">
        <f t="shared" si="7"/>
        <v>0</v>
      </c>
      <c r="F81">
        <f>E81+256*E82</f>
        <v>0</v>
      </c>
      <c r="G81" s="2"/>
      <c r="H81" t="s">
        <v>7</v>
      </c>
      <c r="I81">
        <f t="shared" si="8"/>
        <v>0</v>
      </c>
      <c r="K81" s="2"/>
      <c r="L81" t="s">
        <v>7</v>
      </c>
      <c r="M81">
        <f t="shared" si="9"/>
        <v>0</v>
      </c>
      <c r="O81" s="2"/>
      <c r="P81" t="s">
        <v>7</v>
      </c>
      <c r="Q81">
        <f t="shared" si="11"/>
        <v>0</v>
      </c>
      <c r="V81" t="str">
        <f t="shared" si="12"/>
        <v>00</v>
      </c>
    </row>
    <row r="82" spans="1:22" x14ac:dyDescent="0.4">
      <c r="A82">
        <v>79</v>
      </c>
      <c r="B82" t="str">
        <f t="shared" ref="B82:B86" si="13">DEC2HEX(A82)</f>
        <v>4F</v>
      </c>
      <c r="C82" s="8"/>
      <c r="D82" t="s">
        <v>7</v>
      </c>
      <c r="E82">
        <f t="shared" ref="E82:E86" si="14">HEX2DEC(D82)</f>
        <v>0</v>
      </c>
      <c r="G82" s="2"/>
      <c r="H82" t="s">
        <v>7</v>
      </c>
      <c r="I82">
        <f t="shared" ref="I82:I86" si="15">HEX2DEC(H82)</f>
        <v>0</v>
      </c>
      <c r="K82" s="2"/>
      <c r="L82" t="s">
        <v>7</v>
      </c>
      <c r="M82">
        <f t="shared" ref="M82:M86" si="16">HEX2DEC(L82)</f>
        <v>0</v>
      </c>
      <c r="O82" s="2"/>
      <c r="P82" t="s">
        <v>7</v>
      </c>
      <c r="Q82">
        <f t="shared" ref="Q82:Q86" si="17">HEX2DEC(P82)</f>
        <v>0</v>
      </c>
      <c r="V82" t="str">
        <f t="shared" si="12"/>
        <v>00</v>
      </c>
    </row>
    <row r="83" spans="1:22" x14ac:dyDescent="0.4">
      <c r="A83">
        <v>80</v>
      </c>
      <c r="B83" t="str">
        <f t="shared" si="13"/>
        <v>50</v>
      </c>
      <c r="C83" s="8" t="s">
        <v>321</v>
      </c>
      <c r="D83" t="s">
        <v>7</v>
      </c>
      <c r="E83">
        <f t="shared" si="14"/>
        <v>0</v>
      </c>
      <c r="F83">
        <f>E83+256*E84</f>
        <v>0</v>
      </c>
      <c r="G83" s="2"/>
      <c r="H83" t="s">
        <v>7</v>
      </c>
      <c r="I83">
        <f t="shared" si="15"/>
        <v>0</v>
      </c>
      <c r="K83" s="2"/>
      <c r="L83" t="s">
        <v>7</v>
      </c>
      <c r="M83">
        <f t="shared" si="16"/>
        <v>0</v>
      </c>
      <c r="O83" s="2"/>
      <c r="P83" t="s">
        <v>7</v>
      </c>
      <c r="Q83">
        <f t="shared" si="17"/>
        <v>0</v>
      </c>
      <c r="V83" t="str">
        <f t="shared" si="12"/>
        <v>00</v>
      </c>
    </row>
    <row r="84" spans="1:22" x14ac:dyDescent="0.4">
      <c r="A84">
        <v>81</v>
      </c>
      <c r="B84" t="str">
        <f t="shared" si="13"/>
        <v>51</v>
      </c>
      <c r="C84" s="8"/>
      <c r="D84" t="s">
        <v>7</v>
      </c>
      <c r="E84">
        <f t="shared" si="14"/>
        <v>0</v>
      </c>
      <c r="G84" s="2"/>
      <c r="H84" t="s">
        <v>7</v>
      </c>
      <c r="I84">
        <f t="shared" si="15"/>
        <v>0</v>
      </c>
      <c r="K84" s="2"/>
      <c r="L84" t="s">
        <v>7</v>
      </c>
      <c r="M84">
        <f t="shared" si="16"/>
        <v>0</v>
      </c>
      <c r="O84" s="2"/>
      <c r="P84" t="s">
        <v>7</v>
      </c>
      <c r="Q84">
        <f t="shared" si="17"/>
        <v>0</v>
      </c>
      <c r="V84" t="str">
        <f t="shared" si="12"/>
        <v>00</v>
      </c>
    </row>
    <row r="85" spans="1:22" x14ac:dyDescent="0.4">
      <c r="A85">
        <v>82</v>
      </c>
      <c r="B85" t="str">
        <f t="shared" si="13"/>
        <v>52</v>
      </c>
      <c r="C85" t="s">
        <v>452</v>
      </c>
      <c r="D85" t="s">
        <v>10</v>
      </c>
      <c r="E85">
        <f t="shared" si="14"/>
        <v>1</v>
      </c>
      <c r="G85" s="2"/>
      <c r="H85" t="s">
        <v>7</v>
      </c>
      <c r="I85">
        <f t="shared" si="15"/>
        <v>0</v>
      </c>
      <c r="K85" s="2"/>
      <c r="L85" t="s">
        <v>7</v>
      </c>
      <c r="M85">
        <f t="shared" si="16"/>
        <v>0</v>
      </c>
      <c r="O85" s="2"/>
      <c r="P85" t="s">
        <v>7</v>
      </c>
      <c r="Q85">
        <f t="shared" si="17"/>
        <v>0</v>
      </c>
      <c r="V85" t="str">
        <f t="shared" si="12"/>
        <v>00</v>
      </c>
    </row>
    <row r="86" spans="1:22" x14ac:dyDescent="0.4">
      <c r="A86">
        <v>83</v>
      </c>
      <c r="B86" t="str">
        <f t="shared" si="13"/>
        <v>53</v>
      </c>
      <c r="D86" t="s">
        <v>7</v>
      </c>
      <c r="E86">
        <f t="shared" si="14"/>
        <v>0</v>
      </c>
      <c r="G86" s="2"/>
      <c r="H86" t="s">
        <v>7</v>
      </c>
      <c r="I86">
        <f t="shared" si="15"/>
        <v>0</v>
      </c>
      <c r="K86" s="2"/>
      <c r="L86" t="s">
        <v>7</v>
      </c>
      <c r="M86">
        <f t="shared" si="16"/>
        <v>0</v>
      </c>
      <c r="O86" s="2"/>
      <c r="P86" t="s">
        <v>7</v>
      </c>
      <c r="Q86">
        <f t="shared" si="17"/>
        <v>0</v>
      </c>
      <c r="V86" t="str">
        <f t="shared" si="12"/>
        <v>00</v>
      </c>
    </row>
  </sheetData>
  <mergeCells count="37">
    <mergeCell ref="C63:C66"/>
    <mergeCell ref="C67:C70"/>
    <mergeCell ref="C71:C74"/>
    <mergeCell ref="C83:C84"/>
    <mergeCell ref="C81:C82"/>
    <mergeCell ref="C79:C80"/>
    <mergeCell ref="C75:C78"/>
    <mergeCell ref="F41:F42"/>
    <mergeCell ref="H1:J1"/>
    <mergeCell ref="L1:N1"/>
    <mergeCell ref="D1:F1"/>
    <mergeCell ref="C33:C34"/>
    <mergeCell ref="J33:J34"/>
    <mergeCell ref="F33:F34"/>
    <mergeCell ref="N33:N34"/>
    <mergeCell ref="P1:R1"/>
    <mergeCell ref="C31:C32"/>
    <mergeCell ref="J31:J32"/>
    <mergeCell ref="F31:F32"/>
    <mergeCell ref="N31:N32"/>
    <mergeCell ref="R31:R32"/>
    <mergeCell ref="C60:C62"/>
    <mergeCell ref="R33:R34"/>
    <mergeCell ref="R37:R38"/>
    <mergeCell ref="J39:J40"/>
    <mergeCell ref="J41:J42"/>
    <mergeCell ref="N39:N40"/>
    <mergeCell ref="N41:N42"/>
    <mergeCell ref="R39:R40"/>
    <mergeCell ref="R41:R42"/>
    <mergeCell ref="J37:J38"/>
    <mergeCell ref="N37:N38"/>
    <mergeCell ref="C37:C38"/>
    <mergeCell ref="F37:F38"/>
    <mergeCell ref="F39:F40"/>
    <mergeCell ref="C39:C40"/>
    <mergeCell ref="C41:C4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78C7-7B13-4BDD-94B6-CA20BD3B7892}">
  <dimension ref="A1:J234"/>
  <sheetViews>
    <sheetView workbookViewId="0">
      <selection activeCell="I43" sqref="I43"/>
    </sheetView>
  </sheetViews>
  <sheetFormatPr defaultRowHeight="14.6" x14ac:dyDescent="0.4"/>
  <cols>
    <col min="1" max="1" width="2.69140625" bestFit="1" customWidth="1"/>
    <col min="2" max="2" width="7.07421875" bestFit="1" customWidth="1"/>
    <col min="3" max="3" width="25.23046875" bestFit="1" customWidth="1"/>
    <col min="4" max="4" width="15.61328125" bestFit="1" customWidth="1"/>
  </cols>
  <sheetData>
    <row r="1" spans="1:10" x14ac:dyDescent="0.4">
      <c r="A1">
        <v>0</v>
      </c>
      <c r="B1" t="s">
        <v>30</v>
      </c>
      <c r="E1" t="s">
        <v>310</v>
      </c>
      <c r="G1" t="str">
        <f>_xlfn.CONCAT("'",B1,"'")</f>
        <v>'Normal'</v>
      </c>
      <c r="H1" t="str">
        <f>_xlfn.CONCAT("'",C1,"'")</f>
        <v>''</v>
      </c>
      <c r="J1" t="str">
        <f>_xlfn.CONCAT("'",E1,"'")</f>
        <v>'Red'</v>
      </c>
    </row>
    <row r="2" spans="1:10" x14ac:dyDescent="0.4">
      <c r="A2">
        <v>1</v>
      </c>
      <c r="B2" t="s">
        <v>31</v>
      </c>
      <c r="C2" t="s">
        <v>53</v>
      </c>
      <c r="D2" t="s">
        <v>73</v>
      </c>
      <c r="E2" t="s">
        <v>311</v>
      </c>
      <c r="G2" t="str">
        <f t="shared" ref="G2:J18" si="0">_xlfn.CONCAT("'",B2,"'")</f>
        <v>'Fighting'</v>
      </c>
      <c r="H2" t="str">
        <f t="shared" si="0"/>
        <v>'Monster'</v>
      </c>
      <c r="J2" t="str">
        <f t="shared" si="0"/>
        <v>'Blue'</v>
      </c>
    </row>
    <row r="3" spans="1:10" x14ac:dyDescent="0.4">
      <c r="A3">
        <v>2</v>
      </c>
      <c r="B3" t="s">
        <v>32</v>
      </c>
      <c r="C3" t="s">
        <v>54</v>
      </c>
      <c r="D3" t="s">
        <v>74</v>
      </c>
      <c r="E3" t="s">
        <v>312</v>
      </c>
      <c r="G3" t="str">
        <f t="shared" si="0"/>
        <v>'Flying'</v>
      </c>
      <c r="H3" t="str">
        <f t="shared" si="0"/>
        <v>'Water 1 (Amphibious)'</v>
      </c>
      <c r="J3" t="str">
        <f t="shared" si="0"/>
        <v>'Yellow'</v>
      </c>
    </row>
    <row r="4" spans="1:10" x14ac:dyDescent="0.4">
      <c r="A4">
        <v>3</v>
      </c>
      <c r="B4" t="s">
        <v>33</v>
      </c>
      <c r="C4" t="s">
        <v>36</v>
      </c>
      <c r="D4" t="s">
        <v>75</v>
      </c>
      <c r="E4" t="s">
        <v>313</v>
      </c>
      <c r="G4" t="str">
        <f t="shared" si="0"/>
        <v>'Poison'</v>
      </c>
      <c r="H4" t="str">
        <f t="shared" si="0"/>
        <v>'Bug'</v>
      </c>
      <c r="J4" t="str">
        <f t="shared" si="0"/>
        <v>'Green'</v>
      </c>
    </row>
    <row r="5" spans="1:10" x14ac:dyDescent="0.4">
      <c r="A5">
        <v>4</v>
      </c>
      <c r="B5" t="s">
        <v>34</v>
      </c>
      <c r="C5" t="s">
        <v>32</v>
      </c>
      <c r="D5" t="s">
        <v>76</v>
      </c>
      <c r="E5" t="s">
        <v>314</v>
      </c>
      <c r="G5" t="str">
        <f t="shared" si="0"/>
        <v>'Ground'</v>
      </c>
      <c r="H5" t="str">
        <f t="shared" si="0"/>
        <v>'Flying'</v>
      </c>
      <c r="J5" t="str">
        <f t="shared" si="0"/>
        <v>'Black'</v>
      </c>
    </row>
    <row r="6" spans="1:10" x14ac:dyDescent="0.4">
      <c r="A6">
        <v>5</v>
      </c>
      <c r="B6" t="s">
        <v>35</v>
      </c>
      <c r="C6" t="s">
        <v>29</v>
      </c>
      <c r="D6" t="s">
        <v>77</v>
      </c>
      <c r="E6" t="s">
        <v>315</v>
      </c>
      <c r="G6" t="str">
        <f t="shared" si="0"/>
        <v>'Rock'</v>
      </c>
      <c r="H6" t="str">
        <f t="shared" si="0"/>
        <v>'Field'</v>
      </c>
      <c r="J6" t="str">
        <f t="shared" si="0"/>
        <v>'Brown'</v>
      </c>
    </row>
    <row r="7" spans="1:10" x14ac:dyDescent="0.4">
      <c r="A7">
        <v>6</v>
      </c>
      <c r="B7" t="s">
        <v>36</v>
      </c>
      <c r="C7" t="s">
        <v>55</v>
      </c>
      <c r="D7" t="s">
        <v>78</v>
      </c>
      <c r="E7" t="s">
        <v>316</v>
      </c>
      <c r="G7" t="str">
        <f t="shared" si="0"/>
        <v>'Bug'</v>
      </c>
      <c r="H7" t="str">
        <f t="shared" si="0"/>
        <v>'Fairy'</v>
      </c>
      <c r="J7" t="str">
        <f t="shared" si="0"/>
        <v>'Purple'</v>
      </c>
    </row>
    <row r="8" spans="1:10" x14ac:dyDescent="0.4">
      <c r="A8">
        <v>7</v>
      </c>
      <c r="B8" t="s">
        <v>37</v>
      </c>
      <c r="C8" t="s">
        <v>41</v>
      </c>
      <c r="D8" t="s">
        <v>79</v>
      </c>
      <c r="E8" t="s">
        <v>317</v>
      </c>
      <c r="G8" t="str">
        <f t="shared" si="0"/>
        <v>'Ghost'</v>
      </c>
      <c r="H8" t="str">
        <f t="shared" si="0"/>
        <v>'Grass'</v>
      </c>
      <c r="J8" t="str">
        <f t="shared" si="0"/>
        <v>'Gray'</v>
      </c>
    </row>
    <row r="9" spans="1:10" x14ac:dyDescent="0.4">
      <c r="A9">
        <v>8</v>
      </c>
      <c r="B9" t="s">
        <v>38</v>
      </c>
      <c r="C9" t="s">
        <v>56</v>
      </c>
      <c r="D9" t="s">
        <v>80</v>
      </c>
      <c r="E9" t="s">
        <v>318</v>
      </c>
      <c r="G9" t="str">
        <f t="shared" si="0"/>
        <v>'Steel'</v>
      </c>
      <c r="H9" t="str">
        <f t="shared" si="0"/>
        <v>'Humanoid'</v>
      </c>
      <c r="J9" t="str">
        <f t="shared" si="0"/>
        <v>'White'</v>
      </c>
    </row>
    <row r="10" spans="1:10" x14ac:dyDescent="0.4">
      <c r="A10">
        <v>9</v>
      </c>
      <c r="B10" t="s">
        <v>39</v>
      </c>
      <c r="C10" t="s">
        <v>57</v>
      </c>
      <c r="D10" t="s">
        <v>81</v>
      </c>
      <c r="E10" t="s">
        <v>319</v>
      </c>
      <c r="G10" t="str">
        <f t="shared" si="0"/>
        <v>'Fire'</v>
      </c>
      <c r="H10" t="str">
        <f t="shared" si="0"/>
        <v>'Water 3 (Aquatic Invertebrate)'</v>
      </c>
      <c r="J10" t="str">
        <f t="shared" si="0"/>
        <v>'Pink'</v>
      </c>
    </row>
    <row r="11" spans="1:10" x14ac:dyDescent="0.4">
      <c r="A11">
        <v>10</v>
      </c>
      <c r="B11" t="s">
        <v>40</v>
      </c>
      <c r="C11" t="s">
        <v>58</v>
      </c>
      <c r="D11" t="s">
        <v>82</v>
      </c>
      <c r="G11" t="str">
        <f t="shared" si="0"/>
        <v>'Water'</v>
      </c>
      <c r="H11" t="str">
        <f t="shared" si="0"/>
        <v>'Mineral'</v>
      </c>
      <c r="J11" t="str">
        <f t="shared" si="0"/>
        <v>''</v>
      </c>
    </row>
    <row r="12" spans="1:10" x14ac:dyDescent="0.4">
      <c r="A12">
        <v>11</v>
      </c>
      <c r="B12" t="s">
        <v>41</v>
      </c>
      <c r="C12" t="s">
        <v>59</v>
      </c>
      <c r="D12" t="s">
        <v>83</v>
      </c>
      <c r="G12" t="str">
        <f t="shared" si="0"/>
        <v>'Grass'</v>
      </c>
      <c r="H12" t="str">
        <f t="shared" si="0"/>
        <v>'Amorphous'</v>
      </c>
      <c r="J12" t="str">
        <f t="shared" si="0"/>
        <v>''</v>
      </c>
    </row>
    <row r="13" spans="1:10" x14ac:dyDescent="0.4">
      <c r="A13">
        <v>12</v>
      </c>
      <c r="B13" t="s">
        <v>42</v>
      </c>
      <c r="C13" t="s">
        <v>60</v>
      </c>
      <c r="D13" t="s">
        <v>84</v>
      </c>
      <c r="G13" t="str">
        <f t="shared" si="0"/>
        <v>'Electric'</v>
      </c>
      <c r="H13" t="str">
        <f t="shared" si="0"/>
        <v>'Water 2 (Piscine)'</v>
      </c>
      <c r="J13" t="str">
        <f t="shared" si="0"/>
        <v>''</v>
      </c>
    </row>
    <row r="14" spans="1:10" x14ac:dyDescent="0.4">
      <c r="A14">
        <v>13</v>
      </c>
      <c r="B14" t="s">
        <v>43</v>
      </c>
      <c r="C14" t="s">
        <v>61</v>
      </c>
      <c r="D14" t="s">
        <v>85</v>
      </c>
      <c r="G14" t="str">
        <f t="shared" si="0"/>
        <v>'Psychic'</v>
      </c>
      <c r="H14" t="str">
        <f t="shared" si="0"/>
        <v>'Ditto'</v>
      </c>
      <c r="J14" t="str">
        <f t="shared" si="0"/>
        <v>''</v>
      </c>
    </row>
    <row r="15" spans="1:10" x14ac:dyDescent="0.4">
      <c r="A15">
        <v>14</v>
      </c>
      <c r="B15" t="s">
        <v>44</v>
      </c>
      <c r="C15" t="s">
        <v>45</v>
      </c>
      <c r="D15" t="s">
        <v>86</v>
      </c>
      <c r="G15" t="str">
        <f t="shared" si="0"/>
        <v>'Ice'</v>
      </c>
      <c r="H15" t="str">
        <f t="shared" si="0"/>
        <v>'Dragon'</v>
      </c>
      <c r="J15" t="str">
        <f t="shared" si="0"/>
        <v>''</v>
      </c>
    </row>
    <row r="16" spans="1:10" x14ac:dyDescent="0.4">
      <c r="A16">
        <v>15</v>
      </c>
      <c r="B16" t="s">
        <v>45</v>
      </c>
      <c r="C16" t="s">
        <v>62</v>
      </c>
      <c r="D16" t="s">
        <v>87</v>
      </c>
      <c r="G16" t="str">
        <f t="shared" si="0"/>
        <v>'Dragon'</v>
      </c>
      <c r="H16" t="str">
        <f t="shared" si="0"/>
        <v>'Undiscovered'</v>
      </c>
      <c r="J16" t="str">
        <f t="shared" si="0"/>
        <v>''</v>
      </c>
    </row>
    <row r="17" spans="1:10" x14ac:dyDescent="0.4">
      <c r="A17">
        <v>16</v>
      </c>
      <c r="B17" t="s">
        <v>46</v>
      </c>
      <c r="D17" t="s">
        <v>88</v>
      </c>
      <c r="G17" t="str">
        <f t="shared" si="0"/>
        <v>'Dark'</v>
      </c>
      <c r="H17" t="str">
        <f t="shared" si="0"/>
        <v>''</v>
      </c>
      <c r="J17" t="str">
        <f t="shared" si="0"/>
        <v>''</v>
      </c>
    </row>
    <row r="18" spans="1:10" x14ac:dyDescent="0.4">
      <c r="A18">
        <v>17</v>
      </c>
      <c r="B18" t="s">
        <v>55</v>
      </c>
      <c r="D18" t="s">
        <v>89</v>
      </c>
      <c r="G18" t="str">
        <f t="shared" si="0"/>
        <v>'Fairy'</v>
      </c>
      <c r="H18" t="str">
        <f t="shared" si="0"/>
        <v>''</v>
      </c>
      <c r="J18" t="str">
        <f t="shared" si="0"/>
        <v>''</v>
      </c>
    </row>
    <row r="19" spans="1:10" x14ac:dyDescent="0.4">
      <c r="A19">
        <v>18</v>
      </c>
      <c r="D19" t="s">
        <v>90</v>
      </c>
      <c r="G19" t="str">
        <f>_xlfn.TEXTJOIN(",",TRUE,G1:G18)</f>
        <v>'Normal','Fighting','Flying','Poison','Ground','Rock','Bug','Ghost','Steel','Fire','Water','Grass','Electric','Psychic','Ice','Dragon','Dark','Fairy'</v>
      </c>
      <c r="H19" t="str">
        <f t="shared" ref="H19:J19" si="1">_xlfn.TEXTJOIN(",",TRUE,H1:H18)</f>
        <v>'','Monster','Water 1 (Amphibious)','Bug','Flying','Field','Fairy','Grass','Humanoid','Water 3 (Aquatic Invertebrate)','Mineral','Amorphous','Water 2 (Piscine)','Ditto','Dragon','Undiscovered','',''</v>
      </c>
      <c r="I19" t="str">
        <f t="shared" si="1"/>
        <v/>
      </c>
      <c r="J19" t="str">
        <f t="shared" si="1"/>
        <v>'Red','Blue','Yellow','Green','Black','Brown','Purple','Gray','White','Pink','','','','','','','',''</v>
      </c>
    </row>
    <row r="20" spans="1:10" x14ac:dyDescent="0.4">
      <c r="A20">
        <v>19</v>
      </c>
      <c r="D20" t="s">
        <v>91</v>
      </c>
    </row>
    <row r="21" spans="1:10" x14ac:dyDescent="0.4">
      <c r="A21">
        <v>20</v>
      </c>
      <c r="D21" t="s">
        <v>92</v>
      </c>
    </row>
    <row r="22" spans="1:10" x14ac:dyDescent="0.4">
      <c r="A22">
        <v>21</v>
      </c>
      <c r="D22" t="s">
        <v>93</v>
      </c>
    </row>
    <row r="23" spans="1:10" x14ac:dyDescent="0.4">
      <c r="A23">
        <v>22</v>
      </c>
      <c r="D23" t="s">
        <v>94</v>
      </c>
    </row>
    <row r="24" spans="1:10" x14ac:dyDescent="0.4">
      <c r="A24">
        <v>23</v>
      </c>
      <c r="D24" t="s">
        <v>95</v>
      </c>
    </row>
    <row r="25" spans="1:10" x14ac:dyDescent="0.4">
      <c r="A25">
        <v>24</v>
      </c>
      <c r="D25" t="s">
        <v>96</v>
      </c>
    </row>
    <row r="26" spans="1:10" x14ac:dyDescent="0.4">
      <c r="A26">
        <v>25</v>
      </c>
      <c r="D26" t="s">
        <v>97</v>
      </c>
    </row>
    <row r="27" spans="1:10" x14ac:dyDescent="0.4">
      <c r="A27">
        <v>26</v>
      </c>
      <c r="D27" t="s">
        <v>98</v>
      </c>
    </row>
    <row r="28" spans="1:10" x14ac:dyDescent="0.4">
      <c r="A28">
        <v>27</v>
      </c>
      <c r="D28" t="s">
        <v>99</v>
      </c>
    </row>
    <row r="29" spans="1:10" x14ac:dyDescent="0.4">
      <c r="A29">
        <v>28</v>
      </c>
      <c r="D29" t="s">
        <v>100</v>
      </c>
    </row>
    <row r="30" spans="1:10" x14ac:dyDescent="0.4">
      <c r="A30">
        <v>29</v>
      </c>
      <c r="D30" t="s">
        <v>101</v>
      </c>
    </row>
    <row r="31" spans="1:10" x14ac:dyDescent="0.4">
      <c r="A31">
        <v>30</v>
      </c>
      <c r="D31" t="s">
        <v>102</v>
      </c>
    </row>
    <row r="32" spans="1:10" x14ac:dyDescent="0.4">
      <c r="A32">
        <v>31</v>
      </c>
      <c r="D32" t="s">
        <v>103</v>
      </c>
    </row>
    <row r="33" spans="1:9" x14ac:dyDescent="0.4">
      <c r="A33">
        <v>32</v>
      </c>
      <c r="D33" t="s">
        <v>104</v>
      </c>
    </row>
    <row r="34" spans="1:9" x14ac:dyDescent="0.4">
      <c r="A34">
        <v>33</v>
      </c>
      <c r="D34" t="s">
        <v>105</v>
      </c>
    </row>
    <row r="35" spans="1:9" x14ac:dyDescent="0.4">
      <c r="A35">
        <v>34</v>
      </c>
      <c r="D35" t="s">
        <v>106</v>
      </c>
    </row>
    <row r="36" spans="1:9" x14ac:dyDescent="0.4">
      <c r="A36">
        <v>35</v>
      </c>
      <c r="D36" t="s">
        <v>107</v>
      </c>
      <c r="H36">
        <v>520</v>
      </c>
    </row>
    <row r="37" spans="1:9" x14ac:dyDescent="0.4">
      <c r="A37">
        <v>36</v>
      </c>
      <c r="D37" t="s">
        <v>108</v>
      </c>
      <c r="H37">
        <v>519</v>
      </c>
    </row>
    <row r="38" spans="1:9" x14ac:dyDescent="0.4">
      <c r="A38">
        <v>37</v>
      </c>
      <c r="D38" t="s">
        <v>109</v>
      </c>
      <c r="H38">
        <v>518</v>
      </c>
    </row>
    <row r="39" spans="1:9" x14ac:dyDescent="0.4">
      <c r="A39">
        <v>38</v>
      </c>
      <c r="D39" t="s">
        <v>110</v>
      </c>
      <c r="H39">
        <v>338</v>
      </c>
    </row>
    <row r="40" spans="1:9" x14ac:dyDescent="0.4">
      <c r="A40">
        <v>39</v>
      </c>
      <c r="D40" t="s">
        <v>111</v>
      </c>
      <c r="H40">
        <v>307</v>
      </c>
    </row>
    <row r="41" spans="1:9" x14ac:dyDescent="0.4">
      <c r="A41">
        <v>40</v>
      </c>
      <c r="D41" t="s">
        <v>112</v>
      </c>
      <c r="H41">
        <v>308</v>
      </c>
    </row>
    <row r="42" spans="1:9" x14ac:dyDescent="0.4">
      <c r="A42">
        <v>41</v>
      </c>
      <c r="D42" t="s">
        <v>113</v>
      </c>
      <c r="H42">
        <v>434</v>
      </c>
    </row>
    <row r="43" spans="1:9" x14ac:dyDescent="0.4">
      <c r="A43">
        <v>42</v>
      </c>
      <c r="D43" t="s">
        <v>114</v>
      </c>
      <c r="H43">
        <v>620</v>
      </c>
      <c r="I43" t="str">
        <f>_xlfn.TEXTJOIN(", ",TRUE,H36:H43)</f>
        <v>520, 519, 518, 338, 307, 308, 434, 620</v>
      </c>
    </row>
    <row r="44" spans="1:9" x14ac:dyDescent="0.4">
      <c r="A44">
        <v>43</v>
      </c>
      <c r="D44" t="s">
        <v>115</v>
      </c>
    </row>
    <row r="45" spans="1:9" x14ac:dyDescent="0.4">
      <c r="A45">
        <v>44</v>
      </c>
      <c r="D45" t="s">
        <v>116</v>
      </c>
    </row>
    <row r="46" spans="1:9" x14ac:dyDescent="0.4">
      <c r="A46">
        <v>45</v>
      </c>
      <c r="D46" t="s">
        <v>117</v>
      </c>
    </row>
    <row r="47" spans="1:9" x14ac:dyDescent="0.4">
      <c r="A47">
        <v>46</v>
      </c>
      <c r="D47" t="s">
        <v>118</v>
      </c>
    </row>
    <row r="48" spans="1:9" x14ac:dyDescent="0.4">
      <c r="A48">
        <v>47</v>
      </c>
      <c r="D48" t="s">
        <v>119</v>
      </c>
    </row>
    <row r="49" spans="1:4" x14ac:dyDescent="0.4">
      <c r="A49">
        <v>48</v>
      </c>
      <c r="D49" t="s">
        <v>120</v>
      </c>
    </row>
    <row r="50" spans="1:4" x14ac:dyDescent="0.4">
      <c r="A50">
        <v>49</v>
      </c>
      <c r="D50" t="s">
        <v>121</v>
      </c>
    </row>
    <row r="51" spans="1:4" x14ac:dyDescent="0.4">
      <c r="A51">
        <v>50</v>
      </c>
      <c r="D51" t="s">
        <v>122</v>
      </c>
    </row>
    <row r="52" spans="1:4" x14ac:dyDescent="0.4">
      <c r="A52">
        <v>51</v>
      </c>
      <c r="D52" t="s">
        <v>123</v>
      </c>
    </row>
    <row r="53" spans="1:4" x14ac:dyDescent="0.4">
      <c r="A53">
        <v>52</v>
      </c>
      <c r="D53" t="s">
        <v>124</v>
      </c>
    </row>
    <row r="54" spans="1:4" x14ac:dyDescent="0.4">
      <c r="A54">
        <v>53</v>
      </c>
      <c r="D54" t="s">
        <v>125</v>
      </c>
    </row>
    <row r="55" spans="1:4" x14ac:dyDescent="0.4">
      <c r="A55">
        <v>54</v>
      </c>
      <c r="D55" t="s">
        <v>126</v>
      </c>
    </row>
    <row r="56" spans="1:4" x14ac:dyDescent="0.4">
      <c r="A56">
        <v>55</v>
      </c>
      <c r="D56" t="s">
        <v>127</v>
      </c>
    </row>
    <row r="57" spans="1:4" x14ac:dyDescent="0.4">
      <c r="A57">
        <v>56</v>
      </c>
      <c r="D57" t="s">
        <v>128</v>
      </c>
    </row>
    <row r="58" spans="1:4" x14ac:dyDescent="0.4">
      <c r="A58">
        <v>57</v>
      </c>
      <c r="D58" t="s">
        <v>129</v>
      </c>
    </row>
    <row r="59" spans="1:4" x14ac:dyDescent="0.4">
      <c r="A59">
        <v>58</v>
      </c>
      <c r="D59" t="s">
        <v>130</v>
      </c>
    </row>
    <row r="60" spans="1:4" x14ac:dyDescent="0.4">
      <c r="A60">
        <v>59</v>
      </c>
      <c r="D60" t="s">
        <v>131</v>
      </c>
    </row>
    <row r="61" spans="1:4" x14ac:dyDescent="0.4">
      <c r="A61">
        <v>60</v>
      </c>
      <c r="D61" t="s">
        <v>132</v>
      </c>
    </row>
    <row r="62" spans="1:4" x14ac:dyDescent="0.4">
      <c r="A62">
        <v>61</v>
      </c>
      <c r="D62" t="s">
        <v>133</v>
      </c>
    </row>
    <row r="63" spans="1:4" x14ac:dyDescent="0.4">
      <c r="A63">
        <v>62</v>
      </c>
      <c r="D63" t="s">
        <v>134</v>
      </c>
    </row>
    <row r="64" spans="1:4" x14ac:dyDescent="0.4">
      <c r="A64">
        <v>63</v>
      </c>
      <c r="D64" t="s">
        <v>135</v>
      </c>
    </row>
    <row r="65" spans="1:4" x14ac:dyDescent="0.4">
      <c r="A65">
        <v>64</v>
      </c>
      <c r="D65" t="s">
        <v>136</v>
      </c>
    </row>
    <row r="66" spans="1:4" x14ac:dyDescent="0.4">
      <c r="A66">
        <v>65</v>
      </c>
      <c r="D66" t="s">
        <v>137</v>
      </c>
    </row>
    <row r="67" spans="1:4" x14ac:dyDescent="0.4">
      <c r="A67">
        <v>66</v>
      </c>
      <c r="D67" t="s">
        <v>138</v>
      </c>
    </row>
    <row r="68" spans="1:4" x14ac:dyDescent="0.4">
      <c r="A68">
        <v>67</v>
      </c>
      <c r="D68" t="s">
        <v>139</v>
      </c>
    </row>
    <row r="69" spans="1:4" x14ac:dyDescent="0.4">
      <c r="A69">
        <v>68</v>
      </c>
      <c r="D69" t="s">
        <v>140</v>
      </c>
    </row>
    <row r="70" spans="1:4" x14ac:dyDescent="0.4">
      <c r="A70">
        <v>69</v>
      </c>
      <c r="D70" t="s">
        <v>141</v>
      </c>
    </row>
    <row r="71" spans="1:4" x14ac:dyDescent="0.4">
      <c r="A71">
        <v>70</v>
      </c>
      <c r="D71" t="s">
        <v>142</v>
      </c>
    </row>
    <row r="72" spans="1:4" x14ac:dyDescent="0.4">
      <c r="A72">
        <v>71</v>
      </c>
      <c r="D72" t="s">
        <v>143</v>
      </c>
    </row>
    <row r="73" spans="1:4" x14ac:dyDescent="0.4">
      <c r="A73">
        <v>72</v>
      </c>
      <c r="D73" t="s">
        <v>144</v>
      </c>
    </row>
    <row r="74" spans="1:4" x14ac:dyDescent="0.4">
      <c r="A74">
        <v>73</v>
      </c>
      <c r="D74" t="s">
        <v>145</v>
      </c>
    </row>
    <row r="75" spans="1:4" x14ac:dyDescent="0.4">
      <c r="A75">
        <v>74</v>
      </c>
      <c r="D75" t="s">
        <v>146</v>
      </c>
    </row>
    <row r="76" spans="1:4" x14ac:dyDescent="0.4">
      <c r="A76">
        <v>75</v>
      </c>
      <c r="D76" t="s">
        <v>147</v>
      </c>
    </row>
    <row r="77" spans="1:4" x14ac:dyDescent="0.4">
      <c r="A77">
        <v>76</v>
      </c>
      <c r="D77" t="s">
        <v>148</v>
      </c>
    </row>
    <row r="78" spans="1:4" x14ac:dyDescent="0.4">
      <c r="A78">
        <v>77</v>
      </c>
      <c r="D78" t="s">
        <v>149</v>
      </c>
    </row>
    <row r="79" spans="1:4" x14ac:dyDescent="0.4">
      <c r="A79">
        <v>78</v>
      </c>
      <c r="D79" t="s">
        <v>150</v>
      </c>
    </row>
    <row r="80" spans="1:4" x14ac:dyDescent="0.4">
      <c r="A80">
        <v>79</v>
      </c>
      <c r="D80" t="s">
        <v>151</v>
      </c>
    </row>
    <row r="81" spans="1:4" x14ac:dyDescent="0.4">
      <c r="A81">
        <v>80</v>
      </c>
      <c r="D81" t="s">
        <v>152</v>
      </c>
    </row>
    <row r="82" spans="1:4" x14ac:dyDescent="0.4">
      <c r="A82">
        <v>81</v>
      </c>
      <c r="D82" t="s">
        <v>153</v>
      </c>
    </row>
    <row r="83" spans="1:4" x14ac:dyDescent="0.4">
      <c r="A83">
        <v>82</v>
      </c>
      <c r="D83" t="s">
        <v>154</v>
      </c>
    </row>
    <row r="84" spans="1:4" x14ac:dyDescent="0.4">
      <c r="A84">
        <v>83</v>
      </c>
      <c r="D84" t="s">
        <v>155</v>
      </c>
    </row>
    <row r="85" spans="1:4" x14ac:dyDescent="0.4">
      <c r="A85">
        <v>84</v>
      </c>
      <c r="D85" t="s">
        <v>156</v>
      </c>
    </row>
    <row r="86" spans="1:4" x14ac:dyDescent="0.4">
      <c r="A86">
        <v>85</v>
      </c>
      <c r="D86" t="s">
        <v>157</v>
      </c>
    </row>
    <row r="87" spans="1:4" x14ac:dyDescent="0.4">
      <c r="A87">
        <v>86</v>
      </c>
      <c r="D87" t="s">
        <v>158</v>
      </c>
    </row>
    <row r="88" spans="1:4" x14ac:dyDescent="0.4">
      <c r="A88">
        <v>87</v>
      </c>
      <c r="D88" t="s">
        <v>159</v>
      </c>
    </row>
    <row r="89" spans="1:4" x14ac:dyDescent="0.4">
      <c r="A89">
        <v>88</v>
      </c>
      <c r="D89" t="s">
        <v>160</v>
      </c>
    </row>
    <row r="90" spans="1:4" x14ac:dyDescent="0.4">
      <c r="A90">
        <v>89</v>
      </c>
      <c r="D90" t="s">
        <v>161</v>
      </c>
    </row>
    <row r="91" spans="1:4" x14ac:dyDescent="0.4">
      <c r="A91">
        <v>90</v>
      </c>
      <c r="D91" t="s">
        <v>162</v>
      </c>
    </row>
    <row r="92" spans="1:4" x14ac:dyDescent="0.4">
      <c r="A92">
        <v>91</v>
      </c>
      <c r="D92" t="s">
        <v>163</v>
      </c>
    </row>
    <row r="93" spans="1:4" x14ac:dyDescent="0.4">
      <c r="A93">
        <v>92</v>
      </c>
      <c r="D93" t="s">
        <v>164</v>
      </c>
    </row>
    <row r="94" spans="1:4" x14ac:dyDescent="0.4">
      <c r="A94">
        <v>93</v>
      </c>
      <c r="D94" t="s">
        <v>165</v>
      </c>
    </row>
    <row r="95" spans="1:4" x14ac:dyDescent="0.4">
      <c r="A95">
        <v>94</v>
      </c>
      <c r="D95" t="s">
        <v>166</v>
      </c>
    </row>
    <row r="96" spans="1:4" x14ac:dyDescent="0.4">
      <c r="A96">
        <v>95</v>
      </c>
      <c r="D96" t="s">
        <v>167</v>
      </c>
    </row>
    <row r="97" spans="1:4" x14ac:dyDescent="0.4">
      <c r="A97">
        <v>96</v>
      </c>
      <c r="D97" t="s">
        <v>168</v>
      </c>
    </row>
    <row r="98" spans="1:4" x14ac:dyDescent="0.4">
      <c r="A98">
        <v>97</v>
      </c>
      <c r="D98" t="s">
        <v>169</v>
      </c>
    </row>
    <row r="99" spans="1:4" x14ac:dyDescent="0.4">
      <c r="A99">
        <v>98</v>
      </c>
      <c r="D99" t="s">
        <v>170</v>
      </c>
    </row>
    <row r="100" spans="1:4" x14ac:dyDescent="0.4">
      <c r="A100">
        <v>99</v>
      </c>
      <c r="D100" t="s">
        <v>171</v>
      </c>
    </row>
    <row r="101" spans="1:4" x14ac:dyDescent="0.4">
      <c r="A101">
        <v>100</v>
      </c>
      <c r="D101" t="s">
        <v>172</v>
      </c>
    </row>
    <row r="102" spans="1:4" x14ac:dyDescent="0.4">
      <c r="A102">
        <v>101</v>
      </c>
      <c r="D102" t="s">
        <v>173</v>
      </c>
    </row>
    <row r="103" spans="1:4" x14ac:dyDescent="0.4">
      <c r="A103">
        <v>102</v>
      </c>
      <c r="D103" t="s">
        <v>174</v>
      </c>
    </row>
    <row r="104" spans="1:4" x14ac:dyDescent="0.4">
      <c r="A104">
        <v>103</v>
      </c>
      <c r="D104" t="s">
        <v>175</v>
      </c>
    </row>
    <row r="105" spans="1:4" x14ac:dyDescent="0.4">
      <c r="A105">
        <v>104</v>
      </c>
      <c r="D105" t="s">
        <v>176</v>
      </c>
    </row>
    <row r="106" spans="1:4" x14ac:dyDescent="0.4">
      <c r="A106">
        <v>105</v>
      </c>
      <c r="D106" t="s">
        <v>177</v>
      </c>
    </row>
    <row r="107" spans="1:4" x14ac:dyDescent="0.4">
      <c r="A107">
        <v>106</v>
      </c>
      <c r="D107" t="s">
        <v>178</v>
      </c>
    </row>
    <row r="108" spans="1:4" x14ac:dyDescent="0.4">
      <c r="A108">
        <v>107</v>
      </c>
      <c r="D108" t="s">
        <v>179</v>
      </c>
    </row>
    <row r="109" spans="1:4" x14ac:dyDescent="0.4">
      <c r="A109">
        <v>108</v>
      </c>
      <c r="D109" t="s">
        <v>180</v>
      </c>
    </row>
    <row r="110" spans="1:4" x14ac:dyDescent="0.4">
      <c r="A110">
        <v>109</v>
      </c>
      <c r="D110" t="s">
        <v>181</v>
      </c>
    </row>
    <row r="111" spans="1:4" x14ac:dyDescent="0.4">
      <c r="A111">
        <v>110</v>
      </c>
      <c r="D111" t="s">
        <v>182</v>
      </c>
    </row>
    <row r="112" spans="1:4" x14ac:dyDescent="0.4">
      <c r="A112">
        <v>111</v>
      </c>
      <c r="D112" t="s">
        <v>183</v>
      </c>
    </row>
    <row r="113" spans="1:4" x14ac:dyDescent="0.4">
      <c r="A113">
        <v>112</v>
      </c>
      <c r="D113" t="s">
        <v>184</v>
      </c>
    </row>
    <row r="114" spans="1:4" x14ac:dyDescent="0.4">
      <c r="A114">
        <v>113</v>
      </c>
      <c r="D114" t="s">
        <v>185</v>
      </c>
    </row>
    <row r="115" spans="1:4" x14ac:dyDescent="0.4">
      <c r="A115">
        <v>114</v>
      </c>
      <c r="D115" t="s">
        <v>186</v>
      </c>
    </row>
    <row r="116" spans="1:4" x14ac:dyDescent="0.4">
      <c r="A116">
        <v>115</v>
      </c>
      <c r="D116" t="s">
        <v>187</v>
      </c>
    </row>
    <row r="117" spans="1:4" x14ac:dyDescent="0.4">
      <c r="A117">
        <v>116</v>
      </c>
      <c r="D117" t="s">
        <v>188</v>
      </c>
    </row>
    <row r="118" spans="1:4" x14ac:dyDescent="0.4">
      <c r="A118">
        <v>117</v>
      </c>
      <c r="D118" t="s">
        <v>189</v>
      </c>
    </row>
    <row r="119" spans="1:4" x14ac:dyDescent="0.4">
      <c r="A119">
        <v>118</v>
      </c>
      <c r="D119" t="s">
        <v>190</v>
      </c>
    </row>
    <row r="120" spans="1:4" x14ac:dyDescent="0.4">
      <c r="A120">
        <v>119</v>
      </c>
      <c r="D120" t="s">
        <v>191</v>
      </c>
    </row>
    <row r="121" spans="1:4" x14ac:dyDescent="0.4">
      <c r="A121">
        <v>120</v>
      </c>
      <c r="D121" t="s">
        <v>192</v>
      </c>
    </row>
    <row r="122" spans="1:4" x14ac:dyDescent="0.4">
      <c r="A122">
        <v>121</v>
      </c>
      <c r="D122" t="s">
        <v>193</v>
      </c>
    </row>
    <row r="123" spans="1:4" x14ac:dyDescent="0.4">
      <c r="A123">
        <v>122</v>
      </c>
      <c r="D123" t="s">
        <v>194</v>
      </c>
    </row>
    <row r="124" spans="1:4" x14ac:dyDescent="0.4">
      <c r="A124">
        <v>123</v>
      </c>
      <c r="D124" t="s">
        <v>195</v>
      </c>
    </row>
    <row r="125" spans="1:4" x14ac:dyDescent="0.4">
      <c r="A125">
        <v>124</v>
      </c>
      <c r="D125" t="s">
        <v>196</v>
      </c>
    </row>
    <row r="126" spans="1:4" x14ac:dyDescent="0.4">
      <c r="A126">
        <v>125</v>
      </c>
      <c r="D126" t="s">
        <v>197</v>
      </c>
    </row>
    <row r="127" spans="1:4" x14ac:dyDescent="0.4">
      <c r="A127">
        <v>126</v>
      </c>
      <c r="D127" t="s">
        <v>198</v>
      </c>
    </row>
    <row r="128" spans="1:4" x14ac:dyDescent="0.4">
      <c r="A128">
        <v>127</v>
      </c>
      <c r="D128" t="s">
        <v>199</v>
      </c>
    </row>
    <row r="129" spans="1:4" x14ac:dyDescent="0.4">
      <c r="A129">
        <v>128</v>
      </c>
      <c r="D129" t="s">
        <v>200</v>
      </c>
    </row>
    <row r="130" spans="1:4" x14ac:dyDescent="0.4">
      <c r="A130">
        <v>129</v>
      </c>
      <c r="D130" t="s">
        <v>201</v>
      </c>
    </row>
    <row r="131" spans="1:4" x14ac:dyDescent="0.4">
      <c r="A131">
        <v>130</v>
      </c>
      <c r="D131" t="s">
        <v>202</v>
      </c>
    </row>
    <row r="132" spans="1:4" x14ac:dyDescent="0.4">
      <c r="A132">
        <v>131</v>
      </c>
      <c r="D132" t="s">
        <v>203</v>
      </c>
    </row>
    <row r="133" spans="1:4" x14ac:dyDescent="0.4">
      <c r="A133">
        <v>132</v>
      </c>
      <c r="D133" t="s">
        <v>204</v>
      </c>
    </row>
    <row r="134" spans="1:4" x14ac:dyDescent="0.4">
      <c r="A134">
        <v>133</v>
      </c>
      <c r="D134" t="s">
        <v>205</v>
      </c>
    </row>
    <row r="135" spans="1:4" x14ac:dyDescent="0.4">
      <c r="A135">
        <v>134</v>
      </c>
      <c r="D135" t="s">
        <v>206</v>
      </c>
    </row>
    <row r="136" spans="1:4" x14ac:dyDescent="0.4">
      <c r="A136">
        <v>135</v>
      </c>
      <c r="D136" t="s">
        <v>207</v>
      </c>
    </row>
    <row r="137" spans="1:4" x14ac:dyDescent="0.4">
      <c r="A137">
        <v>136</v>
      </c>
      <c r="D137" t="s">
        <v>208</v>
      </c>
    </row>
    <row r="138" spans="1:4" x14ac:dyDescent="0.4">
      <c r="A138">
        <v>137</v>
      </c>
      <c r="D138" t="s">
        <v>209</v>
      </c>
    </row>
    <row r="139" spans="1:4" x14ac:dyDescent="0.4">
      <c r="A139">
        <v>138</v>
      </c>
      <c r="D139" t="s">
        <v>210</v>
      </c>
    </row>
    <row r="140" spans="1:4" x14ac:dyDescent="0.4">
      <c r="A140">
        <v>139</v>
      </c>
      <c r="D140" t="s">
        <v>211</v>
      </c>
    </row>
    <row r="141" spans="1:4" x14ac:dyDescent="0.4">
      <c r="A141">
        <v>140</v>
      </c>
      <c r="D141" t="s">
        <v>212</v>
      </c>
    </row>
    <row r="142" spans="1:4" x14ac:dyDescent="0.4">
      <c r="A142">
        <v>141</v>
      </c>
      <c r="D142" t="s">
        <v>213</v>
      </c>
    </row>
    <row r="143" spans="1:4" x14ac:dyDescent="0.4">
      <c r="A143">
        <v>142</v>
      </c>
      <c r="D143" t="s">
        <v>214</v>
      </c>
    </row>
    <row r="144" spans="1:4" x14ac:dyDescent="0.4">
      <c r="A144">
        <v>143</v>
      </c>
      <c r="D144" t="s">
        <v>215</v>
      </c>
    </row>
    <row r="145" spans="1:4" x14ac:dyDescent="0.4">
      <c r="A145">
        <v>144</v>
      </c>
      <c r="D145" t="s">
        <v>216</v>
      </c>
    </row>
    <row r="146" spans="1:4" x14ac:dyDescent="0.4">
      <c r="A146">
        <v>145</v>
      </c>
      <c r="D146" t="s">
        <v>217</v>
      </c>
    </row>
    <row r="147" spans="1:4" x14ac:dyDescent="0.4">
      <c r="A147">
        <v>146</v>
      </c>
      <c r="D147" t="s">
        <v>218</v>
      </c>
    </row>
    <row r="148" spans="1:4" x14ac:dyDescent="0.4">
      <c r="A148">
        <v>147</v>
      </c>
      <c r="D148" t="s">
        <v>219</v>
      </c>
    </row>
    <row r="149" spans="1:4" x14ac:dyDescent="0.4">
      <c r="A149">
        <v>148</v>
      </c>
      <c r="D149" t="s">
        <v>220</v>
      </c>
    </row>
    <row r="150" spans="1:4" x14ac:dyDescent="0.4">
      <c r="A150">
        <v>149</v>
      </c>
      <c r="D150" t="s">
        <v>221</v>
      </c>
    </row>
    <row r="151" spans="1:4" x14ac:dyDescent="0.4">
      <c r="A151">
        <v>150</v>
      </c>
      <c r="D151" t="s">
        <v>222</v>
      </c>
    </row>
    <row r="152" spans="1:4" x14ac:dyDescent="0.4">
      <c r="A152">
        <v>151</v>
      </c>
      <c r="D152" t="s">
        <v>223</v>
      </c>
    </row>
    <row r="153" spans="1:4" x14ac:dyDescent="0.4">
      <c r="A153">
        <v>152</v>
      </c>
      <c r="D153" t="s">
        <v>224</v>
      </c>
    </row>
    <row r="154" spans="1:4" x14ac:dyDescent="0.4">
      <c r="A154">
        <v>153</v>
      </c>
      <c r="D154" t="s">
        <v>225</v>
      </c>
    </row>
    <row r="155" spans="1:4" x14ac:dyDescent="0.4">
      <c r="A155">
        <v>154</v>
      </c>
      <c r="D155" t="s">
        <v>226</v>
      </c>
    </row>
    <row r="156" spans="1:4" x14ac:dyDescent="0.4">
      <c r="A156">
        <v>155</v>
      </c>
      <c r="D156" t="s">
        <v>227</v>
      </c>
    </row>
    <row r="157" spans="1:4" x14ac:dyDescent="0.4">
      <c r="A157">
        <v>156</v>
      </c>
      <c r="D157" t="s">
        <v>228</v>
      </c>
    </row>
    <row r="158" spans="1:4" x14ac:dyDescent="0.4">
      <c r="A158">
        <v>157</v>
      </c>
      <c r="D158" t="s">
        <v>229</v>
      </c>
    </row>
    <row r="159" spans="1:4" x14ac:dyDescent="0.4">
      <c r="A159">
        <v>158</v>
      </c>
      <c r="D159" t="s">
        <v>230</v>
      </c>
    </row>
    <row r="160" spans="1:4" x14ac:dyDescent="0.4">
      <c r="A160">
        <v>159</v>
      </c>
      <c r="D160" t="s">
        <v>231</v>
      </c>
    </row>
    <row r="161" spans="1:4" x14ac:dyDescent="0.4">
      <c r="A161">
        <v>160</v>
      </c>
      <c r="D161" t="s">
        <v>232</v>
      </c>
    </row>
    <row r="162" spans="1:4" x14ac:dyDescent="0.4">
      <c r="A162">
        <v>161</v>
      </c>
      <c r="D162" t="s">
        <v>233</v>
      </c>
    </row>
    <row r="163" spans="1:4" x14ac:dyDescent="0.4">
      <c r="A163">
        <v>162</v>
      </c>
      <c r="D163" t="s">
        <v>234</v>
      </c>
    </row>
    <row r="164" spans="1:4" x14ac:dyDescent="0.4">
      <c r="A164">
        <v>163</v>
      </c>
      <c r="D164" t="s">
        <v>235</v>
      </c>
    </row>
    <row r="165" spans="1:4" x14ac:dyDescent="0.4">
      <c r="A165">
        <v>164</v>
      </c>
      <c r="D165" t="s">
        <v>236</v>
      </c>
    </row>
    <row r="166" spans="1:4" x14ac:dyDescent="0.4">
      <c r="A166">
        <v>165</v>
      </c>
      <c r="D166" t="s">
        <v>237</v>
      </c>
    </row>
    <row r="167" spans="1:4" x14ac:dyDescent="0.4">
      <c r="A167">
        <v>166</v>
      </c>
      <c r="D167" t="s">
        <v>238</v>
      </c>
    </row>
    <row r="168" spans="1:4" x14ac:dyDescent="0.4">
      <c r="A168">
        <v>167</v>
      </c>
      <c r="D168" t="s">
        <v>239</v>
      </c>
    </row>
    <row r="169" spans="1:4" x14ac:dyDescent="0.4">
      <c r="A169">
        <v>168</v>
      </c>
      <c r="D169" t="s">
        <v>240</v>
      </c>
    </row>
    <row r="170" spans="1:4" x14ac:dyDescent="0.4">
      <c r="A170">
        <v>169</v>
      </c>
      <c r="D170" t="s">
        <v>241</v>
      </c>
    </row>
    <row r="171" spans="1:4" x14ac:dyDescent="0.4">
      <c r="A171">
        <v>170</v>
      </c>
      <c r="D171" t="s">
        <v>242</v>
      </c>
    </row>
    <row r="172" spans="1:4" x14ac:dyDescent="0.4">
      <c r="A172">
        <v>171</v>
      </c>
      <c r="D172" t="s">
        <v>243</v>
      </c>
    </row>
    <row r="173" spans="1:4" x14ac:dyDescent="0.4">
      <c r="A173">
        <v>172</v>
      </c>
      <c r="D173" t="s">
        <v>244</v>
      </c>
    </row>
    <row r="174" spans="1:4" x14ac:dyDescent="0.4">
      <c r="A174">
        <v>173</v>
      </c>
      <c r="D174" t="s">
        <v>245</v>
      </c>
    </row>
    <row r="175" spans="1:4" x14ac:dyDescent="0.4">
      <c r="A175">
        <v>174</v>
      </c>
      <c r="D175" t="s">
        <v>246</v>
      </c>
    </row>
    <row r="176" spans="1:4" x14ac:dyDescent="0.4">
      <c r="A176">
        <v>175</v>
      </c>
      <c r="D176" t="s">
        <v>247</v>
      </c>
    </row>
    <row r="177" spans="1:4" x14ac:dyDescent="0.4">
      <c r="A177">
        <v>176</v>
      </c>
      <c r="D177" t="s">
        <v>248</v>
      </c>
    </row>
    <row r="178" spans="1:4" x14ac:dyDescent="0.4">
      <c r="A178">
        <v>177</v>
      </c>
      <c r="D178" t="s">
        <v>249</v>
      </c>
    </row>
    <row r="179" spans="1:4" x14ac:dyDescent="0.4">
      <c r="A179">
        <v>178</v>
      </c>
      <c r="D179" t="s">
        <v>250</v>
      </c>
    </row>
    <row r="180" spans="1:4" x14ac:dyDescent="0.4">
      <c r="A180">
        <v>179</v>
      </c>
      <c r="D180" t="s">
        <v>251</v>
      </c>
    </row>
    <row r="181" spans="1:4" x14ac:dyDescent="0.4">
      <c r="A181">
        <v>180</v>
      </c>
      <c r="D181" t="s">
        <v>252</v>
      </c>
    </row>
    <row r="182" spans="1:4" x14ac:dyDescent="0.4">
      <c r="A182">
        <v>181</v>
      </c>
      <c r="D182" t="s">
        <v>253</v>
      </c>
    </row>
    <row r="183" spans="1:4" x14ac:dyDescent="0.4">
      <c r="A183">
        <v>182</v>
      </c>
      <c r="D183" t="s">
        <v>254</v>
      </c>
    </row>
    <row r="184" spans="1:4" x14ac:dyDescent="0.4">
      <c r="A184">
        <v>183</v>
      </c>
      <c r="D184" t="s">
        <v>255</v>
      </c>
    </row>
    <row r="185" spans="1:4" x14ac:dyDescent="0.4">
      <c r="A185">
        <v>184</v>
      </c>
      <c r="D185" t="s">
        <v>256</v>
      </c>
    </row>
    <row r="186" spans="1:4" x14ac:dyDescent="0.4">
      <c r="A186">
        <v>185</v>
      </c>
      <c r="D186" t="s">
        <v>257</v>
      </c>
    </row>
    <row r="187" spans="1:4" x14ac:dyDescent="0.4">
      <c r="A187">
        <v>186</v>
      </c>
      <c r="D187" t="s">
        <v>258</v>
      </c>
    </row>
    <row r="188" spans="1:4" x14ac:dyDescent="0.4">
      <c r="A188">
        <v>187</v>
      </c>
      <c r="D188" t="s">
        <v>259</v>
      </c>
    </row>
    <row r="189" spans="1:4" x14ac:dyDescent="0.4">
      <c r="A189">
        <v>188</v>
      </c>
      <c r="D189" t="s">
        <v>260</v>
      </c>
    </row>
    <row r="190" spans="1:4" x14ac:dyDescent="0.4">
      <c r="A190">
        <v>189</v>
      </c>
      <c r="D190" t="s">
        <v>261</v>
      </c>
    </row>
    <row r="191" spans="1:4" x14ac:dyDescent="0.4">
      <c r="A191">
        <v>190</v>
      </c>
      <c r="D191" t="s">
        <v>262</v>
      </c>
    </row>
    <row r="192" spans="1:4" x14ac:dyDescent="0.4">
      <c r="A192">
        <v>191</v>
      </c>
      <c r="D192" t="s">
        <v>263</v>
      </c>
    </row>
    <row r="193" spans="1:4" x14ac:dyDescent="0.4">
      <c r="A193">
        <v>192</v>
      </c>
      <c r="D193" t="s">
        <v>264</v>
      </c>
    </row>
    <row r="194" spans="1:4" x14ac:dyDescent="0.4">
      <c r="A194">
        <v>193</v>
      </c>
      <c r="D194" t="s">
        <v>265</v>
      </c>
    </row>
    <row r="195" spans="1:4" x14ac:dyDescent="0.4">
      <c r="A195">
        <v>194</v>
      </c>
      <c r="D195" t="s">
        <v>266</v>
      </c>
    </row>
    <row r="196" spans="1:4" x14ac:dyDescent="0.4">
      <c r="A196">
        <v>195</v>
      </c>
      <c r="D196" t="s">
        <v>267</v>
      </c>
    </row>
    <row r="197" spans="1:4" x14ac:dyDescent="0.4">
      <c r="A197">
        <v>196</v>
      </c>
      <c r="D197" t="s">
        <v>268</v>
      </c>
    </row>
    <row r="198" spans="1:4" x14ac:dyDescent="0.4">
      <c r="A198">
        <v>197</v>
      </c>
      <c r="D198" t="s">
        <v>269</v>
      </c>
    </row>
    <row r="199" spans="1:4" x14ac:dyDescent="0.4">
      <c r="A199">
        <v>198</v>
      </c>
      <c r="D199" t="s">
        <v>270</v>
      </c>
    </row>
    <row r="200" spans="1:4" x14ac:dyDescent="0.4">
      <c r="A200">
        <v>199</v>
      </c>
      <c r="D200" t="s">
        <v>271</v>
      </c>
    </row>
    <row r="201" spans="1:4" x14ac:dyDescent="0.4">
      <c r="A201">
        <v>200</v>
      </c>
      <c r="D201" t="s">
        <v>272</v>
      </c>
    </row>
    <row r="202" spans="1:4" x14ac:dyDescent="0.4">
      <c r="A202">
        <v>201</v>
      </c>
      <c r="D202" t="s">
        <v>273</v>
      </c>
    </row>
    <row r="203" spans="1:4" x14ac:dyDescent="0.4">
      <c r="A203">
        <v>202</v>
      </c>
      <c r="D203" t="s">
        <v>274</v>
      </c>
    </row>
    <row r="204" spans="1:4" x14ac:dyDescent="0.4">
      <c r="A204">
        <v>203</v>
      </c>
      <c r="D204" t="s">
        <v>275</v>
      </c>
    </row>
    <row r="205" spans="1:4" x14ac:dyDescent="0.4">
      <c r="A205">
        <v>204</v>
      </c>
      <c r="D205" t="s">
        <v>276</v>
      </c>
    </row>
    <row r="206" spans="1:4" x14ac:dyDescent="0.4">
      <c r="A206">
        <v>205</v>
      </c>
      <c r="D206" t="s">
        <v>277</v>
      </c>
    </row>
    <row r="207" spans="1:4" x14ac:dyDescent="0.4">
      <c r="A207">
        <v>206</v>
      </c>
      <c r="D207" t="s">
        <v>278</v>
      </c>
    </row>
    <row r="208" spans="1:4" x14ac:dyDescent="0.4">
      <c r="A208">
        <v>207</v>
      </c>
      <c r="D208" t="s">
        <v>279</v>
      </c>
    </row>
    <row r="209" spans="1:4" x14ac:dyDescent="0.4">
      <c r="A209">
        <v>208</v>
      </c>
      <c r="D209" t="s">
        <v>280</v>
      </c>
    </row>
    <row r="210" spans="1:4" x14ac:dyDescent="0.4">
      <c r="A210">
        <v>209</v>
      </c>
      <c r="D210" t="s">
        <v>281</v>
      </c>
    </row>
    <row r="211" spans="1:4" x14ac:dyDescent="0.4">
      <c r="A211">
        <v>210</v>
      </c>
      <c r="D211" t="s">
        <v>282</v>
      </c>
    </row>
    <row r="212" spans="1:4" x14ac:dyDescent="0.4">
      <c r="A212">
        <v>211</v>
      </c>
      <c r="D212" t="s">
        <v>283</v>
      </c>
    </row>
    <row r="213" spans="1:4" x14ac:dyDescent="0.4">
      <c r="A213">
        <v>212</v>
      </c>
      <c r="D213" t="s">
        <v>284</v>
      </c>
    </row>
    <row r="214" spans="1:4" x14ac:dyDescent="0.4">
      <c r="A214">
        <v>213</v>
      </c>
      <c r="D214" t="s">
        <v>285</v>
      </c>
    </row>
    <row r="215" spans="1:4" x14ac:dyDescent="0.4">
      <c r="A215">
        <v>214</v>
      </c>
      <c r="D215" t="s">
        <v>286</v>
      </c>
    </row>
    <row r="216" spans="1:4" x14ac:dyDescent="0.4">
      <c r="A216">
        <v>215</v>
      </c>
      <c r="D216" t="s">
        <v>287</v>
      </c>
    </row>
    <row r="217" spans="1:4" x14ac:dyDescent="0.4">
      <c r="A217">
        <v>216</v>
      </c>
      <c r="D217" t="s">
        <v>288</v>
      </c>
    </row>
    <row r="218" spans="1:4" x14ac:dyDescent="0.4">
      <c r="A218">
        <v>217</v>
      </c>
      <c r="D218" t="s">
        <v>289</v>
      </c>
    </row>
    <row r="219" spans="1:4" x14ac:dyDescent="0.4">
      <c r="A219">
        <v>218</v>
      </c>
      <c r="D219" t="s">
        <v>290</v>
      </c>
    </row>
    <row r="220" spans="1:4" x14ac:dyDescent="0.4">
      <c r="A220">
        <v>219</v>
      </c>
      <c r="D220" t="s">
        <v>291</v>
      </c>
    </row>
    <row r="221" spans="1:4" x14ac:dyDescent="0.4">
      <c r="A221">
        <v>220</v>
      </c>
      <c r="D221" t="s">
        <v>292</v>
      </c>
    </row>
    <row r="222" spans="1:4" x14ac:dyDescent="0.4">
      <c r="A222">
        <v>221</v>
      </c>
      <c r="D222" t="s">
        <v>293</v>
      </c>
    </row>
    <row r="223" spans="1:4" x14ac:dyDescent="0.4">
      <c r="A223">
        <v>222</v>
      </c>
      <c r="D223" t="s">
        <v>294</v>
      </c>
    </row>
    <row r="224" spans="1:4" x14ac:dyDescent="0.4">
      <c r="A224">
        <v>223</v>
      </c>
      <c r="D224" t="s">
        <v>295</v>
      </c>
    </row>
    <row r="225" spans="1:4" x14ac:dyDescent="0.4">
      <c r="A225">
        <v>224</v>
      </c>
      <c r="D225" t="s">
        <v>296</v>
      </c>
    </row>
    <row r="226" spans="1:4" x14ac:dyDescent="0.4">
      <c r="A226">
        <v>225</v>
      </c>
      <c r="D226" t="s">
        <v>297</v>
      </c>
    </row>
    <row r="227" spans="1:4" x14ac:dyDescent="0.4">
      <c r="A227">
        <v>226</v>
      </c>
      <c r="D227" t="s">
        <v>298</v>
      </c>
    </row>
    <row r="228" spans="1:4" x14ac:dyDescent="0.4">
      <c r="A228">
        <v>227</v>
      </c>
      <c r="D228" t="s">
        <v>299</v>
      </c>
    </row>
    <row r="229" spans="1:4" x14ac:dyDescent="0.4">
      <c r="A229">
        <v>228</v>
      </c>
      <c r="D229" t="s">
        <v>300</v>
      </c>
    </row>
    <row r="230" spans="1:4" x14ac:dyDescent="0.4">
      <c r="A230">
        <v>229</v>
      </c>
      <c r="D230" t="s">
        <v>301</v>
      </c>
    </row>
    <row r="231" spans="1:4" x14ac:dyDescent="0.4">
      <c r="A231">
        <v>230</v>
      </c>
      <c r="D231" t="s">
        <v>302</v>
      </c>
    </row>
    <row r="232" spans="1:4" x14ac:dyDescent="0.4">
      <c r="A232">
        <v>231</v>
      </c>
      <c r="D232" t="s">
        <v>303</v>
      </c>
    </row>
    <row r="233" spans="1:4" x14ac:dyDescent="0.4">
      <c r="A233">
        <v>232</v>
      </c>
      <c r="D233" t="s">
        <v>304</v>
      </c>
    </row>
    <row r="234" spans="1:4" x14ac:dyDescent="0.4">
      <c r="D234" t="s">
        <v>305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</vt:lpstr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2021-12-03T15:00:22Z</dcterms:created>
  <dcterms:modified xsi:type="dcterms:W3CDTF">2026-05-26T01:14:45Z</dcterms:modified>
</cp:coreProperties>
</file>